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updateLinks="never" codeName="ThisWorkbook"/>
  <mc:AlternateContent xmlns:mc="http://schemas.openxmlformats.org/markup-compatibility/2006">
    <mc:Choice Requires="x15">
      <x15ac:absPath xmlns:x15ac="http://schemas.microsoft.com/office/spreadsheetml/2010/11/ac" url="C:\Users\39482\Downloads\"/>
    </mc:Choice>
  </mc:AlternateContent>
  <xr:revisionPtr revIDLastSave="0" documentId="13_ncr:1_{76A9C478-034D-41BE-B699-1E3D74A25FA2}" xr6:coauthVersionLast="47" xr6:coauthVersionMax="47" xr10:uidLastSave="{00000000-0000-0000-0000-000000000000}"/>
  <bookViews>
    <workbookView xWindow="-28920" yWindow="-120" windowWidth="29040" windowHeight="15720" tabRatio="881" xr2:uid="{38F22350-865F-4B98-9CB6-869E81BA7C21}"/>
  </bookViews>
  <sheets>
    <sheet name="Simulation Control" sheetId="27" r:id="rId1"/>
    <sheet name="OldAnalysis" sheetId="288" state="hidden" r:id="rId2"/>
    <sheet name="Growth Params" sheetId="41" state="hidden" r:id="rId3"/>
    <sheet name="Time Ind Phys Params" sheetId="40" state="hidden" r:id="rId4"/>
    <sheet name="Time Dep Phys Params" sheetId="35" state="hidden" r:id="rId5"/>
    <sheet name="Media" sheetId="29" state="hidden" r:id="rId6"/>
    <sheet name="LTC" sheetId="289" state="hidden" r:id="rId7"/>
    <sheet name="Lung" sheetId="64" state="hidden" r:id="rId8"/>
    <sheet name="Lookup" sheetId="43" state="hidden" r:id="rId9"/>
    <sheet name="Fortran input file" sheetId="37" state="hidden" r:id="rId10"/>
    <sheet name="Info File" sheetId="167" state="hidden" r:id="rId11"/>
    <sheet name="Summary Template" sheetId="291" state="hidden" r:id="rId12"/>
    <sheet name="Output Summary" sheetId="407" state="hidden" r:id="rId13"/>
  </sheets>
  <functionGroups builtInGroupCount="19"/>
  <externalReferences>
    <externalReference r:id="rId14"/>
  </externalReferences>
  <definedNames>
    <definedName name="AgeMax" localSheetId="7">'Simulation Control'!$E$13</definedName>
    <definedName name="AgeMax" localSheetId="12">#REF!</definedName>
    <definedName name="AgeMax" localSheetId="11">#REF!</definedName>
    <definedName name="AgeMax">'Simulation Control'!$E$13</definedName>
    <definedName name="AgeMin" localSheetId="7">'Simulation Control'!$E$12</definedName>
    <definedName name="AgeMin" localSheetId="12">#REF!</definedName>
    <definedName name="AgeMin" localSheetId="11">#REF!</definedName>
    <definedName name="AgeMin">'Simulation Control'!$E$12</definedName>
    <definedName name="air_0mask" localSheetId="7" hidden="1">[1]Media!#REF!</definedName>
    <definedName name="air_0mask" localSheetId="12" hidden="1">#REF!</definedName>
    <definedName name="air_0mask" localSheetId="11" hidden="1">#REF!</definedName>
    <definedName name="air_0mask" hidden="1">Media!#REF!</definedName>
    <definedName name="air_0maskuse" localSheetId="12">#REF!</definedName>
    <definedName name="air_0maskuse" localSheetId="11">#REF!</definedName>
    <definedName name="air_0maskuse">Media!$96:$106</definedName>
    <definedName name="air_1mask" localSheetId="12" hidden="1">#REF!</definedName>
    <definedName name="air_1mask" localSheetId="11" hidden="1">#REF!</definedName>
    <definedName name="air_1mask" hidden="1">Media!$99:$106</definedName>
    <definedName name="air_1sourcecon" localSheetId="7" hidden="1">[1]Media!#REF!</definedName>
    <definedName name="air_1sourcecon" localSheetId="12" hidden="1">#REF!</definedName>
    <definedName name="air_1sourcecon" localSheetId="11" hidden="1">#REF!</definedName>
    <definedName name="air_1sourcecon" hidden="1">Media!#REF!</definedName>
    <definedName name="air_1sourceconuse" localSheetId="12" hidden="1">#REF!</definedName>
    <definedName name="air_1sourceconuse" localSheetId="11" hidden="1">#REF!</definedName>
    <definedName name="air_1sourceconuse" hidden="1">Media!$94:$95</definedName>
    <definedName name="air_1sourceint" localSheetId="7" hidden="1">[1]Media!#REF!</definedName>
    <definedName name="air_1sourceint" localSheetId="12" hidden="1">#REF!</definedName>
    <definedName name="air_1sourceint" localSheetId="11" hidden="1">#REF!</definedName>
    <definedName name="air_1sourceint" hidden="1">Media!#REF!</definedName>
    <definedName name="air_1sourceintuse" localSheetId="12" hidden="1">#REF!</definedName>
    <definedName name="air_1sourceintuse" localSheetId="11" hidden="1">#REF!</definedName>
    <definedName name="air_1sourceintuse" hidden="1">Media!$111:$112</definedName>
    <definedName name="air_1sourcerba" localSheetId="7" hidden="1">[1]Media!#REF!</definedName>
    <definedName name="air_1sourcerba" localSheetId="12" hidden="1">#REF!</definedName>
    <definedName name="air_1sourcerba" localSheetId="11" hidden="1">#REF!</definedName>
    <definedName name="air_1sourcerba" hidden="1">Media!#REF!</definedName>
    <definedName name="air_1sourcerbause" localSheetId="12" hidden="1">#REF!</definedName>
    <definedName name="air_1sourcerbause" localSheetId="11" hidden="1">#REF!</definedName>
    <definedName name="air_1sourcerbause" hidden="1">Media!$115:$116</definedName>
    <definedName name="air_2mask" localSheetId="12" hidden="1">#REF!</definedName>
    <definedName name="air_2mask" localSheetId="11" hidden="1">#REF!</definedName>
    <definedName name="air_2mask" hidden="1">Media!$100:$106</definedName>
    <definedName name="air_2sourceconuse" localSheetId="12" hidden="1">#REF!</definedName>
    <definedName name="air_2sourceconuse" localSheetId="11" hidden="1">#REF!</definedName>
    <definedName name="air_2sourceconuse" hidden="1">Media!$95:$95</definedName>
    <definedName name="air_2sourceintuse" localSheetId="12" hidden="1">#REF!</definedName>
    <definedName name="air_2sourceintuse" localSheetId="11" hidden="1">#REF!</definedName>
    <definedName name="air_2sourceintuse" hidden="1">Media!$112:$112</definedName>
    <definedName name="air_2sourcerbause" localSheetId="12" hidden="1">#REF!</definedName>
    <definedName name="air_2sourcerbause" localSheetId="11" hidden="1">#REF!</definedName>
    <definedName name="air_2sourcerbause" hidden="1">Media!$116:$116</definedName>
    <definedName name="air_3mask" localSheetId="12">#REF!</definedName>
    <definedName name="air_3mask" localSheetId="11">#REF!</definedName>
    <definedName name="air_3mask">Media!$101:$106</definedName>
    <definedName name="air_4mask" localSheetId="12">#REF!</definedName>
    <definedName name="air_4mask" localSheetId="11">#REF!</definedName>
    <definedName name="air_4mask">Media!$102:$106</definedName>
    <definedName name="air_5mask" localSheetId="12">#REF!</definedName>
    <definedName name="air_5mask" localSheetId="11">#REF!</definedName>
    <definedName name="air_5mask">Media!$103:$106</definedName>
    <definedName name="air_6mask" localSheetId="12">#REF!</definedName>
    <definedName name="air_6mask" localSheetId="11">#REF!</definedName>
    <definedName name="air_6mask" hidden="1">Media!$104:$106</definedName>
    <definedName name="air_7mask" localSheetId="12">#REF!</definedName>
    <definedName name="air_7mask" localSheetId="11">#REF!</definedName>
    <definedName name="air_7mask">Media!$105:$106</definedName>
    <definedName name="air_8mask" localSheetId="12">#REF!</definedName>
    <definedName name="air_8mask" localSheetId="11">#REF!</definedName>
    <definedName name="air_8mask">Media!$106:$106</definedName>
    <definedName name="Air_Bin" localSheetId="7">'Simulation Control'!$E$29</definedName>
    <definedName name="Air_Bin" localSheetId="12">#REF!</definedName>
    <definedName name="Air_Bin" localSheetId="11">#REF!</definedName>
    <definedName name="Air_Bin">'Simulation Control'!$E$29</definedName>
    <definedName name="Air_Frac1" localSheetId="12">#REF!</definedName>
    <definedName name="Air_Frac1" localSheetId="11">#REF!</definedName>
    <definedName name="Air_Frac1">Media!$110:$110</definedName>
    <definedName name="air_intake_default" localSheetId="12">#REF!</definedName>
    <definedName name="air_intake_default" localSheetId="11">#REF!</definedName>
    <definedName name="air_intake_default">Lookup!$DL$2:$DX$4</definedName>
    <definedName name="air_intake_reset" localSheetId="12">#REF!</definedName>
    <definedName name="air_intake_reset" localSheetId="11">#REF!</definedName>
    <definedName name="air_intake_reset">Media!$F$108:$K$110</definedName>
    <definedName name="Air_NMask" localSheetId="12">#REF!</definedName>
    <definedName name="Air_NMask" localSheetId="11">#REF!</definedName>
    <definedName name="Air_NMask">'Simulation Control'!$G$29</definedName>
    <definedName name="Air_NSource" localSheetId="7">'Simulation Control'!$F$29</definedName>
    <definedName name="Air_NSource" localSheetId="12">#REF!</definedName>
    <definedName name="Air_NSource" localSheetId="11">#REF!</definedName>
    <definedName name="Air_NSource">'Simulation Control'!$F$29</definedName>
    <definedName name="Air_range" localSheetId="12">#REF!</definedName>
    <definedName name="Air_range" localSheetId="11">#REF!</definedName>
    <definedName name="Air_range">Media!$F$92:$Z$114</definedName>
    <definedName name="Air_RBA1" localSheetId="12">#REF!</definedName>
    <definedName name="Air_RBA1" localSheetId="11">#REF!</definedName>
    <definedName name="Air_RBA1">Media!$F$114</definedName>
    <definedName name="Air_RBA2">Media!$F$115</definedName>
    <definedName name="Air_RBA3">Media!$F$116</definedName>
    <definedName name="AllCon_Text" localSheetId="12">#REF!</definedName>
    <definedName name="AllCon_Text" localSheetId="11">#REF!</definedName>
    <definedName name="AllCon_Text">'Simulation Control'!$G$33</definedName>
    <definedName name="AllowConc_Link" localSheetId="12">Media!$E$8</definedName>
    <definedName name="AllowConc_Link" localSheetId="11">Media!$E$8</definedName>
    <definedName name="AllowConc_Link">Media!$E$8</definedName>
    <definedName name="AllowConc_Media" localSheetId="12">Media!$C$8</definedName>
    <definedName name="AllowConc_Media" localSheetId="11">Media!$C$8</definedName>
    <definedName name="AllowConc_Media">Media!$C$8</definedName>
    <definedName name="AllowConc_Subtype" localSheetId="12">Media!$D$8</definedName>
    <definedName name="AllowConc_Subtype" localSheetId="11">Media!$D$8</definedName>
    <definedName name="AllowConc_Subtype">Media!$D$8</definedName>
    <definedName name="CountYes" localSheetId="12">#REF!</definedName>
    <definedName name="CountYes" localSheetId="11">#REF!</definedName>
    <definedName name="CountYes">'Simulation Control'!$A$25</definedName>
    <definedName name="Default_Air_Conc" localSheetId="12">#REF!</definedName>
    <definedName name="Default_Air_Conc" localSheetId="11">#REF!</definedName>
    <definedName name="Default_Air_Conc">Lookup!$CV$5</definedName>
    <definedName name="Default_Dust_Conc" localSheetId="12">#REF!</definedName>
    <definedName name="Default_Dust_Conc" localSheetId="11">#REF!</definedName>
    <definedName name="Default_Dust_Conc">Lookup!$CV$3</definedName>
    <definedName name="Default_Food_Conc" localSheetId="12">#REF!</definedName>
    <definedName name="Default_Food_Conc" localSheetId="11">#REF!</definedName>
    <definedName name="Default_Food_Conc">Lookup!$CV$6</definedName>
    <definedName name="default_lung" localSheetId="12">#REF!</definedName>
    <definedName name="default_lung" localSheetId="11">#REF!</definedName>
    <definedName name="default_lung">Lookup!$EI$2:$EK$12</definedName>
    <definedName name="Default_Soil_Conc" localSheetId="12">#REF!</definedName>
    <definedName name="Default_Soil_Conc" localSheetId="11">#REF!</definedName>
    <definedName name="Default_Soil_Conc">Lookup!$CV$2</definedName>
    <definedName name="default_timedep" localSheetId="12">#REF!</definedName>
    <definedName name="default_timedep" localSheetId="11">#REF!</definedName>
    <definedName name="default_timedep">Lookup!$BI$2:$BS$24</definedName>
    <definedName name="default_timeind" localSheetId="12">#REF!</definedName>
    <definedName name="default_timeind" localSheetId="11">#REF!</definedName>
    <definedName name="default_timeind">Lookup!$BU$3:$BU$52</definedName>
    <definedName name="Default_Water_Conc" localSheetId="12">#REF!</definedName>
    <definedName name="Default_Water_Conc" localSheetId="11">#REF!</definedName>
    <definedName name="Default_Water_Conc">Lookup!$CV$4</definedName>
    <definedName name="dust_0mask" localSheetId="12" hidden="1">#REF!</definedName>
    <definedName name="dust_0mask" localSheetId="11" hidden="1">#REF!</definedName>
    <definedName name="dust_0mask" hidden="1">Media!$42:$52</definedName>
    <definedName name="dust_1mask" localSheetId="12">#REF!</definedName>
    <definedName name="dust_1mask" localSheetId="11">#REF!</definedName>
    <definedName name="dust_1mask">Media!$45:$52</definedName>
    <definedName name="dust_1sourcecon" localSheetId="12" hidden="1">#REF!</definedName>
    <definedName name="dust_1sourcecon" localSheetId="11" hidden="1">#REF!</definedName>
    <definedName name="dust_1sourcecon" hidden="1">Media!$40:$41</definedName>
    <definedName name="dust_1sourceint" localSheetId="12" hidden="1">#REF!</definedName>
    <definedName name="dust_1sourceint" localSheetId="11" hidden="1">#REF!</definedName>
    <definedName name="dust_1sourceint" hidden="1">Media!$57:$58</definedName>
    <definedName name="dust_1sourcerba" localSheetId="12" hidden="1">#REF!</definedName>
    <definedName name="dust_1sourcerba" localSheetId="11" hidden="1">#REF!</definedName>
    <definedName name="dust_1sourcerba" hidden="1">Media!$61:$62</definedName>
    <definedName name="dust_2mask" localSheetId="12" hidden="1">#REF!</definedName>
    <definedName name="dust_2mask" localSheetId="11" hidden="1">#REF!</definedName>
    <definedName name="dust_2mask" hidden="1">Media!$46:$52</definedName>
    <definedName name="dust_2sourcecon" localSheetId="12" hidden="1">#REF!</definedName>
    <definedName name="dust_2sourcecon" localSheetId="11" hidden="1">#REF!</definedName>
    <definedName name="dust_2sourcecon" hidden="1">Media!$41:$41</definedName>
    <definedName name="dust_2sourceint" localSheetId="12" hidden="1">#REF!</definedName>
    <definedName name="dust_2sourceint" localSheetId="11" hidden="1">#REF!</definedName>
    <definedName name="dust_2sourceint" hidden="1">Media!$58:$58</definedName>
    <definedName name="dust_2sourcerba" localSheetId="12" hidden="1">#REF!</definedName>
    <definedName name="dust_2sourcerba" localSheetId="11" hidden="1">#REF!</definedName>
    <definedName name="dust_2sourcerba" hidden="1">Media!$62:$62</definedName>
    <definedName name="dust_3mask" localSheetId="12">#REF!</definedName>
    <definedName name="dust_3mask" localSheetId="11">#REF!</definedName>
    <definedName name="dust_3mask">Media!$47:$52</definedName>
    <definedName name="dust_4mask" localSheetId="12">#REF!</definedName>
    <definedName name="dust_4mask" localSheetId="11">#REF!</definedName>
    <definedName name="dust_4mask">Media!$48:$52</definedName>
    <definedName name="dust_5mask" localSheetId="12">#REF!</definedName>
    <definedName name="dust_5mask" localSheetId="11">#REF!</definedName>
    <definedName name="dust_5mask">Media!$49:$52</definedName>
    <definedName name="dust_6mask" localSheetId="12">#REF!</definedName>
    <definedName name="dust_6mask" localSheetId="11">#REF!</definedName>
    <definedName name="dust_6mask">Media!$50:$52</definedName>
    <definedName name="dust_7mask" localSheetId="12">#REF!</definedName>
    <definedName name="dust_7mask" localSheetId="11">#REF!</definedName>
    <definedName name="dust_7mask">Media!$51:$52</definedName>
    <definedName name="dust_8mask" localSheetId="12">#REF!</definedName>
    <definedName name="dust_8mask" localSheetId="11">#REF!</definedName>
    <definedName name="dust_8mask">Media!$52:$52</definedName>
    <definedName name="Dust_Bin" localSheetId="7">'Simulation Control'!$E$27</definedName>
    <definedName name="Dust_Bin" localSheetId="12">#REF!</definedName>
    <definedName name="Dust_Bin" localSheetId="11">#REF!</definedName>
    <definedName name="Dust_Bin">'Simulation Control'!$E$27</definedName>
    <definedName name="Dust_Frac1" localSheetId="12">#REF!</definedName>
    <definedName name="Dust_Frac1" localSheetId="11">#REF!</definedName>
    <definedName name="Dust_Frac1">Media!$56:$56</definedName>
    <definedName name="dust_intake_default" localSheetId="12">#REF!</definedName>
    <definedName name="dust_intake_default" localSheetId="11">#REF!</definedName>
    <definedName name="dust_intake_default">Lookup!$DE$2:$DJ$4</definedName>
    <definedName name="dust_intake_reset" localSheetId="12">#REF!</definedName>
    <definedName name="dust_intake_reset" localSheetId="11">#REF!</definedName>
    <definedName name="dust_intake_reset">Media!$F$54:$K$56</definedName>
    <definedName name="Dust_NMask" localSheetId="12">#REF!</definedName>
    <definedName name="Dust_NMask" localSheetId="11">#REF!</definedName>
    <definedName name="Dust_NMask">'Simulation Control'!$G$27</definedName>
    <definedName name="Dust_NSource" localSheetId="7">'Simulation Control'!$F$27</definedName>
    <definedName name="Dust_NSource" localSheetId="12">#REF!</definedName>
    <definedName name="Dust_NSource" localSheetId="11">#REF!</definedName>
    <definedName name="Dust_NSource">'Simulation Control'!$F$27</definedName>
    <definedName name="Dust_range" localSheetId="12">#REF!</definedName>
    <definedName name="Dust_range" localSheetId="11">#REF!</definedName>
    <definedName name="Dust_range">Media!$F$38:$Z$60</definedName>
    <definedName name="Dust_RBA1" localSheetId="12">#REF!</definedName>
    <definedName name="Dust_RBA1" localSheetId="11">#REF!</definedName>
    <definedName name="Dust_RBA1">Media!$F$60</definedName>
    <definedName name="Dust_RBA2">Media!$F$61</definedName>
    <definedName name="Dust_RBA3">Media!$F$62</definedName>
    <definedName name="food_0mask" localSheetId="12" hidden="1">#REF!</definedName>
    <definedName name="food_0mask" localSheetId="11" hidden="1">#REF!</definedName>
    <definedName name="food_0mask" hidden="1">Media!$123:$133</definedName>
    <definedName name="food_1mask" localSheetId="12" hidden="1">#REF!</definedName>
    <definedName name="food_1mask" localSheetId="11" hidden="1">#REF!</definedName>
    <definedName name="food_1mask" hidden="1">Media!$126:$133</definedName>
    <definedName name="food_1sourceint" localSheetId="12" hidden="1">#REF!</definedName>
    <definedName name="food_1sourceint" localSheetId="11" hidden="1">#REF!</definedName>
    <definedName name="food_1sourceint" hidden="1">Media!$121:$122</definedName>
    <definedName name="food_1sourcerba" localSheetId="12" hidden="1">#REF!</definedName>
    <definedName name="food_1sourcerba" localSheetId="11" hidden="1">#REF!</definedName>
    <definedName name="food_1sourcerba" hidden="1">Media!$136:$137</definedName>
    <definedName name="food_2mask" localSheetId="12" hidden="1">#REF!</definedName>
    <definedName name="food_2mask" localSheetId="11" hidden="1">#REF!</definedName>
    <definedName name="food_2mask" hidden="1">Media!$127:$133</definedName>
    <definedName name="food_2sourceint" localSheetId="12" hidden="1">#REF!</definedName>
    <definedName name="food_2sourceint" localSheetId="11" hidden="1">#REF!</definedName>
    <definedName name="food_2sourceint" hidden="1">Media!$122:$122</definedName>
    <definedName name="food_2sourcerba" localSheetId="12" hidden="1">#REF!</definedName>
    <definedName name="food_2sourcerba" localSheetId="11" hidden="1">#REF!</definedName>
    <definedName name="food_2sourcerba" hidden="1">Media!$137:$137</definedName>
    <definedName name="food_3mask" localSheetId="12" hidden="1">#REF!</definedName>
    <definedName name="food_3mask" localSheetId="11" hidden="1">#REF!</definedName>
    <definedName name="food_3mask" hidden="1">Media!$128:$133</definedName>
    <definedName name="food_4mask" localSheetId="12">#REF!</definedName>
    <definedName name="food_4mask" localSheetId="11">#REF!</definedName>
    <definedName name="food_4mask">Media!$129:$133</definedName>
    <definedName name="food_5mask" localSheetId="12">#REF!</definedName>
    <definedName name="food_5mask" localSheetId="11">#REF!</definedName>
    <definedName name="food_5mask">Media!$130:$133</definedName>
    <definedName name="food_6mask" localSheetId="12">#REF!</definedName>
    <definedName name="food_6mask" localSheetId="11">#REF!</definedName>
    <definedName name="food_6mask">Media!$131:$133</definedName>
    <definedName name="food_7mask" localSheetId="12">#REF!</definedName>
    <definedName name="food_7mask" localSheetId="11">#REF!</definedName>
    <definedName name="food_7mask">Media!$132:$133</definedName>
    <definedName name="food_8mask" localSheetId="12">#REF!</definedName>
    <definedName name="food_8mask" localSheetId="11">#REF!</definedName>
    <definedName name="food_8mask">Media!$133:$133</definedName>
    <definedName name="Food_Bin" localSheetId="7">'Simulation Control'!$E$30</definedName>
    <definedName name="Food_Bin" localSheetId="12">#REF!</definedName>
    <definedName name="Food_Bin" localSheetId="11">#REF!</definedName>
    <definedName name="Food_Bin">'Simulation Control'!$E$30</definedName>
    <definedName name="Food_NMask" localSheetId="12">#REF!</definedName>
    <definedName name="Food_NMask" localSheetId="11">#REF!</definedName>
    <definedName name="Food_NMask">'Simulation Control'!$G$30</definedName>
    <definedName name="Food_NSource" localSheetId="7">'Simulation Control'!$F$30</definedName>
    <definedName name="Food_NSource" localSheetId="12">#REF!</definedName>
    <definedName name="Food_NSource" localSheetId="11">#REF!</definedName>
    <definedName name="Food_NSource">'Simulation Control'!$F$30</definedName>
    <definedName name="Food_range" localSheetId="12">#REF!</definedName>
    <definedName name="Food_range" localSheetId="11">#REF!</definedName>
    <definedName name="Food_range">Media!$F$119:$Z$135</definedName>
    <definedName name="Food_RBA1" localSheetId="12">#REF!</definedName>
    <definedName name="Food_RBA1" localSheetId="11">#REF!</definedName>
    <definedName name="Food_RBA1">Media!$F$135</definedName>
    <definedName name="Food_RBA2">Media!$F$136</definedName>
    <definedName name="Food_RBA3">Media!$F$137</definedName>
    <definedName name="GrowParam" localSheetId="12">#REF!</definedName>
    <definedName name="GrowParam" localSheetId="11">#REF!</definedName>
    <definedName name="GrowParam">'Simulation Control'!$E$19</definedName>
    <definedName name="growth_default" localSheetId="12">#REF!</definedName>
    <definedName name="growth_default" localSheetId="11">#REF!</definedName>
    <definedName name="growth_default">Lookup!$CE$2:$CF$9</definedName>
    <definedName name="growth_female" localSheetId="12">#REF!</definedName>
    <definedName name="growth_female" localSheetId="11">#REF!</definedName>
    <definedName name="growth_female">'Growth Params'!$E:$E</definedName>
    <definedName name="growth_male" localSheetId="12">#REF!</definedName>
    <definedName name="growth_male" localSheetId="11">#REF!</definedName>
    <definedName name="growth_male">'Growth Params'!$F:$F</definedName>
    <definedName name="Growth_reset" localSheetId="12">#REF!</definedName>
    <definedName name="Growth_reset" localSheetId="11">#REF!</definedName>
    <definedName name="Growth_reset">'Growth Params'!$E$7:$F$14</definedName>
    <definedName name="InputFile" localSheetId="12">#REF!</definedName>
    <definedName name="InputFile" localSheetId="11">#REF!</definedName>
    <definedName name="InputFile">Lookup!$B$3:$AC$224</definedName>
    <definedName name="InputFile_new" localSheetId="12">#REF!</definedName>
    <definedName name="InputFile_new" localSheetId="11">#REF!</definedName>
    <definedName name="InputFile_new">Lookup!$B$2:$AC$222</definedName>
    <definedName name="InputFile_Test" localSheetId="12">#REF!</definedName>
    <definedName name="InputFile_Test" localSheetId="11">#REF!</definedName>
    <definedName name="InputFile_Test">Lookup!$B$2:$AC$223</definedName>
    <definedName name="Interpol_Bin" localSheetId="12">#REF!</definedName>
    <definedName name="Interpol_Bin" localSheetId="11">#REF!</definedName>
    <definedName name="Interpol_Bin">'Simulation Control'!$E$34</definedName>
    <definedName name="irbc" localSheetId="12">#REF!</definedName>
    <definedName name="irbc" localSheetId="11">#REF!</definedName>
    <definedName name="irbc">'Simulation Control'!$E$35</definedName>
    <definedName name="Loading_To_Conc">Media!$BC$37:$CC$63</definedName>
    <definedName name="LoadingToConcentration">LTC!$B$2:$Z$33</definedName>
    <definedName name="LTC" localSheetId="12">#REF!</definedName>
    <definedName name="LTC" localSheetId="11">#REF!</definedName>
    <definedName name="LTC">Media!$160:$160</definedName>
    <definedName name="LungS2" localSheetId="12">#REF!</definedName>
    <definedName name="LungS2" localSheetId="11">#REF!</definedName>
    <definedName name="LungS2">Lung!$F:$F</definedName>
    <definedName name="LungS3" localSheetId="12">#REF!</definedName>
    <definedName name="LungS3" localSheetId="11">#REF!</definedName>
    <definedName name="LungS3">Lung!$G:$G</definedName>
    <definedName name="MAir_Con_Age" localSheetId="12">#REF!</definedName>
    <definedName name="MAir_Con_Age" localSheetId="11">#REF!</definedName>
    <definedName name="MAir_Con_Age">Media!$D$93</definedName>
    <definedName name="MAir_Int_Age" localSheetId="12">#REF!</definedName>
    <definedName name="MAir_Int_Age" localSheetId="11">#REF!</definedName>
    <definedName name="MAir_Int_Age">Media!$D$109</definedName>
    <definedName name="MDust_Con_Age" localSheetId="12">Media!$D$39</definedName>
    <definedName name="MDust_Con_Age" localSheetId="11">Media!$D$39</definedName>
    <definedName name="MDust_Con_Age">Media!$D$39</definedName>
    <definedName name="MDust_Int_Age" localSheetId="12">#REF!</definedName>
    <definedName name="MDust_Int_Age" localSheetId="11">#REF!</definedName>
    <definedName name="MDust_Int_Age">Media!$D$55</definedName>
    <definedName name="MDust_LTC_Age" localSheetId="12">#REF!</definedName>
    <definedName name="MDust_LTC_Age" localSheetId="11">#REF!</definedName>
    <definedName name="MDust_LTC_Age">Media!$BG$39</definedName>
    <definedName name="MDust_LTC_Age_New">LTC!$D$6</definedName>
    <definedName name="media_air" localSheetId="12" hidden="1">#REF!</definedName>
    <definedName name="media_air" localSheetId="11" hidden="1">#REF!</definedName>
    <definedName name="media_air" hidden="1">Media!$91:$117</definedName>
    <definedName name="Media_Allowable" localSheetId="12">#REF!</definedName>
    <definedName name="Media_Allowable" localSheetId="11">#REF!</definedName>
    <definedName name="Media_Allowable">Media!$C$8:$M$8</definedName>
    <definedName name="Media_allowcon" localSheetId="12">#REF!</definedName>
    <definedName name="Media_allowcon" localSheetId="11">#REF!</definedName>
    <definedName name="Media_allowcon">Media!$6:$9</definedName>
    <definedName name="media_clearair">Media!$F$92:$Z$95,Media!$F$98:$I$106,Media!$F$108:$Z$112,Media!$F$114:$F$116</definedName>
    <definedName name="media_dust" localSheetId="12" hidden="1">#REF!</definedName>
    <definedName name="media_dust" localSheetId="11" hidden="1">#REF!</definedName>
    <definedName name="media_dust" hidden="1">Media!$37:$63</definedName>
    <definedName name="Media_dustclear">Media!$F$38:$Z$41,Media!$F$44:$I$52,Media!$F$54:$Z$58,Media!$F$60:$F$62</definedName>
    <definedName name="media_food" localSheetId="12" hidden="1">#REF!</definedName>
    <definedName name="media_food" localSheetId="11" hidden="1">#REF!</definedName>
    <definedName name="media_food" hidden="1">Media!$118:$138</definedName>
    <definedName name="Media_foodclear">Media!$F$119:$Z$122,Media!$F$125:$I$133,Media!$F$135:$F$137</definedName>
    <definedName name="media_other" localSheetId="12" hidden="1">#REF!</definedName>
    <definedName name="media_other" localSheetId="11" hidden="1">#REF!</definedName>
    <definedName name="media_other" hidden="1">Media!$139:$159</definedName>
    <definedName name="media_otherclear">Media!$F$140:$Z$143,Media!$F$146:$I$154,Media!$F$156:$F$158</definedName>
    <definedName name="media_soil" localSheetId="12" hidden="1">#REF!</definedName>
    <definedName name="media_soil" localSheetId="11" hidden="1">#REF!</definedName>
    <definedName name="media_soil" hidden="1">Media!$10:$36</definedName>
    <definedName name="Media_Soilclear">Media!$F$11:$L$14,Media!$F$17:$I$25,Media!$F$27:$Z$31,Media!$M$11:$Z$14,Media!$F$33:$F$35</definedName>
    <definedName name="media_water" localSheetId="12" hidden="1">#REF!</definedName>
    <definedName name="media_water" localSheetId="11" hidden="1">#REF!</definedName>
    <definedName name="media_water" hidden="1">Media!$64:$90</definedName>
    <definedName name="Media_waterclear">Media!$F$65:$Z$68,Media!$F$71:$I$79,Media!$F$81:$Z$85,Media!$F$87:$F$89</definedName>
    <definedName name="MFood_Con_Age" localSheetId="12">#REF!</definedName>
    <definedName name="MFood_Con_Age" localSheetId="11">#REF!</definedName>
    <definedName name="MFood_Con_Age">Media!$D$120</definedName>
    <definedName name="MFood_Int_Age" localSheetId="12">#REF!</definedName>
    <definedName name="MFood_Int_Age" localSheetId="11">#REF!</definedName>
    <definedName name="MFood_Int_Age">Media!$D$120</definedName>
    <definedName name="MOther_Con_age" localSheetId="12">#REF!</definedName>
    <definedName name="MOther_Con_age" localSheetId="11">#REF!</definedName>
    <definedName name="MOther_Con_age">Media!$D$141</definedName>
    <definedName name="MOther_Int_Age" localSheetId="12">#REF!</definedName>
    <definedName name="MOther_Int_Age" localSheetId="11">#REF!</definedName>
    <definedName name="MOther_Int_Age">Media!$D$141</definedName>
    <definedName name="MSoil_Con_Age" localSheetId="12">Media!$D$12</definedName>
    <definedName name="MSoil_Con_Age" localSheetId="11">Media!$D$12</definedName>
    <definedName name="MSoil_Con_Age">Media!$D$12</definedName>
    <definedName name="MSoil_Int_Age" localSheetId="12">#REF!</definedName>
    <definedName name="MSoil_Int_Age" localSheetId="11">#REF!</definedName>
    <definedName name="MSoil_Int_Age">Media!$D$28</definedName>
    <definedName name="MSoil_NMask" localSheetId="12">#REF!</definedName>
    <definedName name="MSoil_NMask" localSheetId="11">#REF!</definedName>
    <definedName name="MSoil_NMask">Media!$D$17</definedName>
    <definedName name="MWater_Con_Age" localSheetId="12">#REF!</definedName>
    <definedName name="MWater_Con_Age" localSheetId="11">#REF!</definedName>
    <definedName name="MWater_Con_Age">Media!$D$66</definedName>
    <definedName name="MWater_Int_Age" localSheetId="12">#REF!</definedName>
    <definedName name="MWater_Int_Age" localSheetId="11">#REF!</definedName>
    <definedName name="MWater_Int_Age">Media!$D$82</definedName>
    <definedName name="NumAges" localSheetId="12">#REF!</definedName>
    <definedName name="NumAges" localSheetId="11">#REF!</definedName>
    <definedName name="NumAges">'Time Dep Phys Params'!$E$6</definedName>
    <definedName name="other_0mask" localSheetId="12" hidden="1">#REF!</definedName>
    <definedName name="other_0mask" localSheetId="11" hidden="1">#REF!</definedName>
    <definedName name="other_0mask" hidden="1">Media!$144:$154</definedName>
    <definedName name="other_1mask" localSheetId="12" hidden="1">#REF!</definedName>
    <definedName name="other_1mask" localSheetId="11" hidden="1">#REF!</definedName>
    <definedName name="other_1mask" hidden="1">Media!$147:$154</definedName>
    <definedName name="other_1sourcecon" localSheetId="12" hidden="1">#REF!</definedName>
    <definedName name="other_1sourcecon" localSheetId="11" hidden="1">#REF!</definedName>
    <definedName name="other_1sourcecon" hidden="1">Media!$142:$143</definedName>
    <definedName name="other_1sourcerba" localSheetId="12" hidden="1">#REF!</definedName>
    <definedName name="other_1sourcerba" localSheetId="11" hidden="1">#REF!</definedName>
    <definedName name="other_1sourcerba" hidden="1">Media!$157:$158</definedName>
    <definedName name="other_2mask" localSheetId="12">#REF!</definedName>
    <definedName name="other_2mask" localSheetId="11">#REF!</definedName>
    <definedName name="other_2mask">Media!$148:$154</definedName>
    <definedName name="other_2sourcecon" localSheetId="12" hidden="1">#REF!</definedName>
    <definedName name="other_2sourcecon" localSheetId="11" hidden="1">#REF!</definedName>
    <definedName name="other_2sourcecon" hidden="1">Media!$143:$143</definedName>
    <definedName name="other_2sourcerba" localSheetId="12" hidden="1">#REF!</definedName>
    <definedName name="other_2sourcerba" localSheetId="11" hidden="1">#REF!</definedName>
    <definedName name="other_2sourcerba" hidden="1">Media!$158:$158</definedName>
    <definedName name="other_3mask" localSheetId="12">#REF!</definedName>
    <definedName name="other_3mask" localSheetId="11">#REF!</definedName>
    <definedName name="other_3mask">Media!$149:$154</definedName>
    <definedName name="other_4mask" localSheetId="12">#REF!</definedName>
    <definedName name="other_4mask" localSheetId="11">#REF!</definedName>
    <definedName name="other_4mask">Media!$150:$154</definedName>
    <definedName name="other_5mask" localSheetId="12">#REF!</definedName>
    <definedName name="other_5mask" localSheetId="11">#REF!</definedName>
    <definedName name="other_5mask">Media!$151:$154</definedName>
    <definedName name="other_6mask" localSheetId="12">#REF!</definedName>
    <definedName name="other_6mask" localSheetId="11">#REF!</definedName>
    <definedName name="other_6mask">Media!$152:$154</definedName>
    <definedName name="other_7mask" localSheetId="12">#REF!</definedName>
    <definedName name="other_7mask" localSheetId="11">#REF!</definedName>
    <definedName name="other_7mask">Media!$153:$154</definedName>
    <definedName name="other_8mask" localSheetId="12">#REF!</definedName>
    <definedName name="other_8mask" localSheetId="11">#REF!</definedName>
    <definedName name="other_8mask">Media!$154:$154</definedName>
    <definedName name="Other_Bin" localSheetId="7">'Simulation Control'!$E$31</definedName>
    <definedName name="Other_Bin" localSheetId="12">#REF!</definedName>
    <definedName name="Other_Bin" localSheetId="11">#REF!</definedName>
    <definedName name="Other_Bin">'Simulation Control'!$E$31</definedName>
    <definedName name="Other_NMask" localSheetId="12">#REF!</definedName>
    <definedName name="Other_NMask" localSheetId="11">#REF!</definedName>
    <definedName name="Other_NMask">'Simulation Control'!$G$31</definedName>
    <definedName name="Other_NSource" localSheetId="7">'Simulation Control'!$F$31</definedName>
    <definedName name="Other_NSource" localSheetId="12">#REF!</definedName>
    <definedName name="Other_NSource" localSheetId="11">#REF!</definedName>
    <definedName name="Other_NSource">'Simulation Control'!$F$31</definedName>
    <definedName name="Other_Range" localSheetId="12">#REF!</definedName>
    <definedName name="Other_Range" localSheetId="11">#REF!</definedName>
    <definedName name="Other_Range">Media!$F$140:$Z$156</definedName>
    <definedName name="Other_RBA1" localSheetId="12">#REF!</definedName>
    <definedName name="Other_RBA1" localSheetId="11">#REF!</definedName>
    <definedName name="Other_RBA1">Media!$F$156</definedName>
    <definedName name="Other_RBA2">Media!$F$157</definedName>
    <definedName name="Other_RBA3">Media!$F$158</definedName>
    <definedName name="ParamSex" localSheetId="7">'Simulation Control'!$E$14</definedName>
    <definedName name="ParamSex" localSheetId="12">#REF!</definedName>
    <definedName name="ParamSex" localSheetId="11">#REF!</definedName>
    <definedName name="ParamSex">'Simulation Control'!$E$14</definedName>
    <definedName name="PhysParam" localSheetId="12">#REF!</definedName>
    <definedName name="PhysParam" localSheetId="11">#REF!</definedName>
    <definedName name="PhysParam">'Simulation Control'!$E$20</definedName>
    <definedName name="SimName" localSheetId="7">'Simulation Control'!$E$6</definedName>
    <definedName name="SimName" localSheetId="12">#REF!</definedName>
    <definedName name="SimName" localSheetId="11">#REF!</definedName>
    <definedName name="SimName">'Simulation Control'!$E$6</definedName>
    <definedName name="soil_0mask" localSheetId="12" hidden="1">#REF!</definedName>
    <definedName name="soil_0mask" localSheetId="11" hidden="1">#REF!</definedName>
    <definedName name="soil_0mask" hidden="1">Media!$15:$25</definedName>
    <definedName name="soil_1mask" localSheetId="12" hidden="1">#REF!</definedName>
    <definedName name="soil_1mask" localSheetId="11" hidden="1">#REF!</definedName>
    <definedName name="soil_1mask" hidden="1">Media!$18:$25</definedName>
    <definedName name="soil_1sourcecon" localSheetId="12" hidden="1">#REF!</definedName>
    <definedName name="soil_1sourcecon" localSheetId="11" hidden="1">#REF!</definedName>
    <definedName name="soil_1sourcecon" hidden="1">Media!$13:$14</definedName>
    <definedName name="soil_1sourceint" localSheetId="12" hidden="1">#REF!</definedName>
    <definedName name="soil_1sourceint" localSheetId="11" hidden="1">#REF!</definedName>
    <definedName name="soil_1sourceint" hidden="1">Media!$30:$31</definedName>
    <definedName name="soil_1sourcerba" localSheetId="12" hidden="1">#REF!</definedName>
    <definedName name="soil_1sourcerba" localSheetId="11" hidden="1">#REF!</definedName>
    <definedName name="soil_1sourcerba" hidden="1">Media!$34:$35</definedName>
    <definedName name="soil_2mask" localSheetId="12">#REF!</definedName>
    <definedName name="soil_2mask" localSheetId="11">#REF!</definedName>
    <definedName name="soil_2mask">Media!$19:$25</definedName>
    <definedName name="soil_2sourcecon" localSheetId="12" hidden="1">#REF!</definedName>
    <definedName name="soil_2sourcecon" localSheetId="11" hidden="1">#REF!</definedName>
    <definedName name="soil_2sourcecon" hidden="1">Media!$14:$14</definedName>
    <definedName name="soil_2sourceint" localSheetId="12" hidden="1">#REF!</definedName>
    <definedName name="soil_2sourceint" localSheetId="11" hidden="1">#REF!</definedName>
    <definedName name="soil_2sourceint" hidden="1">Media!$31:$31</definedName>
    <definedName name="soil_2sourcerba" localSheetId="12" hidden="1">#REF!</definedName>
    <definedName name="soil_2sourcerba" localSheetId="11" hidden="1">#REF!</definedName>
    <definedName name="soil_2sourcerba" hidden="1">Media!$35:$35</definedName>
    <definedName name="soil_3mask" localSheetId="12" hidden="1">#REF!</definedName>
    <definedName name="soil_3mask" localSheetId="11" hidden="1">#REF!</definedName>
    <definedName name="soil_3mask" hidden="1">Media!$20:$25</definedName>
    <definedName name="soil_4mask" localSheetId="12" hidden="1">#REF!</definedName>
    <definedName name="soil_4mask" localSheetId="11" hidden="1">#REF!</definedName>
    <definedName name="soil_4mask" hidden="1">Media!$21:$25</definedName>
    <definedName name="soil_5mask" localSheetId="12">#REF!</definedName>
    <definedName name="soil_5mask" localSheetId="11">#REF!</definedName>
    <definedName name="soil_5mask">Media!$22:$25</definedName>
    <definedName name="soil_6mask" localSheetId="12">#REF!</definedName>
    <definedName name="soil_6mask" localSheetId="11">#REF!</definedName>
    <definedName name="soil_6mask">Media!$23:$25</definedName>
    <definedName name="soil_7mask" localSheetId="12">#REF!</definedName>
    <definedName name="soil_7mask" localSheetId="11">#REF!</definedName>
    <definedName name="soil_7mask">Media!$24:$25</definedName>
    <definedName name="soil_8mask" localSheetId="12">#REF!</definedName>
    <definedName name="soil_8mask" localSheetId="11">#REF!</definedName>
    <definedName name="soil_8mask">Media!$25:$25</definedName>
    <definedName name="Soil_Bin" localSheetId="7">'Simulation Control'!$E$26</definedName>
    <definedName name="Soil_Bin" localSheetId="12">#REF!</definedName>
    <definedName name="Soil_Bin" localSheetId="11">#REF!</definedName>
    <definedName name="Soil_Bin">'Simulation Control'!$E$26</definedName>
    <definedName name="Soil_End" localSheetId="12">#REF!</definedName>
    <definedName name="Soil_End" localSheetId="11">#REF!</definedName>
    <definedName name="Soil_End">Media!$A$36</definedName>
    <definedName name="Soil_Frac1" localSheetId="12">#REF!</definedName>
    <definedName name="Soil_Frac1" localSheetId="11">#REF!</definedName>
    <definedName name="Soil_Frac1">Media!$29:$29</definedName>
    <definedName name="soil_intake_default" localSheetId="12">#REF!</definedName>
    <definedName name="soil_intake_default" localSheetId="11">#REF!</definedName>
    <definedName name="soil_intake_default">Lookup!$CX$2:$DC$4</definedName>
    <definedName name="soil_intake_reset" localSheetId="12">#REF!</definedName>
    <definedName name="soil_intake_reset" localSheetId="11">#REF!</definedName>
    <definedName name="soil_intake_reset">Media!$F$27:$K$29</definedName>
    <definedName name="Soil_NMask" localSheetId="12">#REF!</definedName>
    <definedName name="Soil_NMask" localSheetId="11">#REF!</definedName>
    <definedName name="Soil_NMask">'Simulation Control'!$G$26</definedName>
    <definedName name="Soil_NSource" localSheetId="12">#REF!</definedName>
    <definedName name="Soil_NSource" localSheetId="11">#REF!</definedName>
    <definedName name="Soil_NSource">'Simulation Control'!$F$26</definedName>
    <definedName name="Soil_range" localSheetId="12">#REF!</definedName>
    <definedName name="Soil_range" localSheetId="11">#REF!</definedName>
    <definedName name="Soil_range">Media!$F$11:$Z$33</definedName>
    <definedName name="Soil_RBA1" localSheetId="12">#REF!</definedName>
    <definedName name="Soil_RBA1" localSheetId="11">#REF!</definedName>
    <definedName name="Soil_RBA1">Media!$F$33</definedName>
    <definedName name="Soil_RBA2">Media!$F$34</definedName>
    <definedName name="Soil_RBA3">Media!$F$35</definedName>
    <definedName name="Soil_Start" localSheetId="12">#REF!</definedName>
    <definedName name="Soil_Start" localSheetId="11">#REF!</definedName>
    <definedName name="Soil_Start">Media!$A$10</definedName>
    <definedName name="SolType" localSheetId="12">#REF!</definedName>
    <definedName name="SolType" localSheetId="11">#REF!</definedName>
    <definedName name="SolType">'Simulation Control'!$E$33</definedName>
    <definedName name="SolutionType" localSheetId="12">#REF!</definedName>
    <definedName name="SolutionType" localSheetId="11">#REF!</definedName>
    <definedName name="SolutionType">'Simulation Control'!$E$33</definedName>
    <definedName name="source_2_ci_dust">LTC!$20:$21</definedName>
    <definedName name="source_3_ci_dust">LTC!$22:$23</definedName>
    <definedName name="source2_dust">LTC!$7:$7</definedName>
    <definedName name="source2_dust_am">LTC!$27:$27</definedName>
    <definedName name="source2_dust_ci">LTC!$20:$21</definedName>
    <definedName name="source2_dust_ci_low">LTC!$20:$20</definedName>
    <definedName name="source2_dust_gm">LTC!$13:$13</definedName>
    <definedName name="source2_dust_loading">LTC!$7:$7</definedName>
    <definedName name="source3_dust_am">LTC!$28:$28</definedName>
    <definedName name="source3_dust_ci">LTC!$22:$23</definedName>
    <definedName name="source3_dust_gm">LTC!$14:$14</definedName>
    <definedName name="source3_dust_loading">LTC!$8:$8</definedName>
    <definedName name="source4_dust_gm">LTC!$13:$13</definedName>
    <definedName name="StepHr" localSheetId="12">#REF!</definedName>
    <definedName name="StepHr" localSheetId="11">#REF!</definedName>
    <definedName name="StepHr">'Simulation Control'!$E$10</definedName>
    <definedName name="StepOut" localSheetId="12">#REF!</definedName>
    <definedName name="StepOut" localSheetId="11">#REF!</definedName>
    <definedName name="StepOut">'Simulation Control'!$E$11</definedName>
    <definedName name="water_0mask" localSheetId="12" hidden="1">#REF!</definedName>
    <definedName name="water_0mask" localSheetId="11" hidden="1">#REF!</definedName>
    <definedName name="water_0mask" hidden="1">Media!$69:$79</definedName>
    <definedName name="water_1mask" localSheetId="12">#REF!</definedName>
    <definedName name="water_1mask" localSheetId="11">#REF!</definedName>
    <definedName name="water_1mask">Media!$72:$79</definedName>
    <definedName name="water_1sourcecon" localSheetId="12" hidden="1">#REF!</definedName>
    <definedName name="water_1sourcecon" localSheetId="11" hidden="1">#REF!</definedName>
    <definedName name="water_1sourcecon" hidden="1">Media!$67:$68</definedName>
    <definedName name="water_1sourceint" localSheetId="12" hidden="1">#REF!</definedName>
    <definedName name="water_1sourceint" localSheetId="11" hidden="1">#REF!</definedName>
    <definedName name="water_1sourceint" hidden="1">Media!$84:$85</definedName>
    <definedName name="water_1sourcerba" localSheetId="12" hidden="1">#REF!</definedName>
    <definedName name="water_1sourcerba" localSheetId="11" hidden="1">#REF!</definedName>
    <definedName name="water_1sourcerba" hidden="1">Media!$88:$89</definedName>
    <definedName name="water_2mask" localSheetId="12" hidden="1">#REF!</definedName>
    <definedName name="water_2mask" localSheetId="11" hidden="1">#REF!</definedName>
    <definedName name="water_2mask" hidden="1">Media!$73:$79</definedName>
    <definedName name="water_2sourcecon" localSheetId="12" hidden="1">#REF!</definedName>
    <definedName name="water_2sourcecon" localSheetId="11" hidden="1">#REF!</definedName>
    <definedName name="water_2sourcecon" hidden="1">Media!$68:$68</definedName>
    <definedName name="water_2sourceint" localSheetId="12" hidden="1">#REF!</definedName>
    <definedName name="water_2sourceint" localSheetId="11" hidden="1">#REF!</definedName>
    <definedName name="water_2sourceint" hidden="1">Media!$85:$85</definedName>
    <definedName name="water_2sourcerba" localSheetId="12" hidden="1">#REF!</definedName>
    <definedName name="water_2sourcerba" localSheetId="11" hidden="1">#REF!</definedName>
    <definedName name="water_2sourcerba" hidden="1">Media!$89:$89</definedName>
    <definedName name="water_3mask" localSheetId="12">#REF!</definedName>
    <definedName name="water_3mask" localSheetId="11">#REF!</definedName>
    <definedName name="water_3mask">Media!$74:$79</definedName>
    <definedName name="water_4mask" localSheetId="12">#REF!</definedName>
    <definedName name="water_4mask" localSheetId="11">#REF!</definedName>
    <definedName name="water_4mask">Media!$75:$79</definedName>
    <definedName name="water_5mask" localSheetId="12">#REF!</definedName>
    <definedName name="water_5mask" localSheetId="11">#REF!</definedName>
    <definedName name="water_5mask">Media!$76:$79</definedName>
    <definedName name="water_6mask" localSheetId="12">#REF!</definedName>
    <definedName name="water_6mask" localSheetId="11">#REF!</definedName>
    <definedName name="water_6mask">Media!$77:$79</definedName>
    <definedName name="water_7mask" localSheetId="12">#REF!</definedName>
    <definedName name="water_7mask" localSheetId="11">#REF!</definedName>
    <definedName name="water_7mask">Media!$78:$79</definedName>
    <definedName name="water_8mask" localSheetId="12">#REF!</definedName>
    <definedName name="water_8mask" localSheetId="11">#REF!</definedName>
    <definedName name="water_8mask">Media!$79:$79</definedName>
    <definedName name="Water_Bin" localSheetId="7">'Simulation Control'!$E$28</definedName>
    <definedName name="Water_Bin" localSheetId="12">#REF!</definedName>
    <definedName name="Water_Bin" localSheetId="11">#REF!</definedName>
    <definedName name="Water_Bin">'Simulation Control'!$E$28</definedName>
    <definedName name="Water_Frac1" localSheetId="12">#REF!</definedName>
    <definedName name="Water_Frac1" localSheetId="11">#REF!</definedName>
    <definedName name="Water_Frac1">Media!$83:$83</definedName>
    <definedName name="water_intake_default" localSheetId="12">#REF!</definedName>
    <definedName name="water_intake_default" localSheetId="11">#REF!</definedName>
    <definedName name="water_intake_default">Lookup!$DZ$2:$EF$4</definedName>
    <definedName name="water_intake_reset" localSheetId="12">#REF!</definedName>
    <definedName name="water_intake_reset" localSheetId="11">#REF!</definedName>
    <definedName name="water_intake_reset">Media!$F$81:$L$83</definedName>
    <definedName name="Water_NMask" localSheetId="12">#REF!</definedName>
    <definedName name="Water_NMask" localSheetId="11">#REF!</definedName>
    <definedName name="Water_NMask">'Simulation Control'!$G$28</definedName>
    <definedName name="Water_NSource" localSheetId="7">'Simulation Control'!$F$28</definedName>
    <definedName name="Water_NSource" localSheetId="12">#REF!</definedName>
    <definedName name="Water_NSource" localSheetId="11">#REF!</definedName>
    <definedName name="Water_NSource">'Simulation Control'!$F$28</definedName>
    <definedName name="Water_range" localSheetId="12">#REF!</definedName>
    <definedName name="Water_range" localSheetId="11">#REF!</definedName>
    <definedName name="Water_range">Media!$F$65:$Z$87</definedName>
    <definedName name="Water_RBA1" localSheetId="12">#REF!</definedName>
    <definedName name="Water_RBA1" localSheetId="11">#REF!</definedName>
    <definedName name="Water_RBA1">Media!$F$87</definedName>
    <definedName name="Water_RBA2">Media!$F$88</definedName>
    <definedName name="Water_RBA3">Media!$F$89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2" i="43" l="1"/>
  <c r="E107" i="43" a="1"/>
  <c r="E107" i="43" s="1"/>
  <c r="H25" i="289"/>
  <c r="I25" i="289"/>
  <c r="J25" i="289"/>
  <c r="K25" i="289"/>
  <c r="L25" i="289"/>
  <c r="M25" i="289"/>
  <c r="N25" i="289"/>
  <c r="O25" i="289"/>
  <c r="P25" i="289"/>
  <c r="Q25" i="289"/>
  <c r="R25" i="289"/>
  <c r="S25" i="289"/>
  <c r="T25" i="289"/>
  <c r="U25" i="289"/>
  <c r="V25" i="289"/>
  <c r="W25" i="289"/>
  <c r="X25" i="289"/>
  <c r="Y25" i="289"/>
  <c r="H17" i="289"/>
  <c r="I17" i="289"/>
  <c r="J17" i="289"/>
  <c r="K17" i="289"/>
  <c r="L17" i="289"/>
  <c r="M17" i="289"/>
  <c r="N17" i="289"/>
  <c r="O17" i="289"/>
  <c r="P17" i="289"/>
  <c r="Q17" i="289"/>
  <c r="R17" i="289"/>
  <c r="S17" i="289"/>
  <c r="T17" i="289"/>
  <c r="U17" i="289"/>
  <c r="V17" i="289"/>
  <c r="W17" i="289"/>
  <c r="X17" i="289"/>
  <c r="Y17" i="289"/>
  <c r="H11" i="289"/>
  <c r="I11" i="289"/>
  <c r="J11" i="289"/>
  <c r="K11" i="289"/>
  <c r="L11" i="289"/>
  <c r="M11" i="289"/>
  <c r="N11" i="289"/>
  <c r="O11" i="289"/>
  <c r="P11" i="289"/>
  <c r="Q11" i="289"/>
  <c r="R11" i="289"/>
  <c r="S11" i="289"/>
  <c r="T11" i="289"/>
  <c r="U11" i="289"/>
  <c r="V11" i="289"/>
  <c r="W11" i="289"/>
  <c r="X11" i="289"/>
  <c r="Y11" i="289"/>
  <c r="H12" i="289"/>
  <c r="H18" i="289" s="1"/>
  <c r="I12" i="289"/>
  <c r="I18" i="289" s="1"/>
  <c r="J12" i="289"/>
  <c r="J26" i="289" s="1"/>
  <c r="K12" i="289"/>
  <c r="K18" i="289" s="1"/>
  <c r="L12" i="289"/>
  <c r="L18" i="289" s="1"/>
  <c r="M12" i="289"/>
  <c r="M18" i="289" s="1"/>
  <c r="N12" i="289"/>
  <c r="N26" i="289" s="1"/>
  <c r="O12" i="289"/>
  <c r="O26" i="289" s="1"/>
  <c r="P12" i="289"/>
  <c r="P18" i="289" s="1"/>
  <c r="Q12" i="289"/>
  <c r="Q18" i="289" s="1"/>
  <c r="R12" i="289"/>
  <c r="R18" i="289" s="1"/>
  <c r="S12" i="289"/>
  <c r="S18" i="289" s="1"/>
  <c r="T12" i="289"/>
  <c r="T18" i="289" s="1"/>
  <c r="U12" i="289"/>
  <c r="U19" i="289" s="1"/>
  <c r="V12" i="289"/>
  <c r="V26" i="289" s="1"/>
  <c r="W12" i="289"/>
  <c r="W19" i="289" s="1"/>
  <c r="X12" i="289"/>
  <c r="X18" i="289" s="1"/>
  <c r="Y12" i="289"/>
  <c r="Y18" i="289" s="1"/>
  <c r="H13" i="289"/>
  <c r="H27" i="289" s="1"/>
  <c r="I13" i="289"/>
  <c r="I20" i="289" s="1"/>
  <c r="J13" i="289"/>
  <c r="J20" i="289" s="1"/>
  <c r="K13" i="289"/>
  <c r="K20" i="289" s="1"/>
  <c r="L13" i="289"/>
  <c r="L27" i="289" s="1"/>
  <c r="M13" i="289"/>
  <c r="M20" i="289" s="1"/>
  <c r="N13" i="289"/>
  <c r="N20" i="289" s="1"/>
  <c r="O13" i="289"/>
  <c r="O20" i="289" s="1"/>
  <c r="P13" i="289"/>
  <c r="P20" i="289" s="1"/>
  <c r="Q13" i="289"/>
  <c r="Q20" i="289" s="1"/>
  <c r="R13" i="289"/>
  <c r="R20" i="289" s="1"/>
  <c r="S13" i="289"/>
  <c r="S20" i="289" s="1"/>
  <c r="T13" i="289"/>
  <c r="T27" i="289" s="1"/>
  <c r="U13" i="289"/>
  <c r="U27" i="289" s="1"/>
  <c r="V13" i="289"/>
  <c r="V20" i="289" s="1"/>
  <c r="W13" i="289"/>
  <c r="W20" i="289" s="1"/>
  <c r="X13" i="289"/>
  <c r="X27" i="289" s="1"/>
  <c r="Y13" i="289"/>
  <c r="Y20" i="289" s="1"/>
  <c r="H14" i="289"/>
  <c r="H28" i="289" s="1"/>
  <c r="I14" i="289"/>
  <c r="I22" i="289" s="1"/>
  <c r="J14" i="289"/>
  <c r="J23" i="289" s="1"/>
  <c r="K14" i="289"/>
  <c r="K28" i="289" s="1"/>
  <c r="L14" i="289"/>
  <c r="L28" i="289" s="1"/>
  <c r="M14" i="289"/>
  <c r="M28" i="289" s="1"/>
  <c r="N14" i="289"/>
  <c r="N28" i="289" s="1"/>
  <c r="O14" i="289"/>
  <c r="O28" i="289" s="1"/>
  <c r="P14" i="289"/>
  <c r="P28" i="289" s="1"/>
  <c r="Q14" i="289"/>
  <c r="Q22" i="289" s="1"/>
  <c r="R14" i="289"/>
  <c r="R23" i="289" s="1"/>
  <c r="S14" i="289"/>
  <c r="S28" i="289" s="1"/>
  <c r="T14" i="289"/>
  <c r="T28" i="289" s="1"/>
  <c r="U14" i="289"/>
  <c r="U22" i="289" s="1"/>
  <c r="V14" i="289"/>
  <c r="V23" i="289" s="1"/>
  <c r="W14" i="289"/>
  <c r="W28" i="289" s="1"/>
  <c r="X14" i="289"/>
  <c r="X28" i="289" s="1"/>
  <c r="Y14" i="289"/>
  <c r="Y23" i="289" s="1"/>
  <c r="W13" i="291"/>
  <c r="X13" i="291"/>
  <c r="Y13" i="291"/>
  <c r="Z13" i="291"/>
  <c r="AA13" i="291"/>
  <c r="AB13" i="291"/>
  <c r="AC13" i="291"/>
  <c r="AD13" i="291"/>
  <c r="AE13" i="291"/>
  <c r="AF13" i="291"/>
  <c r="AG13" i="291"/>
  <c r="AH13" i="291"/>
  <c r="AI13" i="291"/>
  <c r="AJ13" i="291"/>
  <c r="AK13" i="291"/>
  <c r="V13" i="291"/>
  <c r="E108" i="43"/>
  <c r="G14" i="289"/>
  <c r="G23" i="289" s="1"/>
  <c r="F14" i="289"/>
  <c r="F22" i="289" s="1"/>
  <c r="G13" i="289"/>
  <c r="G27" i="289" s="1"/>
  <c r="F13" i="289"/>
  <c r="F27" i="289" s="1"/>
  <c r="G12" i="289"/>
  <c r="G26" i="289" s="1"/>
  <c r="G17" i="289"/>
  <c r="G11" i="289"/>
  <c r="G25" i="289"/>
  <c r="F12" i="289"/>
  <c r="F26" i="289" s="1"/>
  <c r="X20" i="289" l="1"/>
  <c r="V22" i="289"/>
  <c r="L19" i="289"/>
  <c r="T26" i="289"/>
  <c r="T23" i="289"/>
  <c r="H26" i="289"/>
  <c r="H19" i="289"/>
  <c r="J18" i="289"/>
  <c r="H23" i="289"/>
  <c r="H22" i="289"/>
  <c r="H21" i="289"/>
  <c r="H20" i="289"/>
  <c r="I23" i="289"/>
  <c r="S23" i="289"/>
  <c r="J19" i="289"/>
  <c r="U26" i="289"/>
  <c r="S21" i="289"/>
  <c r="V28" i="289"/>
  <c r="P23" i="289"/>
  <c r="R21" i="289"/>
  <c r="T19" i="289"/>
  <c r="W18" i="289"/>
  <c r="R26" i="289"/>
  <c r="N23" i="289"/>
  <c r="P21" i="289"/>
  <c r="R19" i="289"/>
  <c r="S27" i="289"/>
  <c r="Q23" i="289"/>
  <c r="L23" i="289"/>
  <c r="N21" i="289"/>
  <c r="P19" i="289"/>
  <c r="O18" i="289"/>
  <c r="R27" i="289"/>
  <c r="O19" i="289"/>
  <c r="P27" i="289"/>
  <c r="M21" i="289"/>
  <c r="J21" i="289"/>
  <c r="M19" i="289"/>
  <c r="J27" i="289"/>
  <c r="K23" i="289"/>
  <c r="K21" i="289"/>
  <c r="K27" i="289"/>
  <c r="M26" i="289"/>
  <c r="L26" i="289"/>
  <c r="R28" i="289"/>
  <c r="N18" i="289"/>
  <c r="X23" i="289"/>
  <c r="O23" i="289"/>
  <c r="Y22" i="289"/>
  <c r="P22" i="289"/>
  <c r="Q21" i="289"/>
  <c r="I21" i="289"/>
  <c r="S19" i="289"/>
  <c r="K19" i="289"/>
  <c r="U18" i="289"/>
  <c r="Y28" i="289"/>
  <c r="Q27" i="289"/>
  <c r="I27" i="289"/>
  <c r="S26" i="289"/>
  <c r="K26" i="289"/>
  <c r="V18" i="289"/>
  <c r="W23" i="289"/>
  <c r="Y21" i="289"/>
  <c r="Y27" i="289"/>
  <c r="R22" i="289"/>
  <c r="Q28" i="289"/>
  <c r="I28" i="289"/>
  <c r="X22" i="289"/>
  <c r="O22" i="289"/>
  <c r="M23" i="289"/>
  <c r="W22" i="289"/>
  <c r="N22" i="289"/>
  <c r="X21" i="289"/>
  <c r="O21" i="289"/>
  <c r="Q19" i="289"/>
  <c r="I19" i="289"/>
  <c r="O27" i="289"/>
  <c r="Y26" i="289"/>
  <c r="Q26" i="289"/>
  <c r="I26" i="289"/>
  <c r="J22" i="289"/>
  <c r="V19" i="289"/>
  <c r="M22" i="289"/>
  <c r="W21" i="289"/>
  <c r="Y19" i="289"/>
  <c r="W27" i="289"/>
  <c r="N27" i="289"/>
  <c r="X26" i="289"/>
  <c r="P26" i="289"/>
  <c r="L20" i="289"/>
  <c r="J28" i="289"/>
  <c r="T22" i="289"/>
  <c r="L22" i="289"/>
  <c r="V21" i="289"/>
  <c r="X19" i="289"/>
  <c r="V27" i="289"/>
  <c r="M27" i="289"/>
  <c r="W26" i="289"/>
  <c r="T20" i="289"/>
  <c r="S22" i="289"/>
  <c r="K22" i="289"/>
  <c r="T21" i="289"/>
  <c r="L21" i="289"/>
  <c r="N19" i="289"/>
  <c r="U28" i="289"/>
  <c r="U23" i="289"/>
  <c r="U21" i="289"/>
  <c r="U20" i="289"/>
  <c r="F19" i="289"/>
  <c r="F18" i="289"/>
  <c r="G22" i="289"/>
  <c r="F28" i="289"/>
  <c r="G20" i="289"/>
  <c r="F21" i="289"/>
  <c r="F23" i="289"/>
  <c r="G21" i="289"/>
  <c r="F20" i="289"/>
  <c r="G28" i="289"/>
  <c r="G18" i="289"/>
  <c r="G19" i="289"/>
  <c r="E109" i="43"/>
  <c r="O17" i="291"/>
  <c r="O16" i="291"/>
  <c r="O15" i="291"/>
  <c r="O14" i="291"/>
  <c r="O13" i="291"/>
  <c r="O12" i="291"/>
  <c r="O11" i="291"/>
  <c r="O10" i="291"/>
  <c r="T9" i="291" a="1"/>
  <c r="T9" i="291" s="1"/>
  <c r="T14" i="291"/>
  <c r="O9" i="291"/>
  <c r="O8" i="291"/>
  <c r="O7" i="291"/>
  <c r="R8" i="291" s="1"/>
  <c r="T6" i="291" l="1"/>
  <c r="F17" i="289"/>
  <c r="F25" i="289"/>
  <c r="F11" i="289"/>
  <c r="D12" i="289" l="1"/>
  <c r="D18" i="289" s="1"/>
  <c r="D26" i="289" s="1"/>
  <c r="G91" i="43" l="1"/>
  <c r="E6" i="43" a="1"/>
  <c r="E6" i="43" s="1"/>
  <c r="G207" i="43" l="1"/>
  <c r="E209" i="43"/>
  <c r="J131" i="43" l="1"/>
  <c r="K131" i="43"/>
  <c r="L131" i="43"/>
  <c r="L130" i="43"/>
  <c r="K130" i="43"/>
  <c r="J130" i="43"/>
  <c r="E207" i="43"/>
  <c r="E9" i="43"/>
  <c r="K127" i="43" l="1"/>
  <c r="AC127" i="43"/>
  <c r="AB127" i="43"/>
  <c r="AA127" i="43"/>
  <c r="Z127" i="43"/>
  <c r="Y127" i="43"/>
  <c r="X127" i="43"/>
  <c r="W127" i="43"/>
  <c r="V127" i="43"/>
  <c r="U127" i="43"/>
  <c r="T127" i="43"/>
  <c r="S127" i="43"/>
  <c r="R127" i="43"/>
  <c r="Q127" i="43"/>
  <c r="P127" i="43"/>
  <c r="O127" i="43"/>
  <c r="N127" i="43"/>
  <c r="M127" i="43"/>
  <c r="L127" i="43"/>
  <c r="J127" i="43"/>
  <c r="I127" i="43"/>
  <c r="H127" i="43"/>
  <c r="G127" i="43"/>
  <c r="F127" i="43"/>
  <c r="E127" i="43"/>
  <c r="BG69" i="29"/>
  <c r="F90" i="43" l="1"/>
  <c r="G90" i="43"/>
  <c r="H90" i="43"/>
  <c r="I90" i="43"/>
  <c r="J90" i="43"/>
  <c r="K90" i="43"/>
  <c r="L90" i="43"/>
  <c r="M90" i="43"/>
  <c r="N90" i="43"/>
  <c r="O90" i="43"/>
  <c r="P90" i="43"/>
  <c r="Q90" i="43"/>
  <c r="R90" i="43"/>
  <c r="S90" i="43"/>
  <c r="T90" i="43"/>
  <c r="U90" i="43"/>
  <c r="V90" i="43"/>
  <c r="W90" i="43"/>
  <c r="X90" i="43"/>
  <c r="Y90" i="43"/>
  <c r="Z90" i="43"/>
  <c r="AA90" i="43"/>
  <c r="AB90" i="43"/>
  <c r="AC90" i="43"/>
  <c r="E90" i="43"/>
  <c r="F89" i="43"/>
  <c r="G89" i="43"/>
  <c r="H89" i="43"/>
  <c r="I89" i="43"/>
  <c r="J89" i="43"/>
  <c r="K89" i="43"/>
  <c r="L89" i="43"/>
  <c r="M89" i="43"/>
  <c r="N89" i="43"/>
  <c r="O89" i="43"/>
  <c r="P89" i="43"/>
  <c r="Q89" i="43"/>
  <c r="R89" i="43"/>
  <c r="S89" i="43"/>
  <c r="T89" i="43"/>
  <c r="U89" i="43"/>
  <c r="V89" i="43"/>
  <c r="W89" i="43"/>
  <c r="X89" i="43"/>
  <c r="Y89" i="43"/>
  <c r="Z89" i="43"/>
  <c r="AA89" i="43"/>
  <c r="AB89" i="43"/>
  <c r="AC89" i="43"/>
  <c r="E89" i="43"/>
  <c r="F88" i="43"/>
  <c r="G88" i="43"/>
  <c r="H88" i="43"/>
  <c r="I88" i="43"/>
  <c r="J88" i="43"/>
  <c r="K88" i="43"/>
  <c r="L88" i="43"/>
  <c r="M88" i="43"/>
  <c r="N88" i="43"/>
  <c r="O88" i="43"/>
  <c r="P88" i="43"/>
  <c r="Q88" i="43"/>
  <c r="R88" i="43"/>
  <c r="S88" i="43"/>
  <c r="T88" i="43"/>
  <c r="U88" i="43"/>
  <c r="V88" i="43"/>
  <c r="W88" i="43"/>
  <c r="X88" i="43"/>
  <c r="Y88" i="43"/>
  <c r="Z88" i="43"/>
  <c r="AA88" i="43"/>
  <c r="AB88" i="43"/>
  <c r="AC88" i="43"/>
  <c r="E88" i="43"/>
  <c r="F87" i="43"/>
  <c r="G87" i="43"/>
  <c r="H87" i="43"/>
  <c r="I87" i="43"/>
  <c r="J87" i="43"/>
  <c r="K87" i="43"/>
  <c r="L87" i="43"/>
  <c r="M87" i="43"/>
  <c r="N87" i="43"/>
  <c r="O87" i="43"/>
  <c r="P87" i="43"/>
  <c r="Q87" i="43"/>
  <c r="R87" i="43"/>
  <c r="S87" i="43"/>
  <c r="T87" i="43"/>
  <c r="U87" i="43"/>
  <c r="V87" i="43"/>
  <c r="W87" i="43"/>
  <c r="X87" i="43"/>
  <c r="Y87" i="43"/>
  <c r="Z87" i="43"/>
  <c r="AA87" i="43"/>
  <c r="AB87" i="43"/>
  <c r="AC87" i="43"/>
  <c r="E87" i="43"/>
  <c r="F86" i="43"/>
  <c r="G86" i="43"/>
  <c r="H86" i="43"/>
  <c r="I86" i="43"/>
  <c r="J86" i="43"/>
  <c r="K86" i="43"/>
  <c r="L86" i="43"/>
  <c r="M86" i="43"/>
  <c r="N86" i="43"/>
  <c r="O86" i="43"/>
  <c r="P86" i="43"/>
  <c r="Q86" i="43"/>
  <c r="R86" i="43"/>
  <c r="S86" i="43"/>
  <c r="T86" i="43"/>
  <c r="U86" i="43"/>
  <c r="V86" i="43"/>
  <c r="W86" i="43"/>
  <c r="X86" i="43"/>
  <c r="Y86" i="43"/>
  <c r="Z86" i="43"/>
  <c r="AA86" i="43"/>
  <c r="AB86" i="43"/>
  <c r="AC86" i="43"/>
  <c r="E86" i="43"/>
  <c r="F85" i="43"/>
  <c r="G85" i="43"/>
  <c r="H85" i="43"/>
  <c r="I85" i="43"/>
  <c r="J85" i="43"/>
  <c r="K85" i="43"/>
  <c r="L85" i="43"/>
  <c r="M85" i="43"/>
  <c r="N85" i="43"/>
  <c r="O85" i="43"/>
  <c r="P85" i="43"/>
  <c r="Q85" i="43"/>
  <c r="R85" i="43"/>
  <c r="S85" i="43"/>
  <c r="T85" i="43"/>
  <c r="U85" i="43"/>
  <c r="V85" i="43"/>
  <c r="W85" i="43"/>
  <c r="X85" i="43"/>
  <c r="Y85" i="43"/>
  <c r="Z85" i="43"/>
  <c r="AA85" i="43"/>
  <c r="AB85" i="43"/>
  <c r="AC85" i="43"/>
  <c r="E85" i="43"/>
  <c r="F84" i="43"/>
  <c r="G84" i="43"/>
  <c r="H84" i="43"/>
  <c r="I84" i="43"/>
  <c r="J84" i="43"/>
  <c r="K84" i="43"/>
  <c r="L84" i="43"/>
  <c r="M84" i="43"/>
  <c r="N84" i="43"/>
  <c r="O84" i="43"/>
  <c r="P84" i="43"/>
  <c r="Q84" i="43"/>
  <c r="R84" i="43"/>
  <c r="S84" i="43"/>
  <c r="T84" i="43"/>
  <c r="U84" i="43"/>
  <c r="V84" i="43"/>
  <c r="W84" i="43"/>
  <c r="X84" i="43"/>
  <c r="Y84" i="43"/>
  <c r="Z84" i="43"/>
  <c r="AA84" i="43"/>
  <c r="AB84" i="43"/>
  <c r="AC84" i="43"/>
  <c r="E84" i="43"/>
  <c r="F83" i="43"/>
  <c r="G83" i="43"/>
  <c r="H83" i="43"/>
  <c r="I83" i="43"/>
  <c r="J83" i="43"/>
  <c r="K83" i="43"/>
  <c r="L83" i="43"/>
  <c r="M83" i="43"/>
  <c r="N83" i="43"/>
  <c r="O83" i="43"/>
  <c r="P83" i="43"/>
  <c r="Q83" i="43"/>
  <c r="R83" i="43"/>
  <c r="S83" i="43"/>
  <c r="T83" i="43"/>
  <c r="U83" i="43"/>
  <c r="V83" i="43"/>
  <c r="W83" i="43"/>
  <c r="X83" i="43"/>
  <c r="Y83" i="43"/>
  <c r="Z83" i="43"/>
  <c r="AA83" i="43"/>
  <c r="AB83" i="43"/>
  <c r="AC83" i="43"/>
  <c r="E83" i="43"/>
  <c r="F82" i="43"/>
  <c r="G82" i="43"/>
  <c r="H82" i="43"/>
  <c r="I82" i="43"/>
  <c r="J82" i="43"/>
  <c r="K82" i="43"/>
  <c r="L82" i="43"/>
  <c r="M82" i="43"/>
  <c r="N82" i="43"/>
  <c r="O82" i="43"/>
  <c r="P82" i="43"/>
  <c r="Q82" i="43"/>
  <c r="R82" i="43"/>
  <c r="S82" i="43"/>
  <c r="T82" i="43"/>
  <c r="U82" i="43"/>
  <c r="V82" i="43"/>
  <c r="W82" i="43"/>
  <c r="X82" i="43"/>
  <c r="Y82" i="43"/>
  <c r="Z82" i="43"/>
  <c r="AA82" i="43"/>
  <c r="AB82" i="43"/>
  <c r="AC82" i="43"/>
  <c r="E82" i="43"/>
  <c r="F81" i="43"/>
  <c r="G81" i="43"/>
  <c r="H81" i="43"/>
  <c r="I81" i="43"/>
  <c r="J81" i="43"/>
  <c r="K81" i="43"/>
  <c r="L81" i="43"/>
  <c r="M81" i="43"/>
  <c r="N81" i="43"/>
  <c r="O81" i="43"/>
  <c r="P81" i="43"/>
  <c r="Q81" i="43"/>
  <c r="R81" i="43"/>
  <c r="S81" i="43"/>
  <c r="T81" i="43"/>
  <c r="U81" i="43"/>
  <c r="V81" i="43"/>
  <c r="W81" i="43"/>
  <c r="X81" i="43"/>
  <c r="Y81" i="43"/>
  <c r="Z81" i="43"/>
  <c r="AA81" i="43"/>
  <c r="AB81" i="43"/>
  <c r="AC81" i="43"/>
  <c r="E81" i="43"/>
  <c r="F80" i="43"/>
  <c r="G80" i="43"/>
  <c r="H80" i="43"/>
  <c r="I80" i="43"/>
  <c r="J80" i="43"/>
  <c r="K80" i="43"/>
  <c r="L80" i="43"/>
  <c r="M80" i="43"/>
  <c r="N80" i="43"/>
  <c r="O80" i="43"/>
  <c r="P80" i="43"/>
  <c r="Q80" i="43"/>
  <c r="R80" i="43"/>
  <c r="S80" i="43"/>
  <c r="T80" i="43"/>
  <c r="U80" i="43"/>
  <c r="V80" i="43"/>
  <c r="W80" i="43"/>
  <c r="X80" i="43"/>
  <c r="Y80" i="43"/>
  <c r="Z80" i="43"/>
  <c r="AA80" i="43"/>
  <c r="AB80" i="43"/>
  <c r="AC80" i="43"/>
  <c r="E80" i="43"/>
  <c r="F79" i="43"/>
  <c r="G79" i="43"/>
  <c r="H79" i="43"/>
  <c r="I79" i="43"/>
  <c r="J79" i="43"/>
  <c r="K79" i="43"/>
  <c r="L79" i="43"/>
  <c r="M79" i="43"/>
  <c r="N79" i="43"/>
  <c r="O79" i="43"/>
  <c r="P79" i="43"/>
  <c r="Q79" i="43"/>
  <c r="R79" i="43"/>
  <c r="S79" i="43"/>
  <c r="T79" i="43"/>
  <c r="U79" i="43"/>
  <c r="V79" i="43"/>
  <c r="W79" i="43"/>
  <c r="X79" i="43"/>
  <c r="Y79" i="43"/>
  <c r="Z79" i="43"/>
  <c r="AA79" i="43"/>
  <c r="AB79" i="43"/>
  <c r="AC79" i="43"/>
  <c r="E79" i="43"/>
  <c r="F78" i="43"/>
  <c r="G78" i="43"/>
  <c r="H78" i="43"/>
  <c r="I78" i="43"/>
  <c r="J78" i="43"/>
  <c r="K78" i="43"/>
  <c r="L78" i="43"/>
  <c r="M78" i="43"/>
  <c r="N78" i="43"/>
  <c r="O78" i="43"/>
  <c r="P78" i="43"/>
  <c r="Q78" i="43"/>
  <c r="R78" i="43"/>
  <c r="S78" i="43"/>
  <c r="T78" i="43"/>
  <c r="U78" i="43"/>
  <c r="V78" i="43"/>
  <c r="W78" i="43"/>
  <c r="X78" i="43"/>
  <c r="Y78" i="43"/>
  <c r="Z78" i="43"/>
  <c r="AA78" i="43"/>
  <c r="AB78" i="43"/>
  <c r="AC78" i="43"/>
  <c r="E78" i="43"/>
  <c r="F77" i="43"/>
  <c r="G77" i="43"/>
  <c r="H77" i="43"/>
  <c r="I77" i="43"/>
  <c r="J77" i="43"/>
  <c r="K77" i="43"/>
  <c r="L77" i="43"/>
  <c r="M77" i="43"/>
  <c r="N77" i="43"/>
  <c r="O77" i="43"/>
  <c r="P77" i="43"/>
  <c r="Q77" i="43"/>
  <c r="R77" i="43"/>
  <c r="S77" i="43"/>
  <c r="T77" i="43"/>
  <c r="U77" i="43"/>
  <c r="V77" i="43"/>
  <c r="W77" i="43"/>
  <c r="X77" i="43"/>
  <c r="Y77" i="43"/>
  <c r="Z77" i="43"/>
  <c r="AA77" i="43"/>
  <c r="AB77" i="43"/>
  <c r="AC77" i="43"/>
  <c r="E77" i="43"/>
  <c r="F76" i="43"/>
  <c r="G76" i="43"/>
  <c r="H76" i="43"/>
  <c r="I76" i="43"/>
  <c r="J76" i="43"/>
  <c r="K76" i="43"/>
  <c r="L76" i="43"/>
  <c r="M76" i="43"/>
  <c r="N76" i="43"/>
  <c r="O76" i="43"/>
  <c r="P76" i="43"/>
  <c r="Q76" i="43"/>
  <c r="R76" i="43"/>
  <c r="S76" i="43"/>
  <c r="T76" i="43"/>
  <c r="U76" i="43"/>
  <c r="V76" i="43"/>
  <c r="W76" i="43"/>
  <c r="X76" i="43"/>
  <c r="Y76" i="43"/>
  <c r="Z76" i="43"/>
  <c r="AA76" i="43"/>
  <c r="AB76" i="43"/>
  <c r="AC76" i="43"/>
  <c r="E76" i="43"/>
  <c r="F75" i="43"/>
  <c r="G75" i="43"/>
  <c r="H75" i="43"/>
  <c r="I75" i="43"/>
  <c r="J75" i="43"/>
  <c r="K75" i="43"/>
  <c r="L75" i="43"/>
  <c r="M75" i="43"/>
  <c r="N75" i="43"/>
  <c r="O75" i="43"/>
  <c r="P75" i="43"/>
  <c r="Q75" i="43"/>
  <c r="R75" i="43"/>
  <c r="S75" i="43"/>
  <c r="T75" i="43"/>
  <c r="U75" i="43"/>
  <c r="V75" i="43"/>
  <c r="W75" i="43"/>
  <c r="X75" i="43"/>
  <c r="Y75" i="43"/>
  <c r="Z75" i="43"/>
  <c r="AA75" i="43"/>
  <c r="AB75" i="43"/>
  <c r="AC75" i="43"/>
  <c r="E75" i="43"/>
  <c r="F74" i="43"/>
  <c r="G74" i="43"/>
  <c r="H74" i="43"/>
  <c r="I74" i="43"/>
  <c r="J74" i="43"/>
  <c r="K74" i="43"/>
  <c r="L74" i="43"/>
  <c r="M74" i="43"/>
  <c r="N74" i="43"/>
  <c r="O74" i="43"/>
  <c r="P74" i="43"/>
  <c r="Q74" i="43"/>
  <c r="R74" i="43"/>
  <c r="S74" i="43"/>
  <c r="T74" i="43"/>
  <c r="U74" i="43"/>
  <c r="V74" i="43"/>
  <c r="W74" i="43"/>
  <c r="X74" i="43"/>
  <c r="Y74" i="43"/>
  <c r="Z74" i="43"/>
  <c r="AA74" i="43"/>
  <c r="AB74" i="43"/>
  <c r="AC74" i="43"/>
  <c r="E74" i="43"/>
  <c r="F73" i="43"/>
  <c r="G73" i="43"/>
  <c r="H73" i="43"/>
  <c r="I73" i="43"/>
  <c r="J73" i="43"/>
  <c r="K73" i="43"/>
  <c r="L73" i="43"/>
  <c r="M73" i="43"/>
  <c r="N73" i="43"/>
  <c r="O73" i="43"/>
  <c r="P73" i="43"/>
  <c r="Q73" i="43"/>
  <c r="R73" i="43"/>
  <c r="S73" i="43"/>
  <c r="T73" i="43"/>
  <c r="U73" i="43"/>
  <c r="V73" i="43"/>
  <c r="W73" i="43"/>
  <c r="X73" i="43"/>
  <c r="Y73" i="43"/>
  <c r="Z73" i="43"/>
  <c r="AA73" i="43"/>
  <c r="AB73" i="43"/>
  <c r="AC73" i="43"/>
  <c r="E73" i="43"/>
  <c r="F72" i="43"/>
  <c r="G72" i="43"/>
  <c r="H72" i="43"/>
  <c r="I72" i="43"/>
  <c r="J72" i="43"/>
  <c r="K72" i="43"/>
  <c r="L72" i="43"/>
  <c r="M72" i="43"/>
  <c r="N72" i="43"/>
  <c r="O72" i="43"/>
  <c r="P72" i="43"/>
  <c r="Q72" i="43"/>
  <c r="R72" i="43"/>
  <c r="S72" i="43"/>
  <c r="T72" i="43"/>
  <c r="U72" i="43"/>
  <c r="V72" i="43"/>
  <c r="W72" i="43"/>
  <c r="X72" i="43"/>
  <c r="Y72" i="43"/>
  <c r="Z72" i="43"/>
  <c r="AA72" i="43"/>
  <c r="AB72" i="43"/>
  <c r="AC72" i="43"/>
  <c r="E72" i="43"/>
  <c r="F71" i="43"/>
  <c r="G71" i="43"/>
  <c r="H71" i="43"/>
  <c r="I71" i="43"/>
  <c r="J71" i="43"/>
  <c r="K71" i="43"/>
  <c r="L71" i="43"/>
  <c r="M71" i="43"/>
  <c r="N71" i="43"/>
  <c r="O71" i="43"/>
  <c r="P71" i="43"/>
  <c r="Q71" i="43"/>
  <c r="R71" i="43"/>
  <c r="S71" i="43"/>
  <c r="T71" i="43"/>
  <c r="U71" i="43"/>
  <c r="V71" i="43"/>
  <c r="W71" i="43"/>
  <c r="X71" i="43"/>
  <c r="Y71" i="43"/>
  <c r="Z71" i="43"/>
  <c r="AA71" i="43"/>
  <c r="AB71" i="43"/>
  <c r="AC71" i="43"/>
  <c r="E71" i="43"/>
  <c r="F70" i="43"/>
  <c r="G70" i="43"/>
  <c r="H70" i="43"/>
  <c r="I70" i="43"/>
  <c r="J70" i="43"/>
  <c r="K70" i="43"/>
  <c r="L70" i="43"/>
  <c r="M70" i="43"/>
  <c r="N70" i="43"/>
  <c r="O70" i="43"/>
  <c r="P70" i="43"/>
  <c r="Q70" i="43"/>
  <c r="R70" i="43"/>
  <c r="S70" i="43"/>
  <c r="T70" i="43"/>
  <c r="U70" i="43"/>
  <c r="V70" i="43"/>
  <c r="W70" i="43"/>
  <c r="X70" i="43"/>
  <c r="Y70" i="43"/>
  <c r="Z70" i="43"/>
  <c r="AA70" i="43"/>
  <c r="AB70" i="43"/>
  <c r="AC70" i="43"/>
  <c r="E70" i="43"/>
  <c r="F69" i="43"/>
  <c r="G69" i="43"/>
  <c r="H69" i="43"/>
  <c r="I69" i="43"/>
  <c r="J69" i="43"/>
  <c r="K69" i="43"/>
  <c r="L69" i="43"/>
  <c r="M69" i="43"/>
  <c r="N69" i="43"/>
  <c r="O69" i="43"/>
  <c r="P69" i="43"/>
  <c r="Q69" i="43"/>
  <c r="R69" i="43"/>
  <c r="S69" i="43"/>
  <c r="T69" i="43"/>
  <c r="U69" i="43"/>
  <c r="V69" i="43"/>
  <c r="W69" i="43"/>
  <c r="X69" i="43"/>
  <c r="Y69" i="43"/>
  <c r="Z69" i="43"/>
  <c r="AA69" i="43"/>
  <c r="AB69" i="43"/>
  <c r="AC69" i="43"/>
  <c r="E69" i="43"/>
  <c r="AC68" i="43"/>
  <c r="F68" i="43"/>
  <c r="G68" i="43"/>
  <c r="H68" i="43"/>
  <c r="I68" i="43"/>
  <c r="J68" i="43"/>
  <c r="K68" i="43"/>
  <c r="L68" i="43"/>
  <c r="M68" i="43"/>
  <c r="N68" i="43"/>
  <c r="O68" i="43"/>
  <c r="P68" i="43"/>
  <c r="Q68" i="43"/>
  <c r="R68" i="43"/>
  <c r="S68" i="43"/>
  <c r="T68" i="43"/>
  <c r="U68" i="43"/>
  <c r="V68" i="43"/>
  <c r="W68" i="43"/>
  <c r="X68" i="43"/>
  <c r="Y68" i="43"/>
  <c r="Z68" i="43"/>
  <c r="AA68" i="43"/>
  <c r="AB68" i="43"/>
  <c r="E68" i="43"/>
  <c r="A69" i="43" l="1"/>
  <c r="CP4" i="43"/>
  <c r="CP5" i="43"/>
  <c r="CP6" i="43"/>
  <c r="CP7" i="43"/>
  <c r="CP8" i="43"/>
  <c r="CP9" i="43"/>
  <c r="CP10" i="43"/>
  <c r="CP11" i="43"/>
  <c r="CP12" i="43"/>
  <c r="CP13" i="43"/>
  <c r="CP14" i="43"/>
  <c r="CP15" i="43"/>
  <c r="CP16" i="43"/>
  <c r="CP17" i="43"/>
  <c r="CP18" i="43"/>
  <c r="CP19" i="43"/>
  <c r="CP20" i="43"/>
  <c r="CP21" i="43"/>
  <c r="CP22" i="43"/>
  <c r="CP23" i="43"/>
  <c r="CP24" i="43"/>
  <c r="CP25" i="43"/>
  <c r="CP26" i="43"/>
  <c r="CP27" i="43"/>
  <c r="CP28" i="43"/>
  <c r="CP29" i="43"/>
  <c r="CP30" i="43"/>
  <c r="CP31" i="43"/>
  <c r="CP32" i="43"/>
  <c r="CP33" i="43"/>
  <c r="CP34" i="43"/>
  <c r="CP35" i="43"/>
  <c r="CP36" i="43"/>
  <c r="CP37" i="43"/>
  <c r="CP38" i="43"/>
  <c r="CP39" i="43"/>
  <c r="CP40" i="43"/>
  <c r="CP41" i="43"/>
  <c r="CP42" i="43"/>
  <c r="CP43" i="43"/>
  <c r="CP44" i="43"/>
  <c r="CP45" i="43"/>
  <c r="CP46" i="43"/>
  <c r="CP47" i="43"/>
  <c r="CP48" i="43"/>
  <c r="CP49" i="43"/>
  <c r="CP50" i="43"/>
  <c r="CP51" i="43"/>
  <c r="CP52" i="43"/>
  <c r="CP53" i="43"/>
  <c r="CP54" i="43"/>
  <c r="CP55" i="43"/>
  <c r="CP56" i="43"/>
  <c r="CP57" i="43"/>
  <c r="CP58" i="43"/>
  <c r="CP59" i="43"/>
  <c r="CP60" i="43"/>
  <c r="CP61" i="43"/>
  <c r="CP62" i="43"/>
  <c r="CP63" i="43"/>
  <c r="CP64" i="43"/>
  <c r="CP65" i="43"/>
  <c r="CP66" i="43"/>
  <c r="CP67" i="43"/>
  <c r="CP68" i="43"/>
  <c r="CP69" i="43"/>
  <c r="CP70" i="43"/>
  <c r="CP71" i="43"/>
  <c r="CP72" i="43"/>
  <c r="CP73" i="43"/>
  <c r="CP74" i="43"/>
  <c r="CP75" i="43"/>
  <c r="CP76" i="43"/>
  <c r="CP77" i="43"/>
  <c r="CP78" i="43"/>
  <c r="CP79" i="43"/>
  <c r="CP80" i="43"/>
  <c r="CP81" i="43"/>
  <c r="CP82" i="43"/>
  <c r="CP83" i="43"/>
  <c r="CP84" i="43"/>
  <c r="CP85" i="43"/>
  <c r="CP86" i="43"/>
  <c r="CP87" i="43"/>
  <c r="CP88" i="43"/>
  <c r="CP89" i="43"/>
  <c r="CP90" i="43"/>
  <c r="CP91" i="43"/>
  <c r="CP92" i="43"/>
  <c r="CP93" i="43"/>
  <c r="CP94" i="43"/>
  <c r="CP95" i="43"/>
  <c r="CP96" i="43"/>
  <c r="CP97" i="43"/>
  <c r="CP98" i="43"/>
  <c r="CP99" i="43"/>
  <c r="CP100" i="43"/>
  <c r="CP101" i="43"/>
  <c r="CP102" i="43"/>
  <c r="CP3" i="43"/>
  <c r="E10" i="43" a="1"/>
  <c r="E10" i="43" s="1"/>
  <c r="A81" i="43" l="1"/>
  <c r="A85" i="43"/>
  <c r="A73" i="43"/>
  <c r="A89" i="43"/>
  <c r="A77" i="43"/>
  <c r="A90" i="43"/>
  <c r="A84" i="43"/>
  <c r="A78" i="43"/>
  <c r="A72" i="43"/>
  <c r="A83" i="43"/>
  <c r="A71" i="43"/>
  <c r="A88" i="43"/>
  <c r="A82" i="43"/>
  <c r="A76" i="43"/>
  <c r="A70" i="43"/>
  <c r="A75" i="43"/>
  <c r="A87" i="43"/>
  <c r="A86" i="43"/>
  <c r="A80" i="43"/>
  <c r="A74" i="43"/>
  <c r="A79" i="43"/>
  <c r="G222" i="43" l="1"/>
  <c r="F222" i="43"/>
  <c r="E222" i="43"/>
  <c r="H221" i="43"/>
  <c r="G221" i="43"/>
  <c r="F221" i="43"/>
  <c r="E221" i="43"/>
  <c r="H220" i="43"/>
  <c r="G220" i="43"/>
  <c r="F220" i="43"/>
  <c r="E220" i="43"/>
  <c r="H219" i="43"/>
  <c r="G219" i="43"/>
  <c r="F219" i="43"/>
  <c r="E219" i="43"/>
  <c r="H218" i="43"/>
  <c r="G218" i="43"/>
  <c r="F218" i="43"/>
  <c r="E218" i="43"/>
  <c r="H217" i="43"/>
  <c r="G217" i="43"/>
  <c r="F217" i="43"/>
  <c r="E217" i="43"/>
  <c r="H216" i="43"/>
  <c r="G216" i="43"/>
  <c r="F216" i="43"/>
  <c r="E216" i="43"/>
  <c r="H215" i="43"/>
  <c r="G215" i="43"/>
  <c r="F215" i="43"/>
  <c r="E215" i="43"/>
  <c r="H214" i="43"/>
  <c r="G214" i="43"/>
  <c r="F214" i="43"/>
  <c r="E214" i="43"/>
  <c r="H213" i="43"/>
  <c r="G213" i="43"/>
  <c r="F213" i="43"/>
  <c r="E213" i="43"/>
  <c r="AC212" i="43"/>
  <c r="AB212" i="43"/>
  <c r="AA212" i="43"/>
  <c r="Z212" i="43"/>
  <c r="Y212" i="43"/>
  <c r="X212" i="43"/>
  <c r="W212" i="43"/>
  <c r="V212" i="43"/>
  <c r="U212" i="43"/>
  <c r="T212" i="43"/>
  <c r="S212" i="43"/>
  <c r="R212" i="43"/>
  <c r="Q212" i="43"/>
  <c r="P212" i="43"/>
  <c r="O212" i="43"/>
  <c r="N212" i="43"/>
  <c r="M212" i="43"/>
  <c r="L212" i="43"/>
  <c r="K212" i="43"/>
  <c r="J212" i="43"/>
  <c r="I212" i="43"/>
  <c r="H212" i="43"/>
  <c r="G212" i="43"/>
  <c r="F212" i="43"/>
  <c r="E212" i="43"/>
  <c r="AC211" i="43"/>
  <c r="AB211" i="43"/>
  <c r="AA211" i="43"/>
  <c r="Z211" i="43"/>
  <c r="Y211" i="43"/>
  <c r="X211" i="43"/>
  <c r="W211" i="43"/>
  <c r="V211" i="43"/>
  <c r="U211" i="43"/>
  <c r="T211" i="43"/>
  <c r="S211" i="43"/>
  <c r="R211" i="43"/>
  <c r="Q211" i="43"/>
  <c r="P211" i="43"/>
  <c r="O211" i="43"/>
  <c r="N211" i="43"/>
  <c r="M211" i="43"/>
  <c r="L211" i="43"/>
  <c r="K211" i="43"/>
  <c r="J211" i="43"/>
  <c r="I211" i="43"/>
  <c r="H211" i="43"/>
  <c r="G211" i="43"/>
  <c r="F211" i="43"/>
  <c r="E211" i="43"/>
  <c r="AC210" i="43"/>
  <c r="AB210" i="43"/>
  <c r="AA210" i="43"/>
  <c r="Z210" i="43"/>
  <c r="Y210" i="43"/>
  <c r="X210" i="43"/>
  <c r="W210" i="43"/>
  <c r="V210" i="43"/>
  <c r="U210" i="43"/>
  <c r="T210" i="43"/>
  <c r="S210" i="43"/>
  <c r="R210" i="43"/>
  <c r="Q210" i="43"/>
  <c r="P210" i="43"/>
  <c r="O210" i="43"/>
  <c r="N210" i="43"/>
  <c r="M210" i="43"/>
  <c r="L210" i="43"/>
  <c r="K210" i="43"/>
  <c r="J210" i="43"/>
  <c r="I210" i="43"/>
  <c r="H210" i="43"/>
  <c r="G210" i="43"/>
  <c r="F210" i="43"/>
  <c r="E210" i="43"/>
  <c r="AC209" i="43"/>
  <c r="AB209" i="43"/>
  <c r="AA209" i="43"/>
  <c r="Z209" i="43"/>
  <c r="Y209" i="43"/>
  <c r="X209" i="43"/>
  <c r="W209" i="43"/>
  <c r="V209" i="43"/>
  <c r="U209" i="43"/>
  <c r="T209" i="43"/>
  <c r="S209" i="43"/>
  <c r="R209" i="43"/>
  <c r="Q209" i="43"/>
  <c r="P209" i="43"/>
  <c r="O209" i="43"/>
  <c r="N209" i="43"/>
  <c r="M209" i="43"/>
  <c r="L209" i="43"/>
  <c r="K209" i="43"/>
  <c r="J209" i="43"/>
  <c r="I209" i="43"/>
  <c r="H209" i="43"/>
  <c r="G209" i="43"/>
  <c r="F209" i="43"/>
  <c r="E208" i="43"/>
  <c r="D208" i="43" s="1"/>
  <c r="F207" i="43"/>
  <c r="H206" i="43"/>
  <c r="G206" i="43"/>
  <c r="F206" i="43"/>
  <c r="E206" i="43"/>
  <c r="H205" i="43"/>
  <c r="G205" i="43"/>
  <c r="F205" i="43"/>
  <c r="E205" i="43"/>
  <c r="H204" i="43"/>
  <c r="G204" i="43"/>
  <c r="F204" i="43"/>
  <c r="E204" i="43"/>
  <c r="H203" i="43"/>
  <c r="G203" i="43"/>
  <c r="F203" i="43"/>
  <c r="E203" i="43"/>
  <c r="H202" i="43"/>
  <c r="G202" i="43"/>
  <c r="F202" i="43"/>
  <c r="E202" i="43"/>
  <c r="H201" i="43"/>
  <c r="G201" i="43"/>
  <c r="F201" i="43"/>
  <c r="E201" i="43"/>
  <c r="H200" i="43"/>
  <c r="G200" i="43"/>
  <c r="F200" i="43"/>
  <c r="E200" i="43"/>
  <c r="H199" i="43"/>
  <c r="G199" i="43"/>
  <c r="F199" i="43"/>
  <c r="E199" i="43"/>
  <c r="H198" i="43"/>
  <c r="G198" i="43"/>
  <c r="F198" i="43"/>
  <c r="E198" i="43"/>
  <c r="AC197" i="43"/>
  <c r="AB197" i="43"/>
  <c r="AA197" i="43"/>
  <c r="Z197" i="43"/>
  <c r="Y197" i="43"/>
  <c r="X197" i="43"/>
  <c r="W197" i="43"/>
  <c r="V197" i="43"/>
  <c r="U197" i="43"/>
  <c r="T197" i="43"/>
  <c r="S197" i="43"/>
  <c r="R197" i="43"/>
  <c r="Q197" i="43"/>
  <c r="P197" i="43"/>
  <c r="O197" i="43"/>
  <c r="N197" i="43"/>
  <c r="M197" i="43"/>
  <c r="L197" i="43"/>
  <c r="K197" i="43"/>
  <c r="J197" i="43"/>
  <c r="I197" i="43"/>
  <c r="H197" i="43"/>
  <c r="G197" i="43"/>
  <c r="F197" i="43"/>
  <c r="E197" i="43"/>
  <c r="AC196" i="43"/>
  <c r="AB196" i="43"/>
  <c r="AA196" i="43"/>
  <c r="Z196" i="43"/>
  <c r="Y196" i="43"/>
  <c r="X196" i="43"/>
  <c r="W196" i="43"/>
  <c r="V196" i="43"/>
  <c r="U196" i="43"/>
  <c r="T196" i="43"/>
  <c r="S196" i="43"/>
  <c r="R196" i="43"/>
  <c r="Q196" i="43"/>
  <c r="P196" i="43"/>
  <c r="O196" i="43"/>
  <c r="N196" i="43"/>
  <c r="M196" i="43"/>
  <c r="L196" i="43"/>
  <c r="K196" i="43"/>
  <c r="J196" i="43"/>
  <c r="I196" i="43"/>
  <c r="H196" i="43"/>
  <c r="G196" i="43"/>
  <c r="F196" i="43"/>
  <c r="E196" i="43"/>
  <c r="AC195" i="43"/>
  <c r="AB195" i="43"/>
  <c r="AA195" i="43"/>
  <c r="Z195" i="43"/>
  <c r="Y195" i="43"/>
  <c r="X195" i="43"/>
  <c r="W195" i="43"/>
  <c r="V195" i="43"/>
  <c r="U195" i="43"/>
  <c r="T195" i="43"/>
  <c r="S195" i="43"/>
  <c r="R195" i="43"/>
  <c r="Q195" i="43"/>
  <c r="P195" i="43"/>
  <c r="O195" i="43"/>
  <c r="N195" i="43"/>
  <c r="M195" i="43"/>
  <c r="L195" i="43"/>
  <c r="K195" i="43"/>
  <c r="J195" i="43"/>
  <c r="I195" i="43"/>
  <c r="H195" i="43"/>
  <c r="G195" i="43"/>
  <c r="F195" i="43"/>
  <c r="E195" i="43"/>
  <c r="AC194" i="43"/>
  <c r="AB194" i="43"/>
  <c r="AA194" i="43"/>
  <c r="Z194" i="43"/>
  <c r="Y194" i="43"/>
  <c r="X194" i="43"/>
  <c r="W194" i="43"/>
  <c r="V194" i="43"/>
  <c r="U194" i="43"/>
  <c r="T194" i="43"/>
  <c r="S194" i="43"/>
  <c r="R194" i="43"/>
  <c r="Q194" i="43"/>
  <c r="P194" i="43"/>
  <c r="O194" i="43"/>
  <c r="N194" i="43"/>
  <c r="M194" i="43"/>
  <c r="L194" i="43"/>
  <c r="K194" i="43"/>
  <c r="J194" i="43"/>
  <c r="I194" i="43"/>
  <c r="H194" i="43"/>
  <c r="G194" i="43"/>
  <c r="F194" i="43"/>
  <c r="E194" i="43"/>
  <c r="E193" i="43"/>
  <c r="D193" i="43" s="1"/>
  <c r="G192" i="43"/>
  <c r="E192" i="43"/>
  <c r="AC191" i="43"/>
  <c r="AB191" i="43"/>
  <c r="AA191" i="43"/>
  <c r="Z191" i="43"/>
  <c r="Y191" i="43"/>
  <c r="X191" i="43"/>
  <c r="W191" i="43"/>
  <c r="V191" i="43"/>
  <c r="U191" i="43"/>
  <c r="T191" i="43"/>
  <c r="S191" i="43"/>
  <c r="R191" i="43"/>
  <c r="Q191" i="43"/>
  <c r="P191" i="43"/>
  <c r="O191" i="43"/>
  <c r="N191" i="43"/>
  <c r="M191" i="43"/>
  <c r="L191" i="43"/>
  <c r="K191" i="43"/>
  <c r="J191" i="43"/>
  <c r="I191" i="43"/>
  <c r="H191" i="43"/>
  <c r="G191" i="43"/>
  <c r="F191" i="43"/>
  <c r="E191" i="43"/>
  <c r="AC190" i="43"/>
  <c r="AB190" i="43"/>
  <c r="AA190" i="43"/>
  <c r="Z190" i="43"/>
  <c r="Y190" i="43"/>
  <c r="X190" i="43"/>
  <c r="W190" i="43"/>
  <c r="V190" i="43"/>
  <c r="U190" i="43"/>
  <c r="T190" i="43"/>
  <c r="S190" i="43"/>
  <c r="R190" i="43"/>
  <c r="Q190" i="43"/>
  <c r="P190" i="43"/>
  <c r="O190" i="43"/>
  <c r="N190" i="43"/>
  <c r="M190" i="43"/>
  <c r="L190" i="43"/>
  <c r="K190" i="43"/>
  <c r="J190" i="43"/>
  <c r="I190" i="43"/>
  <c r="H190" i="43"/>
  <c r="G190" i="43"/>
  <c r="F190" i="43"/>
  <c r="E190" i="43"/>
  <c r="AC189" i="43"/>
  <c r="AB189" i="43"/>
  <c r="AA189" i="43"/>
  <c r="Z189" i="43"/>
  <c r="Y189" i="43"/>
  <c r="X189" i="43"/>
  <c r="W189" i="43"/>
  <c r="V189" i="43"/>
  <c r="U189" i="43"/>
  <c r="T189" i="43"/>
  <c r="S189" i="43"/>
  <c r="R189" i="43"/>
  <c r="Q189" i="43"/>
  <c r="P189" i="43"/>
  <c r="O189" i="43"/>
  <c r="N189" i="43"/>
  <c r="M189" i="43"/>
  <c r="L189" i="43"/>
  <c r="K189" i="43"/>
  <c r="J189" i="43"/>
  <c r="I189" i="43"/>
  <c r="H189" i="43"/>
  <c r="G189" i="43"/>
  <c r="F189" i="43"/>
  <c r="E189" i="43"/>
  <c r="AC188" i="43"/>
  <c r="AB188" i="43"/>
  <c r="AA188" i="43"/>
  <c r="Z188" i="43"/>
  <c r="Y188" i="43"/>
  <c r="X188" i="43"/>
  <c r="W188" i="43"/>
  <c r="V188" i="43"/>
  <c r="U188" i="43"/>
  <c r="T188" i="43"/>
  <c r="S188" i="43"/>
  <c r="R188" i="43"/>
  <c r="Q188" i="43"/>
  <c r="P188" i="43"/>
  <c r="O188" i="43"/>
  <c r="N188" i="43"/>
  <c r="M188" i="43"/>
  <c r="L188" i="43"/>
  <c r="K188" i="43"/>
  <c r="J188" i="43"/>
  <c r="I188" i="43"/>
  <c r="H188" i="43"/>
  <c r="G188" i="43"/>
  <c r="F188" i="43"/>
  <c r="E188" i="43"/>
  <c r="AC187" i="43"/>
  <c r="AB187" i="43"/>
  <c r="AA187" i="43"/>
  <c r="Z187" i="43"/>
  <c r="Y187" i="43"/>
  <c r="X187" i="43"/>
  <c r="W187" i="43"/>
  <c r="V187" i="43"/>
  <c r="U187" i="43"/>
  <c r="T187" i="43"/>
  <c r="S187" i="43"/>
  <c r="R187" i="43"/>
  <c r="Q187" i="43"/>
  <c r="P187" i="43"/>
  <c r="O187" i="43"/>
  <c r="N187" i="43"/>
  <c r="M187" i="43"/>
  <c r="L187" i="43"/>
  <c r="K187" i="43"/>
  <c r="J187" i="43"/>
  <c r="I187" i="43"/>
  <c r="H187" i="43"/>
  <c r="G187" i="43"/>
  <c r="F187" i="43"/>
  <c r="E187" i="43"/>
  <c r="H186" i="43"/>
  <c r="G186" i="43"/>
  <c r="F186" i="43"/>
  <c r="E186" i="43"/>
  <c r="H185" i="43"/>
  <c r="G185" i="43"/>
  <c r="F185" i="43"/>
  <c r="E185" i="43"/>
  <c r="H184" i="43"/>
  <c r="G184" i="43"/>
  <c r="F184" i="43"/>
  <c r="E184" i="43"/>
  <c r="H183" i="43"/>
  <c r="G183" i="43"/>
  <c r="F183" i="43"/>
  <c r="E183" i="43"/>
  <c r="H182" i="43"/>
  <c r="G182" i="43"/>
  <c r="F182" i="43"/>
  <c r="E182" i="43"/>
  <c r="H181" i="43"/>
  <c r="G181" i="43"/>
  <c r="F181" i="43"/>
  <c r="E181" i="43"/>
  <c r="H180" i="43"/>
  <c r="G180" i="43"/>
  <c r="F180" i="43"/>
  <c r="E180" i="43"/>
  <c r="H179" i="43"/>
  <c r="G179" i="43"/>
  <c r="F179" i="43"/>
  <c r="E179" i="43"/>
  <c r="H178" i="43"/>
  <c r="G178" i="43"/>
  <c r="F178" i="43"/>
  <c r="E178" i="43"/>
  <c r="AC177" i="43"/>
  <c r="AB177" i="43"/>
  <c r="AA177" i="43"/>
  <c r="Z177" i="43"/>
  <c r="Y177" i="43"/>
  <c r="X177" i="43"/>
  <c r="W177" i="43"/>
  <c r="V177" i="43"/>
  <c r="U177" i="43"/>
  <c r="T177" i="43"/>
  <c r="S177" i="43"/>
  <c r="R177" i="43"/>
  <c r="Q177" i="43"/>
  <c r="P177" i="43"/>
  <c r="O177" i="43"/>
  <c r="N177" i="43"/>
  <c r="M177" i="43"/>
  <c r="L177" i="43"/>
  <c r="K177" i="43"/>
  <c r="J177" i="43"/>
  <c r="I177" i="43"/>
  <c r="H177" i="43"/>
  <c r="G177" i="43"/>
  <c r="F177" i="43"/>
  <c r="E177" i="43"/>
  <c r="AC176" i="43"/>
  <c r="AB176" i="43"/>
  <c r="AA176" i="43"/>
  <c r="Z176" i="43"/>
  <c r="Y176" i="43"/>
  <c r="X176" i="43"/>
  <c r="W176" i="43"/>
  <c r="V176" i="43"/>
  <c r="U176" i="43"/>
  <c r="T176" i="43"/>
  <c r="S176" i="43"/>
  <c r="R176" i="43"/>
  <c r="Q176" i="43"/>
  <c r="P176" i="43"/>
  <c r="O176" i="43"/>
  <c r="N176" i="43"/>
  <c r="M176" i="43"/>
  <c r="L176" i="43"/>
  <c r="K176" i="43"/>
  <c r="J176" i="43"/>
  <c r="I176" i="43"/>
  <c r="H176" i="43"/>
  <c r="G176" i="43"/>
  <c r="F176" i="43"/>
  <c r="E176" i="43"/>
  <c r="AC175" i="43"/>
  <c r="AB175" i="43"/>
  <c r="AA175" i="43"/>
  <c r="Z175" i="43"/>
  <c r="Y175" i="43"/>
  <c r="X175" i="43"/>
  <c r="W175" i="43"/>
  <c r="V175" i="43"/>
  <c r="U175" i="43"/>
  <c r="T175" i="43"/>
  <c r="S175" i="43"/>
  <c r="R175" i="43"/>
  <c r="Q175" i="43"/>
  <c r="P175" i="43"/>
  <c r="O175" i="43"/>
  <c r="N175" i="43"/>
  <c r="M175" i="43"/>
  <c r="L175" i="43"/>
  <c r="K175" i="43"/>
  <c r="J175" i="43"/>
  <c r="I175" i="43"/>
  <c r="H175" i="43"/>
  <c r="G175" i="43"/>
  <c r="F175" i="43"/>
  <c r="E175" i="43"/>
  <c r="AC174" i="43"/>
  <c r="AB174" i="43"/>
  <c r="AA174" i="43"/>
  <c r="Z174" i="43"/>
  <c r="Y174" i="43"/>
  <c r="X174" i="43"/>
  <c r="W174" i="43"/>
  <c r="V174" i="43"/>
  <c r="U174" i="43"/>
  <c r="T174" i="43"/>
  <c r="S174" i="43"/>
  <c r="R174" i="43"/>
  <c r="Q174" i="43"/>
  <c r="P174" i="43"/>
  <c r="O174" i="43"/>
  <c r="N174" i="43"/>
  <c r="M174" i="43"/>
  <c r="L174" i="43"/>
  <c r="K174" i="43"/>
  <c r="J174" i="43"/>
  <c r="I174" i="43"/>
  <c r="H174" i="43"/>
  <c r="G174" i="43"/>
  <c r="F174" i="43"/>
  <c r="E174" i="43"/>
  <c r="E173" i="43"/>
  <c r="D173" i="43" s="1"/>
  <c r="G172" i="43"/>
  <c r="F172" i="43"/>
  <c r="E172" i="43"/>
  <c r="AC171" i="43"/>
  <c r="AB171" i="43"/>
  <c r="AA171" i="43"/>
  <c r="Z171" i="43"/>
  <c r="Y171" i="43"/>
  <c r="X171" i="43"/>
  <c r="W171" i="43"/>
  <c r="V171" i="43"/>
  <c r="U171" i="43"/>
  <c r="T171" i="43"/>
  <c r="S171" i="43"/>
  <c r="R171" i="43"/>
  <c r="Q171" i="43"/>
  <c r="P171" i="43"/>
  <c r="O171" i="43"/>
  <c r="N171" i="43"/>
  <c r="M171" i="43"/>
  <c r="L171" i="43"/>
  <c r="K171" i="43"/>
  <c r="J171" i="43"/>
  <c r="I171" i="43"/>
  <c r="H171" i="43"/>
  <c r="G171" i="43"/>
  <c r="F171" i="43"/>
  <c r="E171" i="43"/>
  <c r="AC170" i="43"/>
  <c r="AB170" i="43"/>
  <c r="AA170" i="43"/>
  <c r="Z170" i="43"/>
  <c r="Y170" i="43"/>
  <c r="X170" i="43"/>
  <c r="W170" i="43"/>
  <c r="V170" i="43"/>
  <c r="U170" i="43"/>
  <c r="T170" i="43"/>
  <c r="S170" i="43"/>
  <c r="R170" i="43"/>
  <c r="Q170" i="43"/>
  <c r="P170" i="43"/>
  <c r="O170" i="43"/>
  <c r="N170" i="43"/>
  <c r="M170" i="43"/>
  <c r="L170" i="43"/>
  <c r="K170" i="43"/>
  <c r="J170" i="43"/>
  <c r="I170" i="43"/>
  <c r="H170" i="43"/>
  <c r="G170" i="43"/>
  <c r="F170" i="43"/>
  <c r="E170" i="43"/>
  <c r="AC169" i="43"/>
  <c r="AB169" i="43"/>
  <c r="AA169" i="43"/>
  <c r="Z169" i="43"/>
  <c r="Y169" i="43"/>
  <c r="X169" i="43"/>
  <c r="W169" i="43"/>
  <c r="V169" i="43"/>
  <c r="U169" i="43"/>
  <c r="T169" i="43"/>
  <c r="S169" i="43"/>
  <c r="R169" i="43"/>
  <c r="Q169" i="43"/>
  <c r="P169" i="43"/>
  <c r="O169" i="43"/>
  <c r="N169" i="43"/>
  <c r="M169" i="43"/>
  <c r="L169" i="43"/>
  <c r="K169" i="43"/>
  <c r="J169" i="43"/>
  <c r="I169" i="43"/>
  <c r="H169" i="43"/>
  <c r="G169" i="43"/>
  <c r="F169" i="43"/>
  <c r="E169" i="43"/>
  <c r="AC168" i="43"/>
  <c r="AB168" i="43"/>
  <c r="AA168" i="43"/>
  <c r="Z168" i="43"/>
  <c r="Y168" i="43"/>
  <c r="X168" i="43"/>
  <c r="W168" i="43"/>
  <c r="V168" i="43"/>
  <c r="U168" i="43"/>
  <c r="T168" i="43"/>
  <c r="S168" i="43"/>
  <c r="R168" i="43"/>
  <c r="Q168" i="43"/>
  <c r="P168" i="43"/>
  <c r="O168" i="43"/>
  <c r="N168" i="43"/>
  <c r="M168" i="43"/>
  <c r="L168" i="43"/>
  <c r="K168" i="43"/>
  <c r="J168" i="43"/>
  <c r="I168" i="43"/>
  <c r="H168" i="43"/>
  <c r="G168" i="43"/>
  <c r="F168" i="43"/>
  <c r="E168" i="43"/>
  <c r="AC167" i="43"/>
  <c r="AB167" i="43"/>
  <c r="AA167" i="43"/>
  <c r="Z167" i="43"/>
  <c r="Y167" i="43"/>
  <c r="X167" i="43"/>
  <c r="W167" i="43"/>
  <c r="V167" i="43"/>
  <c r="U167" i="43"/>
  <c r="T167" i="43"/>
  <c r="S167" i="43"/>
  <c r="R167" i="43"/>
  <c r="Q167" i="43"/>
  <c r="P167" i="43"/>
  <c r="O167" i="43"/>
  <c r="N167" i="43"/>
  <c r="M167" i="43"/>
  <c r="L167" i="43"/>
  <c r="K167" i="43"/>
  <c r="J167" i="43"/>
  <c r="I167" i="43"/>
  <c r="H167" i="43"/>
  <c r="G167" i="43"/>
  <c r="F167" i="43"/>
  <c r="E167" i="43"/>
  <c r="H166" i="43"/>
  <c r="G166" i="43"/>
  <c r="F166" i="43"/>
  <c r="E166" i="43"/>
  <c r="H165" i="43"/>
  <c r="G165" i="43"/>
  <c r="F165" i="43"/>
  <c r="E165" i="43"/>
  <c r="H164" i="43"/>
  <c r="G164" i="43"/>
  <c r="F164" i="43"/>
  <c r="E164" i="43"/>
  <c r="H163" i="43"/>
  <c r="G163" i="43"/>
  <c r="F163" i="43"/>
  <c r="E163" i="43"/>
  <c r="H162" i="43"/>
  <c r="G162" i="43"/>
  <c r="F162" i="43"/>
  <c r="E162" i="43"/>
  <c r="H161" i="43"/>
  <c r="G161" i="43"/>
  <c r="F161" i="43"/>
  <c r="E161" i="43"/>
  <c r="H160" i="43"/>
  <c r="G160" i="43"/>
  <c r="F160" i="43"/>
  <c r="E160" i="43"/>
  <c r="H159" i="43"/>
  <c r="G159" i="43"/>
  <c r="F159" i="43"/>
  <c r="E159" i="43"/>
  <c r="H158" i="43"/>
  <c r="G158" i="43"/>
  <c r="F158" i="43"/>
  <c r="E158" i="43"/>
  <c r="AC157" i="43"/>
  <c r="AB157" i="43"/>
  <c r="AA157" i="43"/>
  <c r="Z157" i="43"/>
  <c r="Y157" i="43"/>
  <c r="X157" i="43"/>
  <c r="W157" i="43"/>
  <c r="V157" i="43"/>
  <c r="U157" i="43"/>
  <c r="T157" i="43"/>
  <c r="S157" i="43"/>
  <c r="R157" i="43"/>
  <c r="Q157" i="43"/>
  <c r="P157" i="43"/>
  <c r="O157" i="43"/>
  <c r="N157" i="43"/>
  <c r="M157" i="43"/>
  <c r="L157" i="43"/>
  <c r="K157" i="43"/>
  <c r="J157" i="43"/>
  <c r="I157" i="43"/>
  <c r="H157" i="43"/>
  <c r="G157" i="43"/>
  <c r="F157" i="43"/>
  <c r="E157" i="43"/>
  <c r="AC156" i="43"/>
  <c r="AB156" i="43"/>
  <c r="AA156" i="43"/>
  <c r="Z156" i="43"/>
  <c r="Y156" i="43"/>
  <c r="X156" i="43"/>
  <c r="W156" i="43"/>
  <c r="V156" i="43"/>
  <c r="U156" i="43"/>
  <c r="T156" i="43"/>
  <c r="S156" i="43"/>
  <c r="R156" i="43"/>
  <c r="Q156" i="43"/>
  <c r="P156" i="43"/>
  <c r="O156" i="43"/>
  <c r="N156" i="43"/>
  <c r="M156" i="43"/>
  <c r="L156" i="43"/>
  <c r="K156" i="43"/>
  <c r="J156" i="43"/>
  <c r="I156" i="43"/>
  <c r="H156" i="43"/>
  <c r="G156" i="43"/>
  <c r="F156" i="43"/>
  <c r="E156" i="43"/>
  <c r="AC155" i="43"/>
  <c r="AB155" i="43"/>
  <c r="AA155" i="43"/>
  <c r="Z155" i="43"/>
  <c r="Y155" i="43"/>
  <c r="X155" i="43"/>
  <c r="W155" i="43"/>
  <c r="V155" i="43"/>
  <c r="U155" i="43"/>
  <c r="T155" i="43"/>
  <c r="S155" i="43"/>
  <c r="R155" i="43"/>
  <c r="Q155" i="43"/>
  <c r="P155" i="43"/>
  <c r="O155" i="43"/>
  <c r="N155" i="43"/>
  <c r="M155" i="43"/>
  <c r="L155" i="43"/>
  <c r="K155" i="43"/>
  <c r="J155" i="43"/>
  <c r="I155" i="43"/>
  <c r="H155" i="43"/>
  <c r="G155" i="43"/>
  <c r="F155" i="43"/>
  <c r="E155" i="43"/>
  <c r="AC154" i="43"/>
  <c r="AB154" i="43"/>
  <c r="AA154" i="43"/>
  <c r="Z154" i="43"/>
  <c r="Y154" i="43"/>
  <c r="X154" i="43"/>
  <c r="W154" i="43"/>
  <c r="V154" i="43"/>
  <c r="U154" i="43"/>
  <c r="T154" i="43"/>
  <c r="S154" i="43"/>
  <c r="R154" i="43"/>
  <c r="Q154" i="43"/>
  <c r="P154" i="43"/>
  <c r="O154" i="43"/>
  <c r="N154" i="43"/>
  <c r="M154" i="43"/>
  <c r="L154" i="43"/>
  <c r="K154" i="43"/>
  <c r="J154" i="43"/>
  <c r="I154" i="43"/>
  <c r="H154" i="43"/>
  <c r="G154" i="43"/>
  <c r="F154" i="43"/>
  <c r="E154" i="43"/>
  <c r="E153" i="43"/>
  <c r="D153" i="43" s="1"/>
  <c r="G152" i="43"/>
  <c r="F152" i="43"/>
  <c r="E152" i="43"/>
  <c r="AC151" i="43"/>
  <c r="AB151" i="43"/>
  <c r="AA151" i="43"/>
  <c r="Z151" i="43"/>
  <c r="Y151" i="43"/>
  <c r="X151" i="43"/>
  <c r="W151" i="43"/>
  <c r="V151" i="43"/>
  <c r="U151" i="43"/>
  <c r="T151" i="43"/>
  <c r="S151" i="43"/>
  <c r="R151" i="43"/>
  <c r="Q151" i="43"/>
  <c r="P151" i="43"/>
  <c r="O151" i="43"/>
  <c r="N151" i="43"/>
  <c r="M151" i="43"/>
  <c r="L151" i="43"/>
  <c r="K151" i="43"/>
  <c r="J151" i="43"/>
  <c r="I151" i="43"/>
  <c r="H151" i="43"/>
  <c r="G151" i="43"/>
  <c r="F151" i="43"/>
  <c r="E151" i="43"/>
  <c r="AC150" i="43"/>
  <c r="AB150" i="43"/>
  <c r="AA150" i="43"/>
  <c r="Z150" i="43"/>
  <c r="Y150" i="43"/>
  <c r="X150" i="43"/>
  <c r="W150" i="43"/>
  <c r="V150" i="43"/>
  <c r="U150" i="43"/>
  <c r="T150" i="43"/>
  <c r="S150" i="43"/>
  <c r="R150" i="43"/>
  <c r="Q150" i="43"/>
  <c r="P150" i="43"/>
  <c r="O150" i="43"/>
  <c r="N150" i="43"/>
  <c r="M150" i="43"/>
  <c r="L150" i="43"/>
  <c r="K150" i="43"/>
  <c r="J150" i="43"/>
  <c r="I150" i="43"/>
  <c r="H150" i="43"/>
  <c r="G150" i="43"/>
  <c r="F150" i="43"/>
  <c r="E150" i="43"/>
  <c r="AC149" i="43"/>
  <c r="AB149" i="43"/>
  <c r="AA149" i="43"/>
  <c r="Z149" i="43"/>
  <c r="Y149" i="43"/>
  <c r="X149" i="43"/>
  <c r="W149" i="43"/>
  <c r="V149" i="43"/>
  <c r="U149" i="43"/>
  <c r="T149" i="43"/>
  <c r="S149" i="43"/>
  <c r="R149" i="43"/>
  <c r="Q149" i="43"/>
  <c r="P149" i="43"/>
  <c r="O149" i="43"/>
  <c r="N149" i="43"/>
  <c r="M149" i="43"/>
  <c r="L149" i="43"/>
  <c r="K149" i="43"/>
  <c r="J149" i="43"/>
  <c r="I149" i="43"/>
  <c r="H149" i="43"/>
  <c r="G149" i="43"/>
  <c r="F149" i="43"/>
  <c r="E149" i="43"/>
  <c r="AC148" i="43"/>
  <c r="AB148" i="43"/>
  <c r="AA148" i="43"/>
  <c r="Z148" i="43"/>
  <c r="Y148" i="43"/>
  <c r="X148" i="43"/>
  <c r="W148" i="43"/>
  <c r="V148" i="43"/>
  <c r="U148" i="43"/>
  <c r="T148" i="43"/>
  <c r="S148" i="43"/>
  <c r="R148" i="43"/>
  <c r="Q148" i="43"/>
  <c r="P148" i="43"/>
  <c r="O148" i="43"/>
  <c r="N148" i="43"/>
  <c r="M148" i="43"/>
  <c r="L148" i="43"/>
  <c r="K148" i="43"/>
  <c r="J148" i="43"/>
  <c r="I148" i="43"/>
  <c r="H148" i="43"/>
  <c r="G148" i="43"/>
  <c r="F148" i="43"/>
  <c r="E148" i="43"/>
  <c r="AC147" i="43"/>
  <c r="AB147" i="43"/>
  <c r="AA147" i="43"/>
  <c r="Z147" i="43"/>
  <c r="Y147" i="43"/>
  <c r="X147" i="43"/>
  <c r="W147" i="43"/>
  <c r="V147" i="43"/>
  <c r="U147" i="43"/>
  <c r="T147" i="43"/>
  <c r="S147" i="43"/>
  <c r="R147" i="43"/>
  <c r="Q147" i="43"/>
  <c r="P147" i="43"/>
  <c r="O147" i="43"/>
  <c r="N147" i="43"/>
  <c r="M147" i="43"/>
  <c r="L147" i="43"/>
  <c r="K147" i="43"/>
  <c r="J147" i="43"/>
  <c r="I147" i="43"/>
  <c r="H147" i="43"/>
  <c r="G147" i="43"/>
  <c r="F147" i="43"/>
  <c r="E147" i="43"/>
  <c r="H146" i="43"/>
  <c r="G146" i="43"/>
  <c r="F146" i="43"/>
  <c r="E146" i="43"/>
  <c r="H145" i="43"/>
  <c r="G145" i="43"/>
  <c r="F145" i="43"/>
  <c r="E145" i="43"/>
  <c r="H144" i="43"/>
  <c r="G144" i="43"/>
  <c r="F144" i="43"/>
  <c r="E144" i="43"/>
  <c r="H143" i="43"/>
  <c r="G143" i="43"/>
  <c r="F143" i="43"/>
  <c r="E143" i="43"/>
  <c r="H142" i="43"/>
  <c r="G142" i="43"/>
  <c r="F142" i="43"/>
  <c r="E142" i="43"/>
  <c r="H141" i="43"/>
  <c r="G141" i="43"/>
  <c r="F141" i="43"/>
  <c r="E141" i="43"/>
  <c r="H140" i="43"/>
  <c r="G140" i="43"/>
  <c r="F140" i="43"/>
  <c r="E140" i="43"/>
  <c r="H139" i="43"/>
  <c r="G139" i="43"/>
  <c r="F139" i="43"/>
  <c r="E139" i="43"/>
  <c r="H138" i="43"/>
  <c r="G138" i="43"/>
  <c r="F138" i="43"/>
  <c r="E138" i="43"/>
  <c r="AC137" i="43"/>
  <c r="AB137" i="43"/>
  <c r="AA137" i="43"/>
  <c r="Z137" i="43"/>
  <c r="Y137" i="43"/>
  <c r="X137" i="43"/>
  <c r="W137" i="43"/>
  <c r="V137" i="43"/>
  <c r="U137" i="43"/>
  <c r="T137" i="43"/>
  <c r="S137" i="43"/>
  <c r="R137" i="43"/>
  <c r="Q137" i="43"/>
  <c r="P137" i="43"/>
  <c r="O137" i="43"/>
  <c r="N137" i="43"/>
  <c r="M137" i="43"/>
  <c r="L137" i="43"/>
  <c r="K137" i="43"/>
  <c r="J137" i="43"/>
  <c r="I137" i="43"/>
  <c r="H137" i="43"/>
  <c r="G137" i="43"/>
  <c r="F137" i="43"/>
  <c r="E137" i="43"/>
  <c r="AC136" i="43"/>
  <c r="AB136" i="43"/>
  <c r="AA136" i="43"/>
  <c r="Z136" i="43"/>
  <c r="Y136" i="43"/>
  <c r="X136" i="43"/>
  <c r="W136" i="43"/>
  <c r="V136" i="43"/>
  <c r="U136" i="43"/>
  <c r="T136" i="43"/>
  <c r="S136" i="43"/>
  <c r="R136" i="43"/>
  <c r="Q136" i="43"/>
  <c r="P136" i="43"/>
  <c r="O136" i="43"/>
  <c r="N136" i="43"/>
  <c r="M136" i="43"/>
  <c r="L136" i="43"/>
  <c r="K136" i="43"/>
  <c r="J136" i="43"/>
  <c r="I136" i="43"/>
  <c r="H136" i="43"/>
  <c r="G136" i="43"/>
  <c r="F136" i="43"/>
  <c r="E136" i="43"/>
  <c r="AC135" i="43"/>
  <c r="AB135" i="43"/>
  <c r="AA135" i="43"/>
  <c r="Z135" i="43"/>
  <c r="Y135" i="43"/>
  <c r="X135" i="43"/>
  <c r="W135" i="43"/>
  <c r="V135" i="43"/>
  <c r="U135" i="43"/>
  <c r="T135" i="43"/>
  <c r="S135" i="43"/>
  <c r="R135" i="43"/>
  <c r="Q135" i="43"/>
  <c r="P135" i="43"/>
  <c r="O135" i="43"/>
  <c r="N135" i="43"/>
  <c r="M135" i="43"/>
  <c r="L135" i="43"/>
  <c r="K135" i="43"/>
  <c r="J135" i="43"/>
  <c r="I135" i="43"/>
  <c r="H135" i="43"/>
  <c r="G135" i="43"/>
  <c r="F135" i="43"/>
  <c r="E135" i="43"/>
  <c r="AC134" i="43"/>
  <c r="AB134" i="43"/>
  <c r="AA134" i="43"/>
  <c r="Z134" i="43"/>
  <c r="Y134" i="43"/>
  <c r="X134" i="43"/>
  <c r="W134" i="43"/>
  <c r="V134" i="43"/>
  <c r="U134" i="43"/>
  <c r="T134" i="43"/>
  <c r="S134" i="43"/>
  <c r="R134" i="43"/>
  <c r="Q134" i="43"/>
  <c r="P134" i="43"/>
  <c r="O134" i="43"/>
  <c r="N134" i="43"/>
  <c r="M134" i="43"/>
  <c r="L134" i="43"/>
  <c r="K134" i="43"/>
  <c r="J134" i="43"/>
  <c r="I134" i="43"/>
  <c r="H134" i="43"/>
  <c r="G134" i="43"/>
  <c r="F134" i="43"/>
  <c r="E134" i="43"/>
  <c r="E133" i="43"/>
  <c r="D133" i="43" s="1"/>
  <c r="G132" i="43"/>
  <c r="F132" i="43"/>
  <c r="E132" i="43"/>
  <c r="AC131" i="43"/>
  <c r="AB131" i="43"/>
  <c r="AA131" i="43"/>
  <c r="Z131" i="43"/>
  <c r="Y131" i="43"/>
  <c r="X131" i="43"/>
  <c r="W131" i="43"/>
  <c r="V131" i="43"/>
  <c r="U131" i="43"/>
  <c r="T131" i="43"/>
  <c r="S131" i="43"/>
  <c r="R131" i="43"/>
  <c r="Q131" i="43"/>
  <c r="P131" i="43"/>
  <c r="O131" i="43"/>
  <c r="N131" i="43"/>
  <c r="M131" i="43"/>
  <c r="I131" i="43"/>
  <c r="H131" i="43"/>
  <c r="G131" i="43"/>
  <c r="F131" i="43"/>
  <c r="E131" i="43"/>
  <c r="AC130" i="43"/>
  <c r="AB130" i="43"/>
  <c r="AA130" i="43"/>
  <c r="Z130" i="43"/>
  <c r="Y130" i="43"/>
  <c r="X130" i="43"/>
  <c r="W130" i="43"/>
  <c r="V130" i="43"/>
  <c r="U130" i="43"/>
  <c r="T130" i="43"/>
  <c r="S130" i="43"/>
  <c r="R130" i="43"/>
  <c r="Q130" i="43"/>
  <c r="P130" i="43"/>
  <c r="O130" i="43"/>
  <c r="N130" i="43"/>
  <c r="M130" i="43"/>
  <c r="I130" i="43"/>
  <c r="H130" i="43"/>
  <c r="G130" i="43"/>
  <c r="F130" i="43"/>
  <c r="E130" i="43"/>
  <c r="AC129" i="43"/>
  <c r="AB129" i="43"/>
  <c r="AA129" i="43"/>
  <c r="Z129" i="43"/>
  <c r="Y129" i="43"/>
  <c r="X129" i="43"/>
  <c r="W129" i="43"/>
  <c r="V129" i="43"/>
  <c r="U129" i="43"/>
  <c r="T129" i="43"/>
  <c r="S129" i="43"/>
  <c r="R129" i="43"/>
  <c r="Q129" i="43"/>
  <c r="P129" i="43"/>
  <c r="O129" i="43"/>
  <c r="N129" i="43"/>
  <c r="M129" i="43"/>
  <c r="L129" i="43"/>
  <c r="K129" i="43"/>
  <c r="J129" i="43"/>
  <c r="I129" i="43"/>
  <c r="H129" i="43"/>
  <c r="G129" i="43"/>
  <c r="F129" i="43"/>
  <c r="E129" i="43"/>
  <c r="AC128" i="43"/>
  <c r="AB128" i="43"/>
  <c r="AA128" i="43"/>
  <c r="Z128" i="43"/>
  <c r="Y128" i="43"/>
  <c r="X128" i="43"/>
  <c r="W128" i="43"/>
  <c r="V128" i="43"/>
  <c r="U128" i="43"/>
  <c r="T128" i="43"/>
  <c r="S128" i="43"/>
  <c r="R128" i="43"/>
  <c r="Q128" i="43"/>
  <c r="P128" i="43"/>
  <c r="O128" i="43"/>
  <c r="N128" i="43"/>
  <c r="M128" i="43"/>
  <c r="L128" i="43"/>
  <c r="K128" i="43"/>
  <c r="J128" i="43"/>
  <c r="I128" i="43"/>
  <c r="H128" i="43"/>
  <c r="G128" i="43"/>
  <c r="F128" i="43"/>
  <c r="E128" i="43"/>
  <c r="H126" i="43"/>
  <c r="G126" i="43"/>
  <c r="F126" i="43"/>
  <c r="E126" i="43"/>
  <c r="H125" i="43"/>
  <c r="G125" i="43"/>
  <c r="F125" i="43"/>
  <c r="E125" i="43"/>
  <c r="H124" i="43"/>
  <c r="G124" i="43"/>
  <c r="F124" i="43"/>
  <c r="E124" i="43"/>
  <c r="H123" i="43"/>
  <c r="G123" i="43"/>
  <c r="F123" i="43"/>
  <c r="E123" i="43"/>
  <c r="H122" i="43"/>
  <c r="G122" i="43"/>
  <c r="F122" i="43"/>
  <c r="E122" i="43"/>
  <c r="H121" i="43"/>
  <c r="G121" i="43"/>
  <c r="F121" i="43"/>
  <c r="E121" i="43"/>
  <c r="H120" i="43"/>
  <c r="G120" i="43"/>
  <c r="F120" i="43"/>
  <c r="E120" i="43"/>
  <c r="H119" i="43"/>
  <c r="G119" i="43"/>
  <c r="F119" i="43"/>
  <c r="E119" i="43"/>
  <c r="H118" i="43"/>
  <c r="G118" i="43"/>
  <c r="F118" i="43"/>
  <c r="E118" i="43"/>
  <c r="AC117" i="43"/>
  <c r="AB117" i="43"/>
  <c r="AA117" i="43"/>
  <c r="Z117" i="43"/>
  <c r="Y117" i="43"/>
  <c r="X117" i="43"/>
  <c r="W117" i="43"/>
  <c r="V117" i="43"/>
  <c r="U117" i="43"/>
  <c r="T117" i="43"/>
  <c r="S117" i="43"/>
  <c r="R117" i="43"/>
  <c r="Q117" i="43"/>
  <c r="P117" i="43"/>
  <c r="O117" i="43"/>
  <c r="N117" i="43"/>
  <c r="M117" i="43"/>
  <c r="L117" i="43"/>
  <c r="K117" i="43"/>
  <c r="J117" i="43"/>
  <c r="I117" i="43"/>
  <c r="H117" i="43"/>
  <c r="G117" i="43"/>
  <c r="F117" i="43"/>
  <c r="E117" i="43"/>
  <c r="AC116" i="43"/>
  <c r="AB116" i="43"/>
  <c r="AA116" i="43"/>
  <c r="Z116" i="43"/>
  <c r="Y116" i="43"/>
  <c r="X116" i="43"/>
  <c r="W116" i="43"/>
  <c r="V116" i="43"/>
  <c r="U116" i="43"/>
  <c r="T116" i="43"/>
  <c r="S116" i="43"/>
  <c r="R116" i="43"/>
  <c r="Q116" i="43"/>
  <c r="P116" i="43"/>
  <c r="O116" i="43"/>
  <c r="N116" i="43"/>
  <c r="M116" i="43"/>
  <c r="L116" i="43"/>
  <c r="K116" i="43"/>
  <c r="J116" i="43"/>
  <c r="I116" i="43"/>
  <c r="H116" i="43"/>
  <c r="G116" i="43"/>
  <c r="F116" i="43"/>
  <c r="E116" i="43"/>
  <c r="AC115" i="43"/>
  <c r="AB115" i="43"/>
  <c r="AA115" i="43"/>
  <c r="Z115" i="43"/>
  <c r="Y115" i="43"/>
  <c r="X115" i="43"/>
  <c r="W115" i="43"/>
  <c r="V115" i="43"/>
  <c r="U115" i="43"/>
  <c r="T115" i="43"/>
  <c r="S115" i="43"/>
  <c r="R115" i="43"/>
  <c r="Q115" i="43"/>
  <c r="P115" i="43"/>
  <c r="O115" i="43"/>
  <c r="N115" i="43"/>
  <c r="M115" i="43"/>
  <c r="L115" i="43"/>
  <c r="K115" i="43"/>
  <c r="J115" i="43"/>
  <c r="I115" i="43"/>
  <c r="H115" i="43"/>
  <c r="G115" i="43"/>
  <c r="F115" i="43"/>
  <c r="E115" i="43"/>
  <c r="AC114" i="43"/>
  <c r="AB114" i="43"/>
  <c r="AA114" i="43"/>
  <c r="Z114" i="43"/>
  <c r="Y114" i="43"/>
  <c r="X114" i="43"/>
  <c r="W114" i="43"/>
  <c r="V114" i="43"/>
  <c r="U114" i="43"/>
  <c r="T114" i="43"/>
  <c r="S114" i="43"/>
  <c r="R114" i="43"/>
  <c r="Q114" i="43"/>
  <c r="P114" i="43"/>
  <c r="O114" i="43"/>
  <c r="N114" i="43"/>
  <c r="M114" i="43"/>
  <c r="L114" i="43"/>
  <c r="K114" i="43"/>
  <c r="J114" i="43"/>
  <c r="I114" i="43"/>
  <c r="H114" i="43"/>
  <c r="G114" i="43"/>
  <c r="F114" i="43"/>
  <c r="E114" i="43"/>
  <c r="W113" i="43"/>
  <c r="E113" i="43"/>
  <c r="D113" i="43" s="1"/>
  <c r="E112" i="43"/>
  <c r="E111" i="43"/>
  <c r="E110" i="43"/>
  <c r="D109" i="43"/>
  <c r="D108" i="43"/>
  <c r="E106" i="43"/>
  <c r="E105" i="43"/>
  <c r="D105" i="43" s="1"/>
  <c r="E104" i="43"/>
  <c r="E103" i="43"/>
  <c r="D103" i="43" s="1"/>
  <c r="E102" i="43"/>
  <c r="D102" i="43" s="1"/>
  <c r="G101" i="43"/>
  <c r="F101" i="43"/>
  <c r="E101" i="43"/>
  <c r="G100" i="43"/>
  <c r="F100" i="43"/>
  <c r="E100" i="43"/>
  <c r="G99" i="43"/>
  <c r="F99" i="43"/>
  <c r="E99" i="43"/>
  <c r="G98" i="43"/>
  <c r="F98" i="43"/>
  <c r="E98" i="43"/>
  <c r="G97" i="43"/>
  <c r="F97" i="43"/>
  <c r="E97" i="43"/>
  <c r="G96" i="43"/>
  <c r="F96" i="43"/>
  <c r="E96" i="43"/>
  <c r="G95" i="43"/>
  <c r="F95" i="43"/>
  <c r="E95" i="43"/>
  <c r="G94" i="43"/>
  <c r="F94" i="43"/>
  <c r="E94" i="43"/>
  <c r="G93" i="43"/>
  <c r="F93" i="43"/>
  <c r="E93" i="43"/>
  <c r="G92" i="43"/>
  <c r="F92" i="43"/>
  <c r="E92" i="43"/>
  <c r="F91" i="43"/>
  <c r="E91" i="43"/>
  <c r="E67" i="43"/>
  <c r="A67" i="43" s="1"/>
  <c r="E66" i="43"/>
  <c r="A66" i="43" s="1"/>
  <c r="E65" i="43"/>
  <c r="A65" i="43" s="1"/>
  <c r="E64" i="43"/>
  <c r="A64" i="43" s="1"/>
  <c r="E63" i="43"/>
  <c r="D63" i="43" s="1"/>
  <c r="E62" i="43"/>
  <c r="D62" i="43" s="1"/>
  <c r="E61" i="43"/>
  <c r="A61" i="43" s="1"/>
  <c r="E60" i="43"/>
  <c r="D60" i="43" s="1"/>
  <c r="E59" i="43"/>
  <c r="D59" i="43" s="1"/>
  <c r="E58" i="43"/>
  <c r="D58" i="43" s="1"/>
  <c r="E57" i="43"/>
  <c r="A57" i="43" s="1"/>
  <c r="E56" i="43"/>
  <c r="D56" i="43" s="1"/>
  <c r="E55" i="43"/>
  <c r="D55" i="43" s="1"/>
  <c r="E54" i="43"/>
  <c r="D54" i="43" s="1"/>
  <c r="E53" i="43"/>
  <c r="A53" i="43" s="1"/>
  <c r="E52" i="43"/>
  <c r="A52" i="43" s="1"/>
  <c r="E51" i="43"/>
  <c r="D51" i="43" s="1"/>
  <c r="E50" i="43"/>
  <c r="D50" i="43" s="1"/>
  <c r="E49" i="43"/>
  <c r="A49" i="43" s="1"/>
  <c r="E48" i="43"/>
  <c r="D48" i="43" s="1"/>
  <c r="E47" i="43"/>
  <c r="D47" i="43" s="1"/>
  <c r="E46" i="43"/>
  <c r="A46" i="43" s="1"/>
  <c r="E45" i="43"/>
  <c r="A45" i="43" s="1"/>
  <c r="E44" i="43"/>
  <c r="D44" i="43" s="1"/>
  <c r="E43" i="43"/>
  <c r="A43" i="43" s="1"/>
  <c r="E42" i="43"/>
  <c r="A42" i="43" s="1"/>
  <c r="E41" i="43"/>
  <c r="A41" i="43" s="1"/>
  <c r="E40" i="43"/>
  <c r="D40" i="43" s="1"/>
  <c r="E39" i="43"/>
  <c r="D39" i="43" s="1"/>
  <c r="E38" i="43"/>
  <c r="D38" i="43" s="1"/>
  <c r="E37" i="43"/>
  <c r="A37" i="43" s="1"/>
  <c r="E36" i="43"/>
  <c r="D36" i="43" s="1"/>
  <c r="E35" i="43"/>
  <c r="D35" i="43" s="1"/>
  <c r="E34" i="43"/>
  <c r="D34" i="43" s="1"/>
  <c r="E33" i="43"/>
  <c r="A33" i="43" s="1"/>
  <c r="E32" i="43"/>
  <c r="D32" i="43" s="1"/>
  <c r="E31" i="43"/>
  <c r="D31" i="43" s="1"/>
  <c r="E30" i="43"/>
  <c r="D30" i="43" s="1"/>
  <c r="E29" i="43"/>
  <c r="A29" i="43" s="1"/>
  <c r="E28" i="43"/>
  <c r="D28" i="43" s="1"/>
  <c r="E27" i="43"/>
  <c r="D27" i="43" s="1"/>
  <c r="E26" i="43"/>
  <c r="A26" i="43" s="1"/>
  <c r="E25" i="43"/>
  <c r="A25" i="43" s="1"/>
  <c r="E24" i="43"/>
  <c r="D24" i="43" s="1"/>
  <c r="E23" i="43"/>
  <c r="D23" i="43" s="1"/>
  <c r="E22" i="43"/>
  <c r="D22" i="43" s="1"/>
  <c r="E21" i="43"/>
  <c r="A21" i="43" s="1"/>
  <c r="E20" i="43"/>
  <c r="D20" i="43" s="1"/>
  <c r="E19" i="43"/>
  <c r="A19" i="43" s="1"/>
  <c r="E18" i="43"/>
  <c r="A18" i="43" s="1"/>
  <c r="E17" i="43"/>
  <c r="D17" i="43" s="1"/>
  <c r="E16" i="43"/>
  <c r="D16" i="43" s="1"/>
  <c r="E15" i="43"/>
  <c r="D15" i="43" s="1"/>
  <c r="E14" i="43"/>
  <c r="D14" i="43" s="1"/>
  <c r="E13" i="43"/>
  <c r="E12" i="43"/>
  <c r="D12" i="43" s="1"/>
  <c r="E11" i="43"/>
  <c r="D11" i="43" s="1"/>
  <c r="D9" i="43"/>
  <c r="D8" i="43"/>
  <c r="A8" i="43"/>
  <c r="E7" i="43"/>
  <c r="A107" i="43" s="1" a="1"/>
  <c r="A107" i="43" s="1"/>
  <c r="D6" i="43"/>
  <c r="E5" i="43"/>
  <c r="D5" i="43" s="1"/>
  <c r="E4" i="43"/>
  <c r="A4" i="43" s="1"/>
  <c r="F3" i="43"/>
  <c r="E3" i="43"/>
  <c r="C2" i="43"/>
  <c r="D13" i="43" l="1"/>
  <c r="A13" i="43"/>
  <c r="D99" i="43"/>
  <c r="D66" i="43"/>
  <c r="D110" i="43"/>
  <c r="A110" i="43" a="1"/>
  <c r="A110" i="43" s="1"/>
  <c r="D101" i="43"/>
  <c r="D94" i="43"/>
  <c r="D100" i="43"/>
  <c r="D96" i="43"/>
  <c r="D93" i="43"/>
  <c r="D42" i="43"/>
  <c r="D67" i="43"/>
  <c r="D97" i="43"/>
  <c r="D98" i="43"/>
  <c r="D91" i="43"/>
  <c r="D95" i="43"/>
  <c r="D92" i="43"/>
  <c r="A112" i="43" a="1"/>
  <c r="A112" i="43" s="1"/>
  <c r="A111" i="43" a="1"/>
  <c r="A111" i="43" s="1"/>
  <c r="A106" i="43" a="1"/>
  <c r="A106" i="43" s="1"/>
  <c r="A104" i="43" a="1"/>
  <c r="A104" i="43" s="1"/>
  <c r="D7" i="43"/>
  <c r="D25" i="43"/>
  <c r="A48" i="43"/>
  <c r="D29" i="43"/>
  <c r="D45" i="43"/>
  <c r="D46" i="43"/>
  <c r="A20" i="43"/>
  <c r="A31" i="43"/>
  <c r="D65" i="43"/>
  <c r="D57" i="43"/>
  <c r="A23" i="43"/>
  <c r="A51" i="43"/>
  <c r="D53" i="43"/>
  <c r="D84" i="43"/>
  <c r="D69" i="43"/>
  <c r="D76" i="43"/>
  <c r="D79" i="43"/>
  <c r="D70" i="43"/>
  <c r="D88" i="43"/>
  <c r="D89" i="43"/>
  <c r="D90" i="43"/>
  <c r="D80" i="43"/>
  <c r="D81" i="43"/>
  <c r="D68" i="43"/>
  <c r="D71" i="43"/>
  <c r="D82" i="43"/>
  <c r="D73" i="43"/>
  <c r="D83" i="43"/>
  <c r="D74" i="43"/>
  <c r="D72" i="43"/>
  <c r="D75" i="43"/>
  <c r="D85" i="43"/>
  <c r="D86" i="43"/>
  <c r="A68" i="43"/>
  <c r="D77" i="43"/>
  <c r="D87" i="43"/>
  <c r="D78" i="43"/>
  <c r="D207" i="43"/>
  <c r="D200" i="43"/>
  <c r="D127" i="43"/>
  <c r="D129" i="43"/>
  <c r="D194" i="43"/>
  <c r="D161" i="43"/>
  <c r="D172" i="43"/>
  <c r="D213" i="43"/>
  <c r="D219" i="43"/>
  <c r="D119" i="43"/>
  <c r="D132" i="43"/>
  <c r="D210" i="43"/>
  <c r="D221" i="43"/>
  <c r="D178" i="43"/>
  <c r="D186" i="43"/>
  <c r="D181" i="43"/>
  <c r="D175" i="43"/>
  <c r="D176" i="43"/>
  <c r="D170" i="43"/>
  <c r="D164" i="43"/>
  <c r="D149" i="43"/>
  <c r="D151" i="43"/>
  <c r="D152" i="43"/>
  <c r="D125" i="43"/>
  <c r="A28" i="43"/>
  <c r="A38" i="43"/>
  <c r="D52" i="43"/>
  <c r="A24" i="43"/>
  <c r="A58" i="43"/>
  <c r="D64" i="43"/>
  <c r="A30" i="43"/>
  <c r="A36" i="43"/>
  <c r="D26" i="43"/>
  <c r="D41" i="43"/>
  <c r="A62" i="43"/>
  <c r="D215" i="43"/>
  <c r="D206" i="43"/>
  <c r="D201" i="43"/>
  <c r="D158" i="43"/>
  <c r="D139" i="43"/>
  <c r="D211" i="43"/>
  <c r="D222" i="43"/>
  <c r="D214" i="43"/>
  <c r="D212" i="43"/>
  <c r="D220" i="43"/>
  <c r="D209" i="43"/>
  <c r="D174" i="43"/>
  <c r="D183" i="43"/>
  <c r="D177" i="43"/>
  <c r="D184" i="43"/>
  <c r="D188" i="43"/>
  <c r="D187" i="43"/>
  <c r="D189" i="43"/>
  <c r="D190" i="43"/>
  <c r="D179" i="43"/>
  <c r="D182" i="43"/>
  <c r="D185" i="43"/>
  <c r="D191" i="43"/>
  <c r="D192" i="43"/>
  <c r="D196" i="43"/>
  <c r="D195" i="43"/>
  <c r="D197" i="43"/>
  <c r="D202" i="43"/>
  <c r="D157" i="43"/>
  <c r="D167" i="43"/>
  <c r="D169" i="43"/>
  <c r="D159" i="43"/>
  <c r="D168" i="43"/>
  <c r="D162" i="43"/>
  <c r="D171" i="43"/>
  <c r="D165" i="43"/>
  <c r="D160" i="43"/>
  <c r="D154" i="43"/>
  <c r="D155" i="43"/>
  <c r="D163" i="43"/>
  <c r="D166" i="43"/>
  <c r="D156" i="43"/>
  <c r="D148" i="43"/>
  <c r="D150" i="43"/>
  <c r="D145" i="43"/>
  <c r="D134" i="43"/>
  <c r="D135" i="43"/>
  <c r="D136" i="43"/>
  <c r="D137" i="43"/>
  <c r="D144" i="43"/>
  <c r="D147" i="43"/>
  <c r="D131" i="43"/>
  <c r="D130" i="43"/>
  <c r="D115" i="43"/>
  <c r="D114" i="43"/>
  <c r="D117" i="43"/>
  <c r="D118" i="43"/>
  <c r="D124" i="43"/>
  <c r="D116" i="43"/>
  <c r="D128" i="43"/>
  <c r="D218" i="43"/>
  <c r="D216" i="43"/>
  <c r="D217" i="43"/>
  <c r="D180" i="43"/>
  <c r="D203" i="43"/>
  <c r="D198" i="43"/>
  <c r="D204" i="43"/>
  <c r="D199" i="43"/>
  <c r="D205" i="43"/>
  <c r="D138" i="43"/>
  <c r="D141" i="43"/>
  <c r="D142" i="43"/>
  <c r="D140" i="43"/>
  <c r="D143" i="43"/>
  <c r="D146" i="43"/>
  <c r="D121" i="43"/>
  <c r="D122" i="43"/>
  <c r="D120" i="43"/>
  <c r="D123" i="43"/>
  <c r="D126" i="43"/>
  <c r="A12" i="43"/>
  <c r="A16" i="43"/>
  <c r="A3" i="43"/>
  <c r="A9" i="43"/>
  <c r="A7" i="43"/>
  <c r="D106" i="43"/>
  <c r="D10" i="43"/>
  <c r="A10" i="43"/>
  <c r="A17" i="43"/>
  <c r="A14" i="43"/>
  <c r="A11" i="43"/>
  <c r="A15" i="43"/>
  <c r="D3" i="43"/>
  <c r="D104" i="43"/>
  <c r="D18" i="43"/>
  <c r="D33" i="43"/>
  <c r="A34" i="43"/>
  <c r="A44" i="43"/>
  <c r="A63" i="43"/>
  <c r="A39" i="43"/>
  <c r="D49" i="43"/>
  <c r="A54" i="43"/>
  <c r="A59" i="43"/>
  <c r="A35" i="43"/>
  <c r="A40" i="43"/>
  <c r="A50" i="43"/>
  <c r="D21" i="43"/>
  <c r="A55" i="43"/>
  <c r="A60" i="43"/>
  <c r="A22" i="43"/>
  <c r="A56" i="43"/>
  <c r="A27" i="43"/>
  <c r="A32" i="43"/>
  <c r="D61" i="43"/>
  <c r="D37" i="43"/>
  <c r="A47" i="43"/>
  <c r="D43" i="43"/>
  <c r="D19" i="43"/>
  <c r="A5" i="43"/>
  <c r="D4" i="43"/>
  <c r="D107" i="43"/>
  <c r="A6" i="43"/>
  <c r="D111" i="43"/>
  <c r="D112" i="4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<sst xmlns="http://schemas.openxmlformats.org/spreadsheetml/2006/main" count="2448" uniqueCount="415">
  <si>
    <t>All Ages Lead Model (AALM)</t>
  </si>
  <si>
    <t>Simulation Setup</t>
  </si>
  <si>
    <t>Simulation Name</t>
  </si>
  <si>
    <t>1. Set Base Parameters</t>
  </si>
  <si>
    <t>Timesteps per day</t>
  </si>
  <si>
    <t>Timesteps between outputs</t>
  </si>
  <si>
    <t>Age at start (yrs)</t>
  </si>
  <si>
    <t>Age at end (yrs)</t>
  </si>
  <si>
    <t>Sex</t>
  </si>
  <si>
    <t>Female</t>
  </si>
  <si>
    <t>2. Set Growth and Physiology</t>
  </si>
  <si>
    <t>Adjust growth parameters?</t>
  </si>
  <si>
    <t>No (default)</t>
  </si>
  <si>
    <t>Adjust physiology parameters?</t>
  </si>
  <si>
    <t>3. Set Active Media</t>
  </si>
  <si>
    <t>Media</t>
  </si>
  <si>
    <t>Number of Sources</t>
  </si>
  <si>
    <t>Number of Periodic "Time Masks"</t>
  </si>
  <si>
    <t>Soil</t>
  </si>
  <si>
    <t>No</t>
  </si>
  <si>
    <t>Dust</t>
  </si>
  <si>
    <t>Water</t>
  </si>
  <si>
    <t>Air</t>
  </si>
  <si>
    <t>Food</t>
  </si>
  <si>
    <t>Other</t>
  </si>
  <si>
    <t>Solution type</t>
  </si>
  <si>
    <t>Stepwise or Interpolated?</t>
  </si>
  <si>
    <t>Linear or Non-linear RBC?</t>
  </si>
  <si>
    <t>Name</t>
  </si>
  <si>
    <t>Sim</t>
  </si>
  <si>
    <t>age_range</t>
  </si>
  <si>
    <t>steps_per_day</t>
  </si>
  <si>
    <t>outwrite</t>
  </si>
  <si>
    <t>irbc</t>
  </si>
  <si>
    <t>iterate</t>
  </si>
  <si>
    <t>debug</t>
  </si>
  <si>
    <t>interp</t>
  </si>
  <si>
    <t>Growth</t>
  </si>
  <si>
    <t>sex</t>
  </si>
  <si>
    <t>wbirth</t>
  </si>
  <si>
    <t>wchild</t>
  </si>
  <si>
    <t>half</t>
  </si>
  <si>
    <t>wadult</t>
  </si>
  <si>
    <t>kappa</t>
  </si>
  <si>
    <t>lambda</t>
  </si>
  <si>
    <t>LB</t>
  </si>
  <si>
    <t>Phys</t>
  </si>
  <si>
    <t>HCTB</t>
  </si>
  <si>
    <t>HCTA</t>
  </si>
  <si>
    <t>ASHWT</t>
  </si>
  <si>
    <t>BLDMOT</t>
  </si>
  <si>
    <t>BONIN</t>
  </si>
  <si>
    <t>BRANIN</t>
  </si>
  <si>
    <t>BRATIO</t>
  </si>
  <si>
    <t>CRTWT</t>
  </si>
  <si>
    <t>H1TOBL</t>
  </si>
  <si>
    <t>H1TOH2</t>
  </si>
  <si>
    <t>H1TOSI</t>
  </si>
  <si>
    <t>HEPIN</t>
  </si>
  <si>
    <t>IFETAL</t>
  </si>
  <si>
    <t>KWT</t>
  </si>
  <si>
    <t>PLSVOL</t>
  </si>
  <si>
    <t>POWER</t>
  </si>
  <si>
    <t>RBCIN</t>
  </si>
  <si>
    <t>RBCNL</t>
  </si>
  <si>
    <t>RBCVOL</t>
  </si>
  <si>
    <t>RENIN</t>
  </si>
  <si>
    <t>RKDN1</t>
  </si>
  <si>
    <t>RLLI</t>
  </si>
  <si>
    <t>RLVR1</t>
  </si>
  <si>
    <t>RPLAS</t>
  </si>
  <si>
    <t>RPROT</t>
  </si>
  <si>
    <t>RSIC</t>
  </si>
  <si>
    <t>RSOF0</t>
  </si>
  <si>
    <t>RSOF1</t>
  </si>
  <si>
    <t>RSOF2</t>
  </si>
  <si>
    <t>RSTMC</t>
  </si>
  <si>
    <t>RULI</t>
  </si>
  <si>
    <t>S2HAIR</t>
  </si>
  <si>
    <t>SATRAT</t>
  </si>
  <si>
    <t>SIZEVF</t>
  </si>
  <si>
    <t>SOFIN</t>
  </si>
  <si>
    <t>TBONEL</t>
  </si>
  <si>
    <t>TEVF</t>
  </si>
  <si>
    <t>TOFECE</t>
  </si>
  <si>
    <t>TOKDN1</t>
  </si>
  <si>
    <t>TOKDN2</t>
  </si>
  <si>
    <t>TOLVR1</t>
  </si>
  <si>
    <t>TOPROT</t>
  </si>
  <si>
    <t>TORBC</t>
  </si>
  <si>
    <t>TOSWET</t>
  </si>
  <si>
    <t>TOURIN</t>
  </si>
  <si>
    <t>TRBWT</t>
  </si>
  <si>
    <t>VBLC</t>
  </si>
  <si>
    <t>VKC</t>
  </si>
  <si>
    <t>VLC</t>
  </si>
  <si>
    <t>VLUC</t>
  </si>
  <si>
    <t>Age</t>
  </si>
  <si>
    <t>F1</t>
  </si>
  <si>
    <t>AMTBLD</t>
  </si>
  <si>
    <t>FLONG</t>
  </si>
  <si>
    <t>GSCAL</t>
  </si>
  <si>
    <t>RBLAD</t>
  </si>
  <si>
    <t>RBRAN</t>
  </si>
  <si>
    <t>RCORT</t>
  </si>
  <si>
    <t>RCS2B</t>
  </si>
  <si>
    <t>RCS2DF</t>
  </si>
  <si>
    <t>RDIFF</t>
  </si>
  <si>
    <t>RKDN2</t>
  </si>
  <si>
    <t>RLVR2</t>
  </si>
  <si>
    <t>RRBC</t>
  </si>
  <si>
    <t>RTRAB</t>
  </si>
  <si>
    <t>RTS2B</t>
  </si>
  <si>
    <t>RTS2DF</t>
  </si>
  <si>
    <t>TBONE</t>
  </si>
  <si>
    <t>TFRAC</t>
  </si>
  <si>
    <t>TOBRAN</t>
  </si>
  <si>
    <t>TOSOF0</t>
  </si>
  <si>
    <t>TOSOF1</t>
  </si>
  <si>
    <t>TOSOF2</t>
  </si>
  <si>
    <t>Lung</t>
  </si>
  <si>
    <t>DepFracLET</t>
  </si>
  <si>
    <t>DepFracLTB</t>
  </si>
  <si>
    <t>DepFracLalv</t>
  </si>
  <si>
    <t>RLETplas</t>
  </si>
  <si>
    <t>RLETstom</t>
  </si>
  <si>
    <t>RLTBplas</t>
  </si>
  <si>
    <t>RLTBLET</t>
  </si>
  <si>
    <t>RLalvPlas</t>
  </si>
  <si>
    <t>RLalvLTB</t>
  </si>
  <si>
    <t>RLalvLint</t>
  </si>
  <si>
    <t>RLintPlas</t>
  </si>
  <si>
    <t>sources</t>
  </si>
  <si>
    <t>conc_ages</t>
  </si>
  <si>
    <t>concs1</t>
  </si>
  <si>
    <t>intake_ages</t>
  </si>
  <si>
    <t>intake_amt</t>
  </si>
  <si>
    <t>frac1</t>
  </si>
  <si>
    <t>RBA</t>
  </si>
  <si>
    <t>source_ages</t>
  </si>
  <si>
    <t>source_amt1</t>
  </si>
  <si>
    <t>source_amt2</t>
  </si>
  <si>
    <t>source_amt3</t>
  </si>
  <si>
    <t>END</t>
  </si>
  <si>
    <t>Growth Parameters</t>
  </si>
  <si>
    <t>Parameter</t>
  </si>
  <si>
    <t>Unit</t>
  </si>
  <si>
    <t>Value</t>
  </si>
  <si>
    <t>Definition</t>
  </si>
  <si>
    <t>Body Weight vs Age Graph</t>
  </si>
  <si>
    <t>--</t>
  </si>
  <si>
    <t>Male</t>
  </si>
  <si>
    <t>kg</t>
  </si>
  <si>
    <t xml:space="preserve">Weight at birth </t>
  </si>
  <si>
    <t>Maximum weight for early hyperbolic growth period</t>
  </si>
  <si>
    <t>years</t>
  </si>
  <si>
    <t>Age at which weight is half WCHILD</t>
  </si>
  <si>
    <t>Maximum weight for logistic growth period</t>
  </si>
  <si>
    <t>Logistic constant kappa</t>
  </si>
  <si>
    <t>Logistic constant lambda</t>
  </si>
  <si>
    <t>Ratio of lean body mass to body mass</t>
  </si>
  <si>
    <t>Time-independent Physiological Parameters</t>
  </si>
  <si>
    <t>g</t>
  </si>
  <si>
    <t>Skeletal ash weight</t>
  </si>
  <si>
    <t>ug/dL</t>
  </si>
  <si>
    <t>Maternal blood lead concentration</t>
  </si>
  <si>
    <t>f</t>
  </si>
  <si>
    <t>Fraction of body lead, at birth, in bone</t>
  </si>
  <si>
    <t>Fraction of body lead, at birth, in brain</t>
  </si>
  <si>
    <t>Fetal:maternal blood lead concentration ratio</t>
  </si>
  <si>
    <t>Cortical bone weight</t>
  </si>
  <si>
    <t>Fraction of transfer out of liver compartment 1 that goes to diffusible plasma</t>
  </si>
  <si>
    <t>Fraction of transfer out of  liver compartment 1 that goes to liver compartment 2</t>
  </si>
  <si>
    <t>Fraction of transfer out of liver compartment 1 that goes to the small intestine</t>
  </si>
  <si>
    <t>Birth hematocrit</t>
  </si>
  <si>
    <t>Fraction of body lead, at birth, in liver</t>
  </si>
  <si>
    <t>Switch for starting tissue Pb from maternal blood (1)</t>
  </si>
  <si>
    <t>Adult kidney weight</t>
  </si>
  <si>
    <t>dL</t>
  </si>
  <si>
    <t>Plasma volume</t>
  </si>
  <si>
    <t>Exponent for RBC deposition</t>
  </si>
  <si>
    <t>Fraction of body lead, at birth, in red blood cells</t>
  </si>
  <si>
    <t>Threshold concentration in RBC for non-linear deposition from diffusible plasma to RBC</t>
  </si>
  <si>
    <t>Red blood cell volume</t>
  </si>
  <si>
    <t>d-1</t>
  </si>
  <si>
    <t>Fraction of body lead, at birth, in kidney</t>
  </si>
  <si>
    <t>Transfer rate from kidney compartment 1 to urinary pathway</t>
  </si>
  <si>
    <t>Transfer rate from lower large intestine to feces</t>
  </si>
  <si>
    <t>Transfer rate out of the liver compartment 1, including to small intestine and diffusible plasma</t>
  </si>
  <si>
    <t>Total transfer rate from diffusible plasma to all compartments</t>
  </si>
  <si>
    <t>Transfer rate from bound plasma to diffusible plasma</t>
  </si>
  <si>
    <t>Transfer rate from small intestine to upper large intestine</t>
  </si>
  <si>
    <t>Transfer rate from soft tissue compartment 0 to diffusible plasma</t>
  </si>
  <si>
    <t>Transfer rate from soft tissue compartment 1 to diffusible plasma</t>
  </si>
  <si>
    <t>Transfer rate from soft tissue compartment 2 to diffusible plasma</t>
  </si>
  <si>
    <t>Transfer rate from stomach to small intestine</t>
  </si>
  <si>
    <t>Transfer rate from upper large intestine to lower large intestine</t>
  </si>
  <si>
    <t>Deposition fraction from soft tissue compartment 1 to other excreta</t>
  </si>
  <si>
    <t>Maximum (saturating) concentration of lead in RBC</t>
  </si>
  <si>
    <t>Relative volume of the EVF compartment compared to plasma (EVF/Plasma)</t>
  </si>
  <si>
    <t>Fraction of body lead, at birth, in soft tissue</t>
  </si>
  <si>
    <t>End value of TBONE-age array</t>
  </si>
  <si>
    <t>Deposition fraction from diffusible plasma to extravascular fluid</t>
  </si>
  <si>
    <t>Deposition fraction from diffusible plasma directly to the small intestine (not including the transfer from biliary secretion, specified by RLVR1)</t>
  </si>
  <si>
    <t>Deposition fraction from diffusible plasma to kidney compartment 1</t>
  </si>
  <si>
    <t>Deposition fraction from diffusible plasma to kidney compartment 2</t>
  </si>
  <si>
    <t>Deposition fraction from diffusible plasma to liver compartment 1</t>
  </si>
  <si>
    <t>Deposition fraction from diffusible plasma to protein-bound plasma</t>
  </si>
  <si>
    <t>Deposition fraction from diffusible plasma to red blood cells, below non-linear threshold</t>
  </si>
  <si>
    <t>Deposition fraction from diffusible plasma to sweat</t>
  </si>
  <si>
    <t>Deposition fraction from diffusible plasma to urine</t>
  </si>
  <si>
    <t>Trabecular bone weight</t>
  </si>
  <si>
    <t>L/kg</t>
  </si>
  <si>
    <t>Total blood volume</t>
  </si>
  <si>
    <t>Kidney volume in the adult</t>
  </si>
  <si>
    <t>Liver volume in the adult</t>
  </si>
  <si>
    <t>Lung volume in adult</t>
  </si>
  <si>
    <t>Time-dependent Physiological Parameters</t>
  </si>
  <si>
    <t>Number of Ages</t>
  </si>
  <si>
    <t>Units</t>
  </si>
  <si>
    <t>Age (years)</t>
  </si>
  <si>
    <t>GI-tract absorption fraction which are applied to Pb ingested from all sources. (based on Leggett 1993)</t>
  </si>
  <si>
    <t>Age-scaled amount of blood</t>
  </si>
  <si>
    <t>Age-scaled fraction of total transfer from the exchangeable bone directed to non-exchangeable bone</t>
  </si>
  <si>
    <t>Age scaling factor for GIT transfer</t>
  </si>
  <si>
    <t>Age-scaled transfer rate from urinary bladder to urine</t>
  </si>
  <si>
    <t>Age-scaled transfer rate from brain to diffusible plasma</t>
  </si>
  <si>
    <t>Age-scaled transfer rate from non-exchangeable cortical bone to diffusible plasma</t>
  </si>
  <si>
    <t>Age-scaled transfer rate from cortical bone surface to diffusible plasma</t>
  </si>
  <si>
    <t>Age-scaled transfer rate from cortical bone surface to exchangeable cortical bone</t>
  </si>
  <si>
    <t>Age-scaled transfer rate from the exchangeable bone, including transfer to surface and non-exchangeable bone</t>
  </si>
  <si>
    <t>Age-scaled transfer rate from kidney compartment 2 to diffusible plasma</t>
  </si>
  <si>
    <t>Age-scaled transfer rate from the slow liver compartment 2 to diffusible plasma</t>
  </si>
  <si>
    <t>Age-scaled transfer rate from red blood cell to diffusible plasma</t>
  </si>
  <si>
    <t>Age-scaled transfer rate from non-exchangeable trabecular bone to diffusible plasma</t>
  </si>
  <si>
    <t>Age-scaled transfer rate from trabecular bone surface to diffusible plasma</t>
  </si>
  <si>
    <t>Age-scaled transfer rate from surface trabecular bone to exchangeable trabecular bone</t>
  </si>
  <si>
    <t>Age-scaled deposition fraction from diffusible plasma to surface bone</t>
  </si>
  <si>
    <t>Bone deposition-scaled fraction of diffusible plasma-to-bone deposition that goes to trabecular surface bone; 1-TFRAC is the fraction that goes to cortical surface bone.</t>
  </si>
  <si>
    <t>Age-scaled deposition fraction from diffusible plasma to brain</t>
  </si>
  <si>
    <t>Age-scaled deposition fraction from diffusible plasma to soft tissue compartment 0</t>
  </si>
  <si>
    <t>Age-scaled deposition fraction from diffusible plasma to soft tissue compartment 1</t>
  </si>
  <si>
    <t>Age-scaled deposition fraction from diffusible plasma to soft tissue compartment 2</t>
  </si>
  <si>
    <t>Media Sources, Intakes, and Relative Bioavailabilities</t>
  </si>
  <si>
    <t>Allowable Concentration Calculation Parameters</t>
  </si>
  <si>
    <t>Subtype</t>
  </si>
  <si>
    <t>Link Dust and Soil?</t>
  </si>
  <si>
    <t>Target BLL</t>
  </si>
  <si>
    <t>Precision</t>
  </si>
  <si>
    <t>Metric</t>
  </si>
  <si>
    <t>Start Age (yr)</t>
  </si>
  <si>
    <t>End Age (yr)</t>
  </si>
  <si>
    <t>Max Iteration</t>
  </si>
  <si>
    <t>GSD</t>
  </si>
  <si>
    <t>Tail Fraction</t>
  </si>
  <si>
    <t>Source 1</t>
  </si>
  <si>
    <t>Arithmetic Mean</t>
  </si>
  <si>
    <t>Concentration (ug/g)</t>
  </si>
  <si>
    <t>Ages (years)</t>
  </si>
  <si>
    <t>Source 2</t>
  </si>
  <si>
    <t>Source 3</t>
  </si>
  <si>
    <t xml:space="preserve">Mask # </t>
  </si>
  <si>
    <t>Source</t>
  </si>
  <si>
    <t>Period (days)</t>
  </si>
  <si>
    <t>First day blocked</t>
  </si>
  <si>
    <t>Last day blocked</t>
  </si>
  <si>
    <t>Intake</t>
  </si>
  <si>
    <t>Intake (g/day)</t>
  </si>
  <si>
    <t>Fraction, Source 1</t>
  </si>
  <si>
    <t>Fraction, Source 2</t>
  </si>
  <si>
    <t>Fraction, Source 3</t>
  </si>
  <si>
    <t>RBA, Source 1</t>
  </si>
  <si>
    <t>RBA, Source 2</t>
  </si>
  <si>
    <t>RBA, Source 3</t>
  </si>
  <si>
    <t>Loading to Concentration Conversion</t>
  </si>
  <si>
    <r>
      <t>Loading (µg/ft</t>
    </r>
    <r>
      <rPr>
        <b/>
        <vertAlign val="superscript"/>
        <sz val="10"/>
        <color theme="1"/>
        <rFont val="Arial"/>
        <family val="2"/>
      </rPr>
      <t>2</t>
    </r>
    <r>
      <rPr>
        <b/>
        <sz val="10"/>
        <color theme="1"/>
        <rFont val="Arial"/>
        <family val="2"/>
      </rPr>
      <t>)</t>
    </r>
  </si>
  <si>
    <t>Mask #</t>
  </si>
  <si>
    <t>Concentration (ug/L)</t>
  </si>
  <si>
    <t>Intake (L/day)</t>
  </si>
  <si>
    <r>
      <t>Concentration (ug/m</t>
    </r>
    <r>
      <rPr>
        <b/>
        <vertAlign val="superscript"/>
        <sz val="10"/>
        <color theme="1"/>
        <rFont val="Arial"/>
        <family val="2"/>
      </rPr>
      <t>3</t>
    </r>
    <r>
      <rPr>
        <b/>
        <sz val="10"/>
        <color theme="1"/>
        <rFont val="Arial"/>
        <family val="2"/>
      </rPr>
      <t>)</t>
    </r>
  </si>
  <si>
    <t xml:space="preserve">                                                                                                                   </t>
  </si>
  <si>
    <r>
      <t>Intake (m</t>
    </r>
    <r>
      <rPr>
        <vertAlign val="superscript"/>
        <sz val="10"/>
        <color theme="1"/>
        <rFont val="Arial"/>
        <family val="2"/>
      </rPr>
      <t>3</t>
    </r>
    <r>
      <rPr>
        <sz val="10"/>
        <color theme="1"/>
        <rFont val="Arial"/>
        <family val="2"/>
      </rPr>
      <t>/day)</t>
    </r>
  </si>
  <si>
    <t>Intake (ug/day)</t>
  </si>
  <si>
    <t>Lung Parameters</t>
  </si>
  <si>
    <t>Variable</t>
  </si>
  <si>
    <t>Description</t>
  </si>
  <si>
    <t>1/day</t>
  </si>
  <si>
    <t>Loss rate from Alveolar region to plasma.</t>
  </si>
  <si>
    <t>Loss rate from Alveolar region to Interstitial region.</t>
  </si>
  <si>
    <t>Loss rate from Interstitial region to plasma.</t>
  </si>
  <si>
    <t/>
  </si>
  <si>
    <t>Iter</t>
  </si>
  <si>
    <t>media</t>
  </si>
  <si>
    <t>subtype</t>
  </si>
  <si>
    <t>dustsoil</t>
  </si>
  <si>
    <t>targetBLL</t>
  </si>
  <si>
    <t>precision</t>
  </si>
  <si>
    <t>metric</t>
  </si>
  <si>
    <t>agewidth</t>
  </si>
  <si>
    <t>agemin</t>
  </si>
  <si>
    <t>maxiter</t>
  </si>
  <si>
    <t>gsd</t>
  </si>
  <si>
    <t>tailfrac</t>
  </si>
  <si>
    <t>Input File</t>
  </si>
  <si>
    <t>Time Dep Phys Parameters - default</t>
  </si>
  <si>
    <t>Time Ind Phys Parameters - default</t>
  </si>
  <si>
    <t>Allow Concern Drop Down</t>
  </si>
  <si>
    <t xml:space="preserve">EXE </t>
  </si>
  <si>
    <t>Simulation</t>
  </si>
  <si>
    <t>Iterate</t>
  </si>
  <si>
    <t>Growth Graph</t>
  </si>
  <si>
    <t>Media - RBA</t>
  </si>
  <si>
    <t>Media - Conc</t>
  </si>
  <si>
    <t>Media - Intake -Soil</t>
  </si>
  <si>
    <t>Media - Intake -Dust</t>
  </si>
  <si>
    <t>Media - Intake -Air</t>
  </si>
  <si>
    <t>Media - Intake -Water</t>
  </si>
  <si>
    <t>updated 2/2023 (0.273972602739726)</t>
  </si>
  <si>
    <t>All sources scaled equally</t>
  </si>
  <si>
    <t>Yes</t>
  </si>
  <si>
    <t>32 bit = 1; 64bit=2</t>
  </si>
  <si>
    <t>age</t>
  </si>
  <si>
    <t>weight</t>
  </si>
  <si>
    <t>DMR Updated 10/26/23</t>
  </si>
  <si>
    <t>updated 12/18/2023</t>
  </si>
  <si>
    <t>Maximum</t>
  </si>
  <si>
    <t>updated 10/31/23</t>
  </si>
  <si>
    <t>RO updated 2/8 based on meeting want 0.62 updated 11/11/22 based on Jim's email (0.06)</t>
  </si>
  <si>
    <t>DMR updated 10/22/23</t>
  </si>
  <si>
    <t xml:space="preserve">Food </t>
  </si>
  <si>
    <t>*Currently no default for Other Media</t>
  </si>
  <si>
    <t>Food value is an intake not a true concentration.</t>
  </si>
  <si>
    <t>For Offsetting in Fomula</t>
  </si>
  <si>
    <t>concs2</t>
  </si>
  <si>
    <t>concs3</t>
  </si>
  <si>
    <t>mask1</t>
  </si>
  <si>
    <t>mask2</t>
  </si>
  <si>
    <t>mask3</t>
  </si>
  <si>
    <t>mask4</t>
  </si>
  <si>
    <t>mask5</t>
  </si>
  <si>
    <t>mask6</t>
  </si>
  <si>
    <t>mask7</t>
  </si>
  <si>
    <t>mask8</t>
  </si>
  <si>
    <t>mask9</t>
  </si>
  <si>
    <t>frac2</t>
  </si>
  <si>
    <t>frac3</t>
  </si>
  <si>
    <t>AALM Leggett Fortran code RunInfo file</t>
  </si>
  <si>
    <t>Run at time =</t>
  </si>
  <si>
    <t>Run name =</t>
  </si>
  <si>
    <t>Reading inputs complete</t>
  </si>
  <si>
    <t>Age at start =</t>
  </si>
  <si>
    <t>Age at end =</t>
  </si>
  <si>
    <t>Number of days =</t>
  </si>
  <si>
    <t>Total Timesteps =</t>
  </si>
  <si>
    <t>Type of run =</t>
  </si>
  <si>
    <t>Geometric Mean Concentration (µg/g)</t>
  </si>
  <si>
    <t>Low (Source 1)</t>
  </si>
  <si>
    <t>High (Source 1)</t>
  </si>
  <si>
    <t>GM Confidence interval Concentration (µg/g)</t>
  </si>
  <si>
    <t>Output Selection</t>
  </si>
  <si>
    <t>Summary Run Information</t>
  </si>
  <si>
    <t>Solve for the Allowable Concentration</t>
  </si>
  <si>
    <t>AALM Leggett Fortran code LogInfo file</t>
  </si>
  <si>
    <t>Allowable Concentration Inputs</t>
  </si>
  <si>
    <t>Allowable Concentration Solved for:</t>
  </si>
  <si>
    <t xml:space="preserve"> </t>
  </si>
  <si>
    <t xml:space="preserve"> Adjustment factors</t>
  </si>
  <si>
    <t xml:space="preserve"> Run successfully completed</t>
  </si>
  <si>
    <t>SOIL1</t>
  </si>
  <si>
    <t>SOIL2</t>
  </si>
  <si>
    <t>SOIL3</t>
  </si>
  <si>
    <t>DUST1</t>
  </si>
  <si>
    <t>DUST2</t>
  </si>
  <si>
    <t>DUST3</t>
  </si>
  <si>
    <t>WATER1</t>
  </si>
  <si>
    <t>WATER2</t>
  </si>
  <si>
    <t>WATER3</t>
  </si>
  <si>
    <t>AIR1</t>
  </si>
  <si>
    <t>AIR2</t>
  </si>
  <si>
    <t>AIR3</t>
  </si>
  <si>
    <t>FOOD1</t>
  </si>
  <si>
    <t>FOOD2</t>
  </si>
  <si>
    <t>FOOD3</t>
  </si>
  <si>
    <t>OTHER1</t>
  </si>
  <si>
    <t>OTHER2</t>
  </si>
  <si>
    <t>OTHER3</t>
  </si>
  <si>
    <t xml:space="preserve">Background sources too high to achieve target </t>
  </si>
  <si>
    <t>Arithmetic Mean Concentration (µg/g)</t>
  </si>
  <si>
    <t>Low (Source 2)</t>
  </si>
  <si>
    <t>High (Source 2)</t>
  </si>
  <si>
    <t>Low (Source 3)</t>
  </si>
  <si>
    <t>High (Source 3)</t>
  </si>
  <si>
    <t>Forward</t>
  </si>
  <si>
    <t xml:space="preserve">The equation is provided for reference. </t>
  </si>
  <si>
    <t>The loading values will be converted to concentration values using Bevington et al. 2021 - Equation 16.</t>
  </si>
  <si>
    <t>Stepwise</t>
  </si>
  <si>
    <t>DMR Updated 5/28/25</t>
  </si>
  <si>
    <t xml:space="preserve"> successfully completed     </t>
  </si>
  <si>
    <t>This simulation did not solve for an allowable concentration.</t>
  </si>
  <si>
    <t>Did not solve.</t>
  </si>
  <si>
    <t>SimName</t>
  </si>
  <si>
    <t>Adult hematocrit - Female</t>
  </si>
  <si>
    <t>Non-linear RBC</t>
  </si>
  <si>
    <t>Fraction of inhaled aerosol deposited in Alveolar region.</t>
  </si>
  <si>
    <t>Fraction of inhaled aerosol deposited in Extrathoracic region.</t>
  </si>
  <si>
    <t>Fraction of inhaled aerosol deposited in Tracheobronchial region.</t>
  </si>
  <si>
    <t>Loss rate from Extrathoracic region to plasma.</t>
  </si>
  <si>
    <t>Loss rate from Extrathoracic region to GI tract (stomach).</t>
  </si>
  <si>
    <t>Loss rate from Tracheobronchial region to plasma.</t>
  </si>
  <si>
    <t>Loss rate from Tracheobronchial region to Extrathoracic region.</t>
  </si>
  <si>
    <t>Loss rate from Alveolar region to Tracheobronchial region.</t>
  </si>
  <si>
    <t>Example1</t>
  </si>
  <si>
    <t>6\25\2025</t>
  </si>
  <si>
    <t>15:11.50.391</t>
  </si>
  <si>
    <t>SF6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</si>
</sst>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4"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theme="1"/>
      <name val="Arial"/>
      <family val="2"/>
    </font>
    <font>
      <sz val="10"/>
      <name val="Arial"/>
      <family val="2"/>
    </font>
    <font>
      <sz val="11"/>
      <color theme="1"/>
      <name val="Calibri"/>
      <family val="2"/>
      <scheme val="minor"/>
    </font>
    <font>
      <sz val="12"/>
      <name val="Times New Roman"/>
      <family val="1"/>
    </font>
    <font>
      <b/>
      <sz val="10"/>
      <name val="Arial"/>
      <family val="2"/>
    </font>
    <font>
      <sz val="10"/>
      <color theme="1"/>
      <name val="Arial"/>
      <family val="2"/>
    </font>
    <font>
      <sz val="10"/>
      <color rgb="FFFFFFFF"/>
      <name val="Arial"/>
      <family val="2"/>
    </font>
    <font>
      <sz val="10"/>
      <color theme="0"/>
      <name val="Arial"/>
      <family val="2"/>
    </font>
    <font>
      <b/>
      <sz val="14"/>
      <color theme="1"/>
      <name val="Arial"/>
      <family val="2"/>
    </font>
    <font>
      <sz val="20"/>
      <color rgb="FFFFFFFF"/>
      <name val="Arial"/>
      <family val="2"/>
    </font>
    <font>
      <sz val="20"/>
      <color theme="0"/>
      <name val="Arial"/>
      <family val="2"/>
    </font>
    <font>
      <b/>
      <sz val="10"/>
      <color theme="0"/>
      <name val="Arial"/>
      <family val="2"/>
    </font>
    <font>
      <b/>
      <sz val="11"/>
      <color theme="0"/>
      <name val="Arial"/>
      <family val="2"/>
    </font>
    <font>
      <sz val="8"/>
      <name val="Arial"/>
      <family val="2"/>
    </font>
    <font>
      <sz val="14"/>
      <color theme="0"/>
      <name val="Arial"/>
      <family val="2"/>
    </font>
    <font>
      <b/>
      <sz val="14"/>
      <color theme="0"/>
      <name val="Arial"/>
      <family val="2"/>
    </font>
    <font>
      <b/>
      <sz val="12"/>
      <color theme="0"/>
      <name val="Arial"/>
      <family val="2"/>
    </font>
    <font>
      <sz val="10"/>
      <color rgb="FFFF0000"/>
      <name val="Arial"/>
      <family val="2"/>
    </font>
    <font>
      <b/>
      <sz val="26"/>
      <color rgb="FFFFFFFF"/>
      <name val="Arial"/>
      <family val="2"/>
    </font>
    <font>
      <b/>
      <sz val="20"/>
      <color theme="1"/>
      <name val="Arial"/>
      <family val="2"/>
    </font>
    <font>
      <b/>
      <vertAlign val="superscript"/>
      <sz val="10"/>
      <color theme="1"/>
      <name val="Arial"/>
      <family val="2"/>
    </font>
    <font>
      <sz val="10"/>
      <color theme="0" tint="-4.9989318521683403E-2"/>
      <name val="Arial"/>
      <family val="2"/>
    </font>
    <font>
      <b/>
      <sz val="10"/>
      <color theme="5" tint="-0.499984740745262"/>
      <name val="Arial"/>
      <family val="2"/>
    </font>
    <font>
      <vertAlign val="superscript"/>
      <sz val="10"/>
      <color theme="1"/>
      <name val="Arial"/>
      <family val="2"/>
    </font>
    <font>
      <sz val="14"/>
      <color theme="1"/>
      <name val="Arial"/>
      <family val="2"/>
    </font>
    <font>
      <sz val="9"/>
      <color theme="1"/>
      <name val="Arial"/>
      <family val="2"/>
    </font>
    <font>
      <sz val="8"/>
      <color rgb="FF000000"/>
      <name val="Segoe UI"/>
      <family val="2"/>
    </font>
    <font>
      <b/>
      <u/>
      <sz val="10"/>
      <color theme="1"/>
      <name val="Arial"/>
      <family val="2"/>
    </font>
    <font>
      <sz val="10"/>
      <color rgb="FF833C0C"/>
      <name val="Arial"/>
      <family val="2"/>
    </font>
  </fonts>
  <fills count="18">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2"/>
        <bgColor indexed="64"/>
      </patternFill>
    </fill>
    <fill>
      <patternFill patternType="solid">
        <fgColor theme="1"/>
        <bgColor indexed="64"/>
      </patternFill>
    </fill>
    <fill>
      <patternFill patternType="solid">
        <fgColor theme="4" tint="-0.499984740745262"/>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rgb="FFFFFFD5"/>
        <bgColor indexed="64"/>
      </patternFill>
    </fill>
    <fill>
      <patternFill patternType="solid">
        <fgColor theme="7"/>
        <bgColor indexed="64"/>
      </patternFill>
    </fill>
    <fill>
      <patternFill patternType="solid">
        <fgColor rgb="FFE7E6E6"/>
        <bgColor indexed="64"/>
      </patternFill>
    </fill>
    <fill>
      <patternFill patternType="solid">
        <fgColor rgb="FFFFF2CC"/>
        <bgColor indexed="64"/>
      </patternFill>
    </fill>
    <fill>
      <patternFill patternType="solid">
        <fgColor rgb="FF000000"/>
        <bgColor indexed="64"/>
      </patternFill>
    </fill>
    <fill>
      <patternFill patternType="solid">
        <fgColor rgb="FFFFFFFF"/>
        <bgColor indexed="64"/>
      </patternFill>
    </fill>
    <fill>
      <patternFill patternType="solid">
        <fgColor theme="9" tint="0.79998168889431442"/>
        <bgColor indexed="64"/>
      </patternFill>
    </fill>
    <fill>
      <patternFill patternType="solid">
        <fgColor rgb="FFFFC1C1"/>
        <bgColor indexed="64"/>
      </patternFill>
    </fill>
    <fill>
      <patternFill patternType="solid">
        <fgColor rgb="FF203764"/>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theme="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medium">
        <color theme="5" tint="-0.499984740745262"/>
      </left>
      <right/>
      <top/>
      <bottom/>
      <diagonal/>
    </border>
    <border>
      <left/>
      <right style="medium">
        <color theme="5" tint="-0.499984740745262"/>
      </right>
      <top/>
      <bottom/>
      <diagonal/>
    </border>
    <border>
      <left style="medium">
        <color theme="5" tint="-0.499984740745262"/>
      </left>
      <right/>
      <top/>
      <bottom style="medium">
        <color theme="5" tint="-0.499984740745262"/>
      </bottom>
      <diagonal/>
    </border>
    <border>
      <left/>
      <right/>
      <top/>
      <bottom style="medium">
        <color theme="5" tint="-0.499984740745262"/>
      </bottom>
      <diagonal/>
    </border>
    <border>
      <left/>
      <right style="medium">
        <color theme="5" tint="-0.499984740745262"/>
      </right>
      <top/>
      <bottom style="medium">
        <color theme="5" tint="-0.499984740745262"/>
      </bottom>
      <diagonal/>
    </border>
    <border>
      <left style="medium">
        <color theme="9" tint="-0.499984740745262"/>
      </left>
      <right/>
      <top style="medium">
        <color theme="9" tint="-0.499984740745262"/>
      </top>
      <bottom style="medium">
        <color theme="9" tint="-0.499984740745262"/>
      </bottom>
      <diagonal/>
    </border>
    <border>
      <left/>
      <right/>
      <top style="medium">
        <color theme="9" tint="-0.499984740745262"/>
      </top>
      <bottom style="medium">
        <color theme="9" tint="-0.499984740745262"/>
      </bottom>
      <diagonal/>
    </border>
    <border>
      <left/>
      <right style="medium">
        <color theme="9" tint="-0.499984740745262"/>
      </right>
      <top style="medium">
        <color theme="9" tint="-0.499984740745262"/>
      </top>
      <bottom style="medium">
        <color theme="9" tint="-0.499984740745262"/>
      </bottom>
      <diagonal/>
    </border>
    <border>
      <left style="medium">
        <color theme="5" tint="-0.499984740745262"/>
      </left>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right/>
      <top style="medium">
        <color theme="5" tint="-0.499984740745262"/>
      </top>
      <bottom/>
      <diagonal/>
    </border>
    <border>
      <left/>
      <right style="medium">
        <color theme="5" tint="-0.499984740745262"/>
      </right>
      <top style="medium">
        <color theme="5" tint="-0.499984740745262"/>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style="thin">
        <color indexed="64"/>
      </right>
      <top style="medium">
        <color theme="5" tint="-0.499984740745262"/>
      </top>
      <bottom style="thin">
        <color indexed="64"/>
      </bottom>
      <diagonal/>
    </border>
    <border>
      <left style="thin">
        <color indexed="64"/>
      </left>
      <right/>
      <top style="medium">
        <color theme="5" tint="-0.499984740745262"/>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n">
        <color theme="9" tint="-0.499984740745262"/>
      </left>
      <right/>
      <top style="thin">
        <color theme="9" tint="-0.499984740745262"/>
      </top>
      <bottom style="thin">
        <color theme="9" tint="-0.499984740745262"/>
      </bottom>
      <diagonal/>
    </border>
    <border>
      <left/>
      <right style="thin">
        <color theme="9" tint="-0.499984740745262"/>
      </right>
      <top style="thin">
        <color theme="9" tint="-0.499984740745262"/>
      </top>
      <bottom style="thin">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medium">
        <color indexed="64"/>
      </left>
      <right/>
      <top/>
      <bottom style="medium">
        <color theme="4" tint="-0.499984740745262"/>
      </bottom>
      <diagonal/>
    </border>
    <border>
      <left/>
      <right style="medium">
        <color indexed="64"/>
      </right>
      <top/>
      <bottom style="medium">
        <color theme="4" tint="-0.499984740745262"/>
      </bottom>
      <diagonal/>
    </border>
    <border>
      <left style="medium">
        <color theme="5" tint="-0.499984740745262"/>
      </left>
      <right style="thin">
        <color indexed="64"/>
      </right>
      <top style="medium">
        <color theme="5" tint="-0.499984740745262"/>
      </top>
      <bottom style="thin">
        <color indexed="64"/>
      </bottom>
      <diagonal/>
    </border>
    <border>
      <left style="thin">
        <color indexed="64"/>
      </left>
      <right style="medium">
        <color theme="5" tint="-0.499984740745262"/>
      </right>
      <top style="medium">
        <color theme="5" tint="-0.499984740745262"/>
      </top>
      <bottom style="thin">
        <color indexed="64"/>
      </bottom>
      <diagonal/>
    </border>
    <border>
      <left style="medium">
        <color theme="5" tint="-0.499984740745262"/>
      </left>
      <right style="thin">
        <color indexed="64"/>
      </right>
      <top style="thin">
        <color indexed="64"/>
      </top>
      <bottom style="thin">
        <color indexed="64"/>
      </bottom>
      <diagonal/>
    </border>
    <border>
      <left style="thin">
        <color indexed="64"/>
      </left>
      <right style="medium">
        <color theme="5" tint="-0.499984740745262"/>
      </right>
      <top style="thin">
        <color indexed="64"/>
      </top>
      <bottom style="thin">
        <color indexed="64"/>
      </bottom>
      <diagonal/>
    </border>
    <border>
      <left style="medium">
        <color theme="5" tint="-0.499984740745262"/>
      </left>
      <right style="thin">
        <color indexed="64"/>
      </right>
      <top style="thin">
        <color indexed="64"/>
      </top>
      <bottom style="medium">
        <color theme="5" tint="-0.499984740745262"/>
      </bottom>
      <diagonal/>
    </border>
    <border>
      <left style="thin">
        <color indexed="64"/>
      </left>
      <right style="medium">
        <color theme="5" tint="-0.499984740745262"/>
      </right>
      <top style="thin">
        <color indexed="64"/>
      </top>
      <bottom style="medium">
        <color theme="5" tint="-0.499984740745262"/>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n">
        <color theme="4" tint="-0.499984740745262"/>
      </right>
      <top style="thin">
        <color theme="4" tint="-0.499984740745262"/>
      </top>
      <bottom/>
      <diagonal/>
    </border>
    <border>
      <left style="thin">
        <color theme="4" tint="-0.499984740745262"/>
      </left>
      <right/>
      <top style="thin">
        <color theme="4" tint="-0.499984740745262"/>
      </top>
      <bottom style="thin">
        <color indexed="64"/>
      </bottom>
      <diagonal/>
    </border>
    <border>
      <left/>
      <right/>
      <top style="thin">
        <color theme="4" tint="-0.499984740745262"/>
      </top>
      <bottom style="thin">
        <color indexed="64"/>
      </bottom>
      <diagonal/>
    </border>
    <border>
      <left/>
      <right style="thin">
        <color theme="4" tint="-0.499984740745262"/>
      </right>
      <top style="thin">
        <color theme="4" tint="-0.499984740745262"/>
      </top>
      <bottom style="thin">
        <color indexed="64"/>
      </bottom>
      <diagonal/>
    </border>
    <border>
      <left/>
      <right/>
      <top style="thin">
        <color indexed="64"/>
      </top>
      <bottom style="thin">
        <color indexed="64"/>
      </bottom>
      <diagonal/>
    </border>
    <border>
      <left style="thin">
        <color theme="4" tint="-0.499984740745262"/>
      </left>
      <right/>
      <top/>
      <bottom/>
      <diagonal/>
    </border>
    <border>
      <left/>
      <right style="thin">
        <color theme="4" tint="-0.499984740745262"/>
      </right>
      <top/>
      <bottom/>
      <diagonal/>
    </border>
    <border>
      <left/>
      <right/>
      <top style="thin">
        <color indexed="64"/>
      </top>
      <bottom style="thin">
        <color theme="4" tint="-0.499984740745262"/>
      </bottom>
      <diagonal/>
    </border>
    <border>
      <left/>
      <right style="medium">
        <color rgb="FF203764"/>
      </right>
      <top/>
      <bottom style="medium">
        <color theme="4" tint="-0.499984740745262"/>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medium">
        <color rgb="FF833C0C"/>
      </right>
      <top/>
      <bottom/>
      <diagonal/>
    </border>
    <border>
      <left/>
      <right/>
      <top/>
      <bottom style="medium">
        <color rgb="FF833C0C"/>
      </bottom>
      <diagonal/>
    </border>
    <border>
      <left style="thin">
        <color theme="1"/>
      </left>
      <right/>
      <top/>
      <bottom/>
      <diagonal/>
    </border>
    <border>
      <left/>
      <right/>
      <top style="thin">
        <color theme="1"/>
      </top>
      <bottom style="thin">
        <color theme="1"/>
      </bottom>
      <diagonal/>
    </border>
    <border>
      <left/>
      <right style="medium">
        <color rgb="FF833C0C"/>
      </right>
      <top/>
      <bottom style="medium">
        <color theme="5" tint="-0.499984740745262"/>
      </bottom>
      <diagonal/>
    </border>
    <border>
      <left/>
      <right style="medium">
        <color rgb="FF833C0C"/>
      </right>
      <top style="medium">
        <color theme="5" tint="-0.499984740745262"/>
      </top>
      <bottom/>
      <diagonal/>
    </border>
    <border>
      <left style="medium">
        <color theme="5" tint="-0.499984740745262"/>
      </left>
      <right style="medium">
        <color theme="5" tint="-0.499984740745262"/>
      </right>
      <top style="medium">
        <color theme="5" tint="-0.499984740745262"/>
      </top>
      <bottom/>
      <diagonal/>
    </border>
    <border>
      <left/>
      <right style="medium">
        <color theme="5" tint="-0.499984740745262"/>
      </right>
      <top style="medium">
        <color rgb="FF833C0C"/>
      </top>
      <bottom/>
      <diagonal/>
    </border>
    <border>
      <left/>
      <right style="medium">
        <color rgb="FF833C0C"/>
      </right>
      <top style="medium">
        <color rgb="FF833C0C"/>
      </top>
      <bottom/>
      <diagonal/>
    </border>
  </borders>
  <cellStyleXfs count="18">
    <xf numFmtId="0" fontId="0" fillId="0" borderId="0"/>
    <xf numFmtId="0" fontId="6" fillId="0" borderId="0"/>
    <xf numFmtId="0" fontId="7" fillId="0" borderId="0"/>
    <xf numFmtId="0" fontId="8" fillId="0" borderId="0"/>
    <xf numFmtId="9" fontId="6" fillId="0" borderId="0" applyFont="0" applyFill="0" applyBorder="0" applyAlignment="0" applyProtection="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1" fillId="0" borderId="0"/>
  </cellStyleXfs>
  <cellXfs count="424">
    <xf numFmtId="0" fontId="0" fillId="0" borderId="0" xfId="0"/>
    <xf numFmtId="0" fontId="0" fillId="2" borderId="1" xfId="0" applyFill="1" applyBorder="1" applyAlignment="1" applyProtection="1">
      <alignment horizontal="center" vertical="center"/>
      <protection locked="0"/>
    </xf>
    <xf numFmtId="0" fontId="0" fillId="3" borderId="0" xfId="0" applyFill="1"/>
    <xf numFmtId="0" fontId="11" fillId="3" borderId="0" xfId="0" applyFont="1" applyFill="1"/>
    <xf numFmtId="0" fontId="0" fillId="3" borderId="0" xfId="0" applyFill="1" applyAlignment="1">
      <alignment horizontal="right"/>
    </xf>
    <xf numFmtId="0" fontId="0" fillId="2" borderId="1" xfId="0" applyFill="1" applyBorder="1" applyAlignment="1" applyProtection="1">
      <alignment horizontal="center" vertical="center" wrapText="1"/>
      <protection locked="0"/>
    </xf>
    <xf numFmtId="0" fontId="0" fillId="3" borderId="0" xfId="0" applyFill="1" applyAlignment="1">
      <alignment vertical="center"/>
    </xf>
    <xf numFmtId="0" fontId="0" fillId="3" borderId="0" xfId="0" applyFill="1" applyAlignment="1" applyProtection="1">
      <alignment vertical="top" wrapText="1"/>
      <protection locked="0"/>
    </xf>
    <xf numFmtId="0" fontId="0" fillId="3" borderId="0" xfId="0" applyFill="1" applyAlignment="1">
      <alignment vertical="top"/>
    </xf>
    <xf numFmtId="0" fontId="5" fillId="4" borderId="1" xfId="0" applyFont="1" applyFill="1" applyBorder="1" applyAlignment="1">
      <alignment horizontal="center" vertical="center" wrapText="1"/>
    </xf>
    <xf numFmtId="0" fontId="0" fillId="2" borderId="1" xfId="0" quotePrefix="1" applyFill="1" applyBorder="1" applyAlignment="1" applyProtection="1">
      <alignment horizontal="center" vertical="center"/>
      <protection locked="0"/>
    </xf>
    <xf numFmtId="0" fontId="0" fillId="2" borderId="1" xfId="0" quotePrefix="1"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3" borderId="0" xfId="0" applyFill="1" applyAlignment="1">
      <alignment horizontal="center" vertical="center"/>
    </xf>
    <xf numFmtId="0" fontId="6" fillId="3" borderId="0" xfId="0" applyFont="1" applyFill="1" applyAlignment="1">
      <alignment horizontal="right" vertical="center" wrapText="1"/>
    </xf>
    <xf numFmtId="0" fontId="0" fillId="2" borderId="5" xfId="0" applyFill="1" applyBorder="1" applyAlignment="1">
      <alignment horizontal="center" vertical="center"/>
    </xf>
    <xf numFmtId="0" fontId="6" fillId="3" borderId="4" xfId="0" applyFont="1" applyFill="1" applyBorder="1" applyAlignment="1">
      <alignment horizontal="right" vertical="center" wrapText="1"/>
    </xf>
    <xf numFmtId="0" fontId="13" fillId="0" borderId="0" xfId="0" applyFont="1"/>
    <xf numFmtId="0" fontId="0" fillId="4" borderId="0" xfId="0" applyFill="1"/>
    <xf numFmtId="0" fontId="20" fillId="0" borderId="0" xfId="0" applyFont="1" applyAlignment="1">
      <alignment horizontal="center"/>
    </xf>
    <xf numFmtId="0" fontId="6" fillId="3" borderId="0" xfId="1" applyFill="1" applyProtection="1">
      <protection locked="0"/>
    </xf>
    <xf numFmtId="0" fontId="6" fillId="2" borderId="0" xfId="1" applyFill="1" applyProtection="1">
      <protection locked="0"/>
    </xf>
    <xf numFmtId="0" fontId="0" fillId="2" borderId="3" xfId="0" applyFill="1" applyBorder="1" applyAlignment="1">
      <alignment horizontal="center" vertical="center"/>
    </xf>
    <xf numFmtId="0" fontId="0" fillId="0" borderId="0" xfId="0" applyAlignment="1">
      <alignment horizontal="center" vertical="center"/>
    </xf>
    <xf numFmtId="0" fontId="6" fillId="4" borderId="0" xfId="0" applyFont="1" applyFill="1" applyAlignment="1">
      <alignment horizontal="right" vertical="center" wrapText="1"/>
    </xf>
    <xf numFmtId="0" fontId="6" fillId="4" borderId="0" xfId="0" applyFont="1" applyFill="1" applyAlignment="1">
      <alignment horizontal="right" vertical="top" wrapText="1"/>
    </xf>
    <xf numFmtId="0" fontId="6" fillId="3" borderId="0" xfId="0" applyFont="1" applyFill="1" applyAlignment="1">
      <alignment horizontal="right" vertical="center"/>
    </xf>
    <xf numFmtId="0" fontId="13" fillId="3" borderId="0" xfId="0" applyFont="1" applyFill="1" applyAlignment="1">
      <alignment vertical="top"/>
    </xf>
    <xf numFmtId="0" fontId="0" fillId="3" borderId="0" xfId="0" applyFill="1" applyAlignment="1">
      <alignment horizontal="right" vertical="center"/>
    </xf>
    <xf numFmtId="0" fontId="0" fillId="4" borderId="11" xfId="0" applyFill="1" applyBorder="1"/>
    <xf numFmtId="0" fontId="0" fillId="4" borderId="12" xfId="0" applyFill="1" applyBorder="1"/>
    <xf numFmtId="0" fontId="5" fillId="4" borderId="0" xfId="0" applyFont="1" applyFill="1" applyAlignment="1">
      <alignment horizontal="right" vertical="center"/>
    </xf>
    <xf numFmtId="0" fontId="5" fillId="4" borderId="0" xfId="0" applyFont="1" applyFill="1" applyAlignment="1">
      <alignment vertical="center"/>
    </xf>
    <xf numFmtId="0" fontId="0" fillId="4" borderId="11" xfId="0" applyFill="1" applyBorder="1" applyAlignment="1">
      <alignment vertical="center"/>
    </xf>
    <xf numFmtId="0" fontId="0" fillId="4" borderId="12" xfId="0" applyFill="1" applyBorder="1" applyAlignment="1">
      <alignment vertical="center"/>
    </xf>
    <xf numFmtId="0" fontId="0" fillId="4" borderId="0" xfId="0" applyFill="1" applyAlignment="1">
      <alignment vertical="top"/>
    </xf>
    <xf numFmtId="0" fontId="0" fillId="4" borderId="0" xfId="0" quotePrefix="1" applyFill="1" applyAlignment="1">
      <alignment horizontal="center" vertical="center"/>
    </xf>
    <xf numFmtId="0" fontId="0" fillId="4" borderId="0" xfId="0" applyFill="1" applyAlignment="1">
      <alignment horizontal="right"/>
    </xf>
    <xf numFmtId="0" fontId="0" fillId="4" borderId="14" xfId="0" applyFill="1" applyBorder="1"/>
    <xf numFmtId="0" fontId="0" fillId="4" borderId="15" xfId="0" applyFill="1" applyBorder="1"/>
    <xf numFmtId="0" fontId="0" fillId="3" borderId="16" xfId="0" applyFill="1" applyBorder="1" applyAlignment="1">
      <alignment vertical="center"/>
    </xf>
    <xf numFmtId="0" fontId="0" fillId="3" borderId="19" xfId="0" applyFill="1" applyBorder="1"/>
    <xf numFmtId="0" fontId="6" fillId="3" borderId="19" xfId="0" applyFont="1" applyFill="1" applyBorder="1" applyAlignment="1">
      <alignment horizontal="right" vertical="center"/>
    </xf>
    <xf numFmtId="0" fontId="0" fillId="3" borderId="19" xfId="0" applyFill="1" applyBorder="1" applyAlignment="1">
      <alignment vertical="top"/>
    </xf>
    <xf numFmtId="0" fontId="0" fillId="3" borderId="27" xfId="0" applyFill="1" applyBorder="1"/>
    <xf numFmtId="0" fontId="6" fillId="3" borderId="29" xfId="0" applyFont="1" applyFill="1" applyBorder="1" applyAlignment="1">
      <alignment horizontal="right" vertical="center" wrapText="1"/>
    </xf>
    <xf numFmtId="0" fontId="0" fillId="3" borderId="29" xfId="0" applyFill="1" applyBorder="1"/>
    <xf numFmtId="0" fontId="0" fillId="3" borderId="30" xfId="0" applyFill="1" applyBorder="1"/>
    <xf numFmtId="0" fontId="0" fillId="3" borderId="34" xfId="0" applyFill="1" applyBorder="1" applyAlignment="1">
      <alignment horizontal="right"/>
    </xf>
    <xf numFmtId="0" fontId="0" fillId="3" borderId="34" xfId="0" applyFill="1" applyBorder="1"/>
    <xf numFmtId="0" fontId="0" fillId="3" borderId="35" xfId="0" applyFill="1" applyBorder="1"/>
    <xf numFmtId="0" fontId="0" fillId="3" borderId="32" xfId="0" applyFill="1" applyBorder="1"/>
    <xf numFmtId="0" fontId="0" fillId="3" borderId="6" xfId="0" applyFill="1" applyBorder="1"/>
    <xf numFmtId="0" fontId="6" fillId="3" borderId="16" xfId="0" applyFont="1" applyFill="1" applyBorder="1"/>
    <xf numFmtId="0" fontId="6" fillId="3" borderId="18" xfId="0" applyFont="1" applyFill="1" applyBorder="1"/>
    <xf numFmtId="0" fontId="17" fillId="6" borderId="20" xfId="0" applyFont="1" applyFill="1" applyBorder="1" applyAlignment="1">
      <alignment vertical="center"/>
    </xf>
    <xf numFmtId="0" fontId="17" fillId="6" borderId="21" xfId="0" applyFont="1" applyFill="1" applyBorder="1" applyAlignment="1">
      <alignment vertical="center"/>
    </xf>
    <xf numFmtId="0" fontId="12" fillId="6" borderId="21" xfId="0" applyFont="1" applyFill="1" applyBorder="1" applyAlignment="1">
      <alignment vertical="center"/>
    </xf>
    <xf numFmtId="0" fontId="0" fillId="6" borderId="21" xfId="0" applyFill="1" applyBorder="1" applyAlignment="1">
      <alignment vertical="center"/>
    </xf>
    <xf numFmtId="0" fontId="13" fillId="6" borderId="21" xfId="0" applyFont="1" applyFill="1" applyBorder="1" applyAlignment="1">
      <alignment vertical="center"/>
    </xf>
    <xf numFmtId="0" fontId="13" fillId="6" borderId="22" xfId="0" applyFont="1" applyFill="1" applyBorder="1" applyAlignment="1">
      <alignment vertical="center"/>
    </xf>
    <xf numFmtId="0" fontId="0" fillId="3" borderId="26" xfId="0" applyFill="1" applyBorder="1" applyAlignment="1">
      <alignment vertical="center"/>
    </xf>
    <xf numFmtId="0" fontId="0" fillId="3" borderId="27" xfId="0" applyFill="1" applyBorder="1" applyAlignment="1">
      <alignment vertical="center"/>
    </xf>
    <xf numFmtId="0" fontId="6" fillId="3" borderId="26" xfId="0" applyFont="1" applyFill="1" applyBorder="1" applyAlignment="1">
      <alignment vertical="center" wrapText="1"/>
    </xf>
    <xf numFmtId="0" fontId="6" fillId="3" borderId="26" xfId="0" applyFont="1" applyFill="1" applyBorder="1"/>
    <xf numFmtId="0" fontId="6" fillId="3" borderId="28" xfId="0" applyFont="1" applyFill="1" applyBorder="1"/>
    <xf numFmtId="0" fontId="17" fillId="7" borderId="36" xfId="0" applyFont="1" applyFill="1" applyBorder="1" applyAlignment="1">
      <alignment vertical="center"/>
    </xf>
    <xf numFmtId="0" fontId="17" fillId="7" borderId="37" xfId="0" applyFont="1" applyFill="1" applyBorder="1" applyAlignment="1">
      <alignment vertical="center"/>
    </xf>
    <xf numFmtId="0" fontId="0" fillId="7" borderId="37" xfId="0" applyFill="1" applyBorder="1" applyAlignment="1">
      <alignment vertical="center"/>
    </xf>
    <xf numFmtId="0" fontId="0" fillId="7" borderId="38" xfId="0" applyFill="1" applyBorder="1" applyAlignment="1">
      <alignment vertical="center"/>
    </xf>
    <xf numFmtId="0" fontId="0" fillId="3" borderId="31" xfId="0" applyFill="1" applyBorder="1"/>
    <xf numFmtId="0" fontId="0" fillId="3" borderId="33" xfId="0" applyFill="1" applyBorder="1"/>
    <xf numFmtId="0" fontId="17" fillId="8" borderId="39" xfId="0" applyFont="1" applyFill="1" applyBorder="1" applyAlignment="1">
      <alignment vertical="center"/>
    </xf>
    <xf numFmtId="0" fontId="17" fillId="8" borderId="40" xfId="0" applyFont="1" applyFill="1" applyBorder="1" applyAlignment="1">
      <alignment vertical="center"/>
    </xf>
    <xf numFmtId="0" fontId="12" fillId="8" borderId="40" xfId="0" applyFont="1" applyFill="1" applyBorder="1" applyAlignment="1">
      <alignment horizontal="center" vertical="center"/>
    </xf>
    <xf numFmtId="0" fontId="12" fillId="8" borderId="40" xfId="0" applyFont="1" applyFill="1" applyBorder="1" applyAlignment="1">
      <alignment vertical="center"/>
    </xf>
    <xf numFmtId="0" fontId="0" fillId="8" borderId="40" xfId="0" applyFill="1" applyBorder="1" applyAlignment="1">
      <alignment vertical="center"/>
    </xf>
    <xf numFmtId="0" fontId="0" fillId="8" borderId="41" xfId="0" applyFill="1" applyBorder="1" applyAlignment="1">
      <alignment vertical="center"/>
    </xf>
    <xf numFmtId="0" fontId="0" fillId="4" borderId="13" xfId="0" applyFill="1" applyBorder="1"/>
    <xf numFmtId="0" fontId="6" fillId="4" borderId="0" xfId="0" applyFont="1" applyFill="1"/>
    <xf numFmtId="0" fontId="0" fillId="2" borderId="1" xfId="0" applyFill="1" applyBorder="1" applyAlignment="1">
      <alignment vertical="center"/>
    </xf>
    <xf numFmtId="0" fontId="9" fillId="4" borderId="0" xfId="1" quotePrefix="1" applyFont="1" applyFill="1" applyProtection="1">
      <protection locked="0"/>
    </xf>
    <xf numFmtId="0" fontId="6" fillId="4" borderId="0" xfId="3" applyFont="1" applyFill="1" applyProtection="1">
      <protection locked="0"/>
    </xf>
    <xf numFmtId="0" fontId="6" fillId="4" borderId="0" xfId="1" applyFill="1" applyProtection="1">
      <protection locked="0"/>
    </xf>
    <xf numFmtId="0" fontId="0" fillId="4" borderId="0" xfId="0" applyFill="1" applyProtection="1">
      <protection locked="0"/>
    </xf>
    <xf numFmtId="0" fontId="0" fillId="7" borderId="23" xfId="0" applyFill="1" applyBorder="1" applyProtection="1">
      <protection locked="0"/>
    </xf>
    <xf numFmtId="0" fontId="0" fillId="7" borderId="24" xfId="0" applyFill="1" applyBorder="1" applyProtection="1">
      <protection locked="0"/>
    </xf>
    <xf numFmtId="0" fontId="0" fillId="7" borderId="25" xfId="0" applyFill="1" applyBorder="1" applyProtection="1">
      <protection locked="0"/>
    </xf>
    <xf numFmtId="0" fontId="15" fillId="7" borderId="26" xfId="0" applyFont="1" applyFill="1" applyBorder="1" applyProtection="1">
      <protection locked="0"/>
    </xf>
    <xf numFmtId="0" fontId="15" fillId="7" borderId="0" xfId="0" applyFont="1" applyFill="1" applyProtection="1">
      <protection locked="0"/>
    </xf>
    <xf numFmtId="0" fontId="0" fillId="7" borderId="0" xfId="0" applyFill="1" applyProtection="1">
      <protection locked="0"/>
    </xf>
    <xf numFmtId="0" fontId="0" fillId="7" borderId="27" xfId="0" applyFill="1" applyBorder="1" applyProtection="1">
      <protection locked="0"/>
    </xf>
    <xf numFmtId="0" fontId="0" fillId="7" borderId="26" xfId="0" applyFill="1" applyBorder="1" applyProtection="1">
      <protection locked="0"/>
    </xf>
    <xf numFmtId="0" fontId="0" fillId="3" borderId="27" xfId="0" applyFill="1" applyBorder="1" applyProtection="1">
      <protection locked="0"/>
    </xf>
    <xf numFmtId="0" fontId="0" fillId="3" borderId="0" xfId="0" applyFill="1" applyAlignment="1">
      <alignment horizontal="left"/>
    </xf>
    <xf numFmtId="0" fontId="0" fillId="3" borderId="29" xfId="0" applyFill="1" applyBorder="1" applyProtection="1">
      <protection locked="0"/>
    </xf>
    <xf numFmtId="0" fontId="0" fillId="3" borderId="30" xfId="0" applyFill="1" applyBorder="1" applyProtection="1">
      <protection locked="0"/>
    </xf>
    <xf numFmtId="0" fontId="9" fillId="3" borderId="29" xfId="1" quotePrefix="1" applyFont="1" applyFill="1" applyBorder="1" applyProtection="1">
      <protection locked="0"/>
    </xf>
    <xf numFmtId="0" fontId="6" fillId="3" borderId="29" xfId="3" applyFont="1" applyFill="1" applyBorder="1" applyProtection="1">
      <protection locked="0"/>
    </xf>
    <xf numFmtId="0" fontId="16" fillId="3" borderId="0" xfId="1" applyFont="1" applyFill="1" applyAlignment="1" applyProtection="1">
      <alignment horizontal="left"/>
      <protection locked="0"/>
    </xf>
    <xf numFmtId="0" fontId="9" fillId="4" borderId="0" xfId="1" applyFont="1" applyFill="1" applyProtection="1">
      <protection locked="0"/>
    </xf>
    <xf numFmtId="0" fontId="0" fillId="7" borderId="28" xfId="0" applyFill="1" applyBorder="1" applyProtection="1">
      <protection locked="0"/>
    </xf>
    <xf numFmtId="0" fontId="0" fillId="7" borderId="29" xfId="0" applyFill="1" applyBorder="1" applyProtection="1">
      <protection locked="0"/>
    </xf>
    <xf numFmtId="0" fontId="0" fillId="7" borderId="30" xfId="0" applyFill="1" applyBorder="1" applyProtection="1">
      <protection locked="0"/>
    </xf>
    <xf numFmtId="0" fontId="16" fillId="4" borderId="0" xfId="1" applyFont="1" applyFill="1" applyAlignment="1" applyProtection="1">
      <alignment horizontal="left"/>
      <protection locked="0"/>
    </xf>
    <xf numFmtId="0" fontId="24" fillId="4" borderId="0" xfId="0" applyFont="1" applyFill="1"/>
    <xf numFmtId="0" fontId="20" fillId="4" borderId="0" xfId="0" applyFont="1" applyFill="1" applyAlignment="1">
      <alignment horizontal="center"/>
    </xf>
    <xf numFmtId="0" fontId="11" fillId="4" borderId="0" xfId="0" applyFont="1" applyFill="1"/>
    <xf numFmtId="0" fontId="0" fillId="8" borderId="42" xfId="0" applyFill="1" applyBorder="1"/>
    <xf numFmtId="0" fontId="0" fillId="8" borderId="43" xfId="0" applyFill="1" applyBorder="1"/>
    <xf numFmtId="0" fontId="11" fillId="8" borderId="43" xfId="0" applyFont="1" applyFill="1" applyBorder="1"/>
    <xf numFmtId="0" fontId="14" fillId="8" borderId="0" xfId="0" applyFont="1" applyFill="1"/>
    <xf numFmtId="0" fontId="11" fillId="8" borderId="0" xfId="0" applyFont="1" applyFill="1"/>
    <xf numFmtId="0" fontId="0" fillId="8" borderId="0" xfId="0" applyFill="1"/>
    <xf numFmtId="0" fontId="11" fillId="8" borderId="32" xfId="0" applyFont="1" applyFill="1" applyBorder="1"/>
    <xf numFmtId="0" fontId="22" fillId="4" borderId="0" xfId="0" applyFont="1" applyFill="1"/>
    <xf numFmtId="0" fontId="0" fillId="8" borderId="32" xfId="0" applyFill="1" applyBorder="1"/>
    <xf numFmtId="0" fontId="0" fillId="8" borderId="44" xfId="0" applyFill="1" applyBorder="1"/>
    <xf numFmtId="0" fontId="0" fillId="4" borderId="1" xfId="0" applyFill="1" applyBorder="1" applyProtection="1">
      <protection locked="0"/>
    </xf>
    <xf numFmtId="0" fontId="11" fillId="8" borderId="44" xfId="0" applyFont="1" applyFill="1" applyBorder="1"/>
    <xf numFmtId="0" fontId="14" fillId="8" borderId="31" xfId="0" applyFont="1" applyFill="1" applyBorder="1"/>
    <xf numFmtId="0" fontId="11" fillId="8" borderId="0" xfId="0" applyFont="1" applyFill="1" applyAlignment="1">
      <alignment vertical="center"/>
    </xf>
    <xf numFmtId="0" fontId="0" fillId="3" borderId="34" xfId="0" applyFill="1" applyBorder="1" applyAlignment="1">
      <alignment horizontal="center" vertical="center"/>
    </xf>
    <xf numFmtId="0" fontId="0" fillId="4" borderId="2" xfId="0" applyFill="1" applyBorder="1" applyAlignment="1">
      <alignment horizontal="center" vertical="center"/>
    </xf>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0" fillId="4" borderId="1" xfId="0" applyFill="1" applyBorder="1"/>
    <xf numFmtId="0" fontId="0" fillId="4" borderId="2" xfId="0" applyFill="1" applyBorder="1" applyAlignment="1">
      <alignment horizontal="center" vertical="center" wrapText="1"/>
    </xf>
    <xf numFmtId="0" fontId="6" fillId="4" borderId="0" xfId="0" applyFont="1" applyFill="1" applyAlignment="1">
      <alignment horizontal="right"/>
    </xf>
    <xf numFmtId="0" fontId="12" fillId="8" borderId="40" xfId="0" applyFont="1" applyFill="1" applyBorder="1"/>
    <xf numFmtId="0" fontId="12" fillId="8" borderId="41" xfId="0" applyFont="1" applyFill="1" applyBorder="1"/>
    <xf numFmtId="0" fontId="0" fillId="8" borderId="33" xfId="0" applyFill="1" applyBorder="1"/>
    <xf numFmtId="0" fontId="0" fillId="8" borderId="34" xfId="0" applyFill="1" applyBorder="1"/>
    <xf numFmtId="0" fontId="14" fillId="8" borderId="34" xfId="0" applyFont="1" applyFill="1" applyBorder="1"/>
    <xf numFmtId="0" fontId="11" fillId="8" borderId="34" xfId="0" applyFont="1" applyFill="1" applyBorder="1"/>
    <xf numFmtId="0" fontId="11" fillId="8" borderId="34" xfId="0" applyFont="1" applyFill="1" applyBorder="1" applyAlignment="1">
      <alignment horizontal="right" vertical="center"/>
    </xf>
    <xf numFmtId="0" fontId="11" fillId="8" borderId="35" xfId="0" applyFont="1" applyFill="1" applyBorder="1"/>
    <xf numFmtId="0" fontId="0" fillId="3" borderId="0" xfId="0" applyFill="1" applyProtection="1">
      <protection locked="0"/>
    </xf>
    <xf numFmtId="0" fontId="0" fillId="3" borderId="31" xfId="0" applyFill="1" applyBorder="1" applyAlignment="1">
      <alignment horizontal="center"/>
    </xf>
    <xf numFmtId="0" fontId="0" fillId="3" borderId="0" xfId="0" applyFill="1" applyAlignment="1">
      <alignment horizontal="center"/>
    </xf>
    <xf numFmtId="0" fontId="5" fillId="4" borderId="50" xfId="0" applyFont="1" applyFill="1" applyBorder="1" applyAlignment="1">
      <alignment horizontal="center" vertical="center"/>
    </xf>
    <xf numFmtId="0" fontId="0" fillId="4" borderId="51" xfId="0" applyFill="1" applyBorder="1" applyAlignment="1">
      <alignment horizontal="center" vertical="center"/>
    </xf>
    <xf numFmtId="0" fontId="0" fillId="3" borderId="42" xfId="0" applyFill="1" applyBorder="1"/>
    <xf numFmtId="0" fontId="0" fillId="4" borderId="50" xfId="0" applyFill="1" applyBorder="1" applyAlignment="1">
      <alignment horizontal="center" vertical="center"/>
    </xf>
    <xf numFmtId="0" fontId="0" fillId="3" borderId="43" xfId="0" applyFill="1" applyBorder="1"/>
    <xf numFmtId="0" fontId="0" fillId="3" borderId="44" xfId="0" applyFill="1" applyBorder="1"/>
    <xf numFmtId="0" fontId="0" fillId="0" borderId="34" xfId="0" applyBorder="1" applyAlignment="1">
      <alignment horizontal="center" vertical="center"/>
    </xf>
    <xf numFmtId="0" fontId="0" fillId="2" borderId="1" xfId="0" applyFill="1" applyBorder="1" applyAlignment="1">
      <alignment horizontal="center"/>
    </xf>
    <xf numFmtId="0" fontId="0" fillId="3" borderId="0" xfId="0" applyFill="1" applyAlignment="1" applyProtection="1">
      <alignment horizontal="right"/>
      <protection locked="0"/>
    </xf>
    <xf numFmtId="0" fontId="5" fillId="4" borderId="1" xfId="0" applyFont="1" applyFill="1" applyBorder="1" applyAlignment="1">
      <alignment horizontal="center" vertical="center"/>
    </xf>
    <xf numFmtId="0" fontId="0" fillId="3" borderId="25" xfId="0" applyFill="1" applyBorder="1" applyProtection="1">
      <protection locked="0"/>
    </xf>
    <xf numFmtId="0" fontId="0" fillId="10" borderId="0" xfId="0" applyFill="1" applyAlignment="1" applyProtection="1">
      <alignment horizontal="right"/>
      <protection locked="0"/>
    </xf>
    <xf numFmtId="0" fontId="6" fillId="10" borderId="0" xfId="0" applyFont="1" applyFill="1" applyAlignment="1">
      <alignment horizontal="right"/>
    </xf>
    <xf numFmtId="0" fontId="0" fillId="3" borderId="34" xfId="0" applyFill="1" applyBorder="1" applyAlignment="1">
      <alignment horizontal="center"/>
    </xf>
    <xf numFmtId="0" fontId="0" fillId="4" borderId="0" xfId="0" applyFill="1" applyAlignment="1">
      <alignment horizontal="left"/>
    </xf>
    <xf numFmtId="0" fontId="6" fillId="2" borderId="1" xfId="1" applyFill="1" applyBorder="1" applyAlignment="1" applyProtection="1">
      <alignment horizontal="right"/>
      <protection locked="0"/>
    </xf>
    <xf numFmtId="0" fontId="0" fillId="9" borderId="1" xfId="0" applyFill="1" applyBorder="1" applyAlignment="1">
      <alignment horizontal="right" vertical="center" wrapText="1"/>
    </xf>
    <xf numFmtId="0" fontId="0" fillId="9" borderId="1" xfId="0" applyFill="1" applyBorder="1" applyAlignment="1">
      <alignment horizontal="right" vertical="center"/>
    </xf>
    <xf numFmtId="0" fontId="6" fillId="9" borderId="1" xfId="0" applyFont="1" applyFill="1" applyBorder="1" applyAlignment="1">
      <alignment horizontal="right" vertical="center"/>
    </xf>
    <xf numFmtId="0" fontId="0" fillId="9" borderId="1" xfId="0" applyFill="1" applyBorder="1"/>
    <xf numFmtId="0" fontId="0" fillId="4" borderId="1" xfId="0" quotePrefix="1" applyFill="1" applyBorder="1" applyAlignment="1">
      <alignment horizontal="center" vertical="center" wrapText="1"/>
    </xf>
    <xf numFmtId="0" fontId="6" fillId="4" borderId="1" xfId="1" applyFill="1" applyBorder="1" applyAlignment="1" applyProtection="1">
      <alignment horizontal="center" vertical="center" wrapText="1"/>
      <protection locked="0"/>
    </xf>
    <xf numFmtId="0" fontId="6" fillId="4" borderId="1" xfId="1" quotePrefix="1" applyFill="1" applyBorder="1" applyAlignment="1" applyProtection="1">
      <alignment horizontal="center" vertical="center" wrapText="1"/>
      <protection locked="0"/>
    </xf>
    <xf numFmtId="0" fontId="6" fillId="4" borderId="1" xfId="1" applyFill="1" applyBorder="1" applyProtection="1">
      <protection locked="0"/>
    </xf>
    <xf numFmtId="0" fontId="6" fillId="4" borderId="1" xfId="1" applyFill="1" applyBorder="1" applyAlignment="1" applyProtection="1">
      <alignment horizontal="center"/>
      <protection locked="0"/>
    </xf>
    <xf numFmtId="0" fontId="12" fillId="8" borderId="43" xfId="0" applyFont="1" applyFill="1" applyBorder="1"/>
    <xf numFmtId="11" fontId="6" fillId="4" borderId="0" xfId="3" applyNumberFormat="1" applyFont="1" applyFill="1" applyProtection="1">
      <protection locked="0"/>
    </xf>
    <xf numFmtId="0" fontId="16" fillId="7" borderId="1" xfId="1" applyFont="1" applyFill="1" applyBorder="1" applyProtection="1">
      <protection locked="0"/>
    </xf>
    <xf numFmtId="0" fontId="16" fillId="7" borderId="1" xfId="1" applyFont="1" applyFill="1" applyBorder="1" applyAlignment="1" applyProtection="1">
      <alignment horizontal="center"/>
      <protection locked="0"/>
    </xf>
    <xf numFmtId="0" fontId="16" fillId="7" borderId="1" xfId="1" applyFont="1" applyFill="1" applyBorder="1" applyAlignment="1" applyProtection="1">
      <alignment horizontal="left"/>
      <protection locked="0"/>
    </xf>
    <xf numFmtId="0" fontId="0" fillId="4" borderId="1" xfId="0" applyFill="1" applyBorder="1" applyAlignment="1">
      <alignment horizontal="left" vertical="center"/>
    </xf>
    <xf numFmtId="0" fontId="6" fillId="4" borderId="1" xfId="1" applyFill="1" applyBorder="1" applyAlignment="1" applyProtection="1">
      <alignment horizontal="left" vertical="center"/>
      <protection locked="0"/>
    </xf>
    <xf numFmtId="0" fontId="16" fillId="7" borderId="1" xfId="0" applyFont="1" applyFill="1" applyBorder="1" applyProtection="1">
      <protection locked="0"/>
    </xf>
    <xf numFmtId="0" fontId="16" fillId="7" borderId="1" xfId="0" applyFont="1" applyFill="1" applyBorder="1" applyAlignment="1" applyProtection="1">
      <alignment horizontal="center"/>
      <protection locked="0"/>
    </xf>
    <xf numFmtId="0" fontId="6" fillId="4" borderId="57" xfId="1" applyFill="1" applyBorder="1" applyAlignment="1" applyProtection="1">
      <alignment horizontal="left"/>
      <protection locked="0"/>
    </xf>
    <xf numFmtId="0" fontId="6" fillId="4" borderId="58" xfId="1" applyFill="1" applyBorder="1" applyAlignment="1" applyProtection="1">
      <alignment horizontal="left"/>
      <protection locked="0"/>
    </xf>
    <xf numFmtId="0" fontId="6" fillId="4" borderId="1" xfId="1" applyFill="1" applyBorder="1" applyAlignment="1" applyProtection="1">
      <alignment wrapText="1"/>
      <protection locked="0"/>
    </xf>
    <xf numFmtId="49" fontId="0" fillId="4" borderId="1" xfId="0" applyNumberFormat="1" applyFill="1" applyBorder="1" applyAlignment="1">
      <alignment horizontal="right"/>
    </xf>
    <xf numFmtId="0" fontId="10" fillId="4" borderId="1" xfId="0" applyFont="1" applyFill="1" applyBorder="1" applyAlignment="1">
      <alignment horizontal="left"/>
    </xf>
    <xf numFmtId="0" fontId="16" fillId="8" borderId="1" xfId="0" applyFont="1" applyFill="1" applyBorder="1" applyAlignment="1">
      <alignment horizontal="center" wrapText="1"/>
    </xf>
    <xf numFmtId="0" fontId="6" fillId="4" borderId="0" xfId="0" applyFont="1" applyFill="1" applyProtection="1">
      <protection locked="0"/>
    </xf>
    <xf numFmtId="0" fontId="0" fillId="9" borderId="1" xfId="0" applyFill="1" applyBorder="1" applyAlignment="1" applyProtection="1">
      <alignment horizontal="right" vertical="center"/>
      <protection locked="0"/>
    </xf>
    <xf numFmtId="0" fontId="6" fillId="9" borderId="0" xfId="0" applyFont="1" applyFill="1" applyAlignment="1">
      <alignment horizontal="right" vertical="center"/>
    </xf>
    <xf numFmtId="0" fontId="0" fillId="9" borderId="0" xfId="0" applyFill="1" applyAlignment="1" applyProtection="1">
      <alignment horizontal="right" vertical="center"/>
      <protection locked="0"/>
    </xf>
    <xf numFmtId="0" fontId="16" fillId="7" borderId="1" xfId="0" applyFont="1" applyFill="1" applyBorder="1" applyAlignment="1" applyProtection="1">
      <alignment horizontal="center" vertical="center"/>
      <protection locked="0"/>
    </xf>
    <xf numFmtId="0" fontId="6" fillId="2" borderId="56" xfId="1" applyFill="1" applyBorder="1" applyAlignment="1" applyProtection="1">
      <alignment horizontal="center"/>
      <protection locked="0"/>
    </xf>
    <xf numFmtId="0" fontId="6" fillId="3" borderId="0" xfId="1" quotePrefix="1" applyFill="1" applyAlignment="1" applyProtection="1">
      <alignment horizontal="center" vertical="center" wrapText="1"/>
      <protection locked="0"/>
    </xf>
    <xf numFmtId="0" fontId="0" fillId="3" borderId="0" xfId="0" applyFill="1" applyAlignment="1" applyProtection="1">
      <alignment horizontal="right" vertical="center"/>
      <protection locked="0"/>
    </xf>
    <xf numFmtId="0" fontId="6" fillId="3" borderId="0" xfId="0" applyFont="1" applyFill="1" applyAlignment="1" applyProtection="1">
      <alignment horizontal="left" vertical="center"/>
      <protection locked="0"/>
    </xf>
    <xf numFmtId="0" fontId="0" fillId="3" borderId="0" xfId="0" applyFill="1" applyAlignment="1" applyProtection="1">
      <alignment horizontal="center"/>
      <protection locked="0"/>
    </xf>
    <xf numFmtId="0" fontId="6" fillId="3" borderId="0" xfId="0" applyFont="1" applyFill="1" applyAlignment="1">
      <alignment horizontal="right"/>
    </xf>
    <xf numFmtId="0" fontId="21" fillId="5" borderId="0" xfId="0" applyFont="1" applyFill="1" applyAlignment="1">
      <alignment horizontal="center" wrapText="1"/>
    </xf>
    <xf numFmtId="2" fontId="6" fillId="2" borderId="1" xfId="1" applyNumberFormat="1" applyFill="1" applyBorder="1" applyAlignment="1" applyProtection="1">
      <alignment horizontal="center"/>
      <protection locked="0"/>
    </xf>
    <xf numFmtId="11" fontId="6" fillId="2" borderId="1" xfId="1" applyNumberFormat="1" applyFill="1" applyBorder="1" applyAlignment="1" applyProtection="1">
      <alignment horizontal="center"/>
      <protection locked="0"/>
    </xf>
    <xf numFmtId="0" fontId="6" fillId="2" borderId="1" xfId="1" applyFill="1" applyBorder="1" applyAlignment="1" applyProtection="1">
      <alignment horizontal="center"/>
      <protection locked="0"/>
    </xf>
    <xf numFmtId="0" fontId="6" fillId="4" borderId="1" xfId="1" applyFill="1" applyBorder="1" applyAlignment="1" applyProtection="1">
      <alignment horizontal="left"/>
      <protection locked="0"/>
    </xf>
    <xf numFmtId="0" fontId="9" fillId="3" borderId="30" xfId="1" quotePrefix="1" applyFont="1" applyFill="1" applyBorder="1" applyProtection="1">
      <protection locked="0"/>
    </xf>
    <xf numFmtId="0" fontId="0" fillId="7" borderId="59" xfId="0" applyFill="1" applyBorder="1" applyProtection="1">
      <protection locked="0"/>
    </xf>
    <xf numFmtId="0" fontId="0" fillId="4" borderId="53" xfId="0" applyFill="1" applyBorder="1" applyProtection="1">
      <protection locked="0"/>
    </xf>
    <xf numFmtId="0" fontId="0" fillId="4" borderId="54" xfId="0" applyFill="1" applyBorder="1" applyProtection="1">
      <protection locked="0"/>
    </xf>
    <xf numFmtId="0" fontId="0" fillId="4" borderId="55" xfId="0" applyFill="1" applyBorder="1" applyProtection="1">
      <protection locked="0"/>
    </xf>
    <xf numFmtId="0" fontId="0" fillId="4" borderId="10" xfId="0" applyFill="1" applyBorder="1" applyProtection="1">
      <protection locked="0"/>
    </xf>
    <xf numFmtId="0" fontId="0" fillId="4" borderId="4" xfId="0" applyFill="1" applyBorder="1" applyProtection="1">
      <protection locked="0"/>
    </xf>
    <xf numFmtId="0" fontId="0" fillId="4" borderId="5" xfId="0" applyFill="1" applyBorder="1" applyProtection="1">
      <protection locked="0"/>
    </xf>
    <xf numFmtId="0" fontId="0" fillId="4" borderId="52" xfId="0" applyFill="1" applyBorder="1" applyProtection="1">
      <protection locked="0"/>
    </xf>
    <xf numFmtId="0" fontId="0" fillId="4" borderId="49" xfId="0" applyFill="1" applyBorder="1" applyProtection="1">
      <protection locked="0"/>
    </xf>
    <xf numFmtId="0" fontId="26" fillId="3" borderId="0" xfId="0" applyFont="1" applyFill="1" applyAlignment="1">
      <alignment vertical="center"/>
    </xf>
    <xf numFmtId="0" fontId="26" fillId="3" borderId="0" xfId="0" applyFont="1" applyFill="1"/>
    <xf numFmtId="0" fontId="6" fillId="3" borderId="0" xfId="0" applyFont="1" applyFill="1"/>
    <xf numFmtId="0" fontId="6" fillId="0" borderId="0" xfId="0" applyFont="1"/>
    <xf numFmtId="0" fontId="6" fillId="3" borderId="0" xfId="0" applyFont="1" applyFill="1" applyAlignment="1">
      <alignment vertical="center"/>
    </xf>
    <xf numFmtId="0" fontId="12" fillId="3" borderId="17" xfId="0" applyFont="1" applyFill="1" applyBorder="1" applyAlignment="1">
      <alignment vertical="center"/>
    </xf>
    <xf numFmtId="0" fontId="0" fillId="3" borderId="26" xfId="0" applyFill="1" applyBorder="1" applyProtection="1">
      <protection locked="0"/>
    </xf>
    <xf numFmtId="0" fontId="0" fillId="3" borderId="28" xfId="0" applyFill="1" applyBorder="1" applyProtection="1">
      <protection locked="0"/>
    </xf>
    <xf numFmtId="0" fontId="6" fillId="3" borderId="29" xfId="1" applyFill="1" applyBorder="1" applyProtection="1">
      <protection locked="0"/>
    </xf>
    <xf numFmtId="0" fontId="0" fillId="3" borderId="42" xfId="0" applyFill="1" applyBorder="1" applyAlignment="1">
      <alignment vertical="center"/>
    </xf>
    <xf numFmtId="0" fontId="0" fillId="3" borderId="43" xfId="0" applyFill="1" applyBorder="1" applyAlignment="1">
      <alignment vertical="center"/>
    </xf>
    <xf numFmtId="0" fontId="0" fillId="3" borderId="44" xfId="0" applyFill="1" applyBorder="1" applyAlignment="1">
      <alignment vertical="center"/>
    </xf>
    <xf numFmtId="0" fontId="22" fillId="0" borderId="0" xfId="0" applyFont="1"/>
    <xf numFmtId="0" fontId="5" fillId="3" borderId="32" xfId="0" applyFont="1" applyFill="1" applyBorder="1" applyAlignment="1">
      <alignment horizontal="center" vertical="center" wrapText="1"/>
    </xf>
    <xf numFmtId="0" fontId="0" fillId="8" borderId="35" xfId="0" applyFill="1" applyBorder="1"/>
    <xf numFmtId="0" fontId="0" fillId="4" borderId="1" xfId="0" applyFill="1" applyBorder="1" applyAlignment="1">
      <alignment horizontal="center"/>
    </xf>
    <xf numFmtId="0" fontId="27" fillId="3" borderId="0" xfId="0" applyFont="1" applyFill="1" applyAlignment="1">
      <alignment horizontal="left" vertical="center"/>
    </xf>
    <xf numFmtId="0" fontId="20" fillId="5" borderId="0" xfId="0" applyFont="1" applyFill="1"/>
    <xf numFmtId="0" fontId="29" fillId="0" borderId="0" xfId="0" applyFont="1"/>
    <xf numFmtId="0" fontId="19" fillId="5" borderId="0" xfId="0" applyFont="1" applyFill="1"/>
    <xf numFmtId="0" fontId="19" fillId="5" borderId="0" xfId="0" applyFont="1" applyFill="1" applyProtection="1">
      <protection locked="0"/>
    </xf>
    <xf numFmtId="0" fontId="0" fillId="11" borderId="0" xfId="0" applyFill="1"/>
    <xf numFmtId="0" fontId="0" fillId="0" borderId="1" xfId="0" applyBorder="1"/>
    <xf numFmtId="0" fontId="0" fillId="3" borderId="0" xfId="0" applyFill="1" applyAlignment="1">
      <alignment horizontal="left" vertical="center"/>
    </xf>
    <xf numFmtId="0" fontId="0" fillId="3" borderId="35"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left"/>
    </xf>
    <xf numFmtId="0" fontId="0" fillId="3" borderId="33" xfId="0" applyFill="1" applyBorder="1" applyAlignment="1">
      <alignment horizontal="left"/>
    </xf>
    <xf numFmtId="0" fontId="0" fillId="3" borderId="31" xfId="0" applyFill="1" applyBorder="1" applyAlignment="1">
      <alignment horizontal="left" vertical="center"/>
    </xf>
    <xf numFmtId="0" fontId="0" fillId="11" borderId="1" xfId="0" applyFill="1" applyBorder="1" applyAlignment="1">
      <alignment horizontal="center" vertical="center"/>
    </xf>
    <xf numFmtId="164" fontId="0" fillId="11" borderId="1" xfId="0" applyNumberFormat="1" applyFill="1" applyBorder="1" applyAlignment="1">
      <alignment horizontal="center" vertical="center"/>
    </xf>
    <xf numFmtId="0" fontId="0" fillId="2" borderId="1" xfId="0" applyFill="1" applyBorder="1"/>
    <xf numFmtId="0" fontId="5" fillId="4" borderId="3" xfId="0" applyFont="1" applyFill="1" applyBorder="1" applyAlignment="1">
      <alignment horizontal="center" vertical="center"/>
    </xf>
    <xf numFmtId="0" fontId="0" fillId="4" borderId="3" xfId="0" applyFill="1" applyBorder="1" applyAlignment="1">
      <alignment horizontal="center" vertical="center"/>
    </xf>
    <xf numFmtId="0" fontId="0" fillId="4" borderId="5" xfId="0" applyFill="1" applyBorder="1" applyAlignment="1">
      <alignment horizontal="center" vertical="center"/>
    </xf>
    <xf numFmtId="0" fontId="19" fillId="8" borderId="39" xfId="0" applyFont="1" applyFill="1" applyBorder="1" applyAlignment="1">
      <alignment vertical="top"/>
    </xf>
    <xf numFmtId="0" fontId="0" fillId="8" borderId="43" xfId="0" applyFill="1" applyBorder="1" applyAlignment="1">
      <alignment vertical="top"/>
    </xf>
    <xf numFmtId="0" fontId="0" fillId="4" borderId="0" xfId="0" applyFill="1" applyAlignment="1">
      <alignment horizontal="left" vertical="top"/>
    </xf>
    <xf numFmtId="0" fontId="19" fillId="8" borderId="40" xfId="0" applyFont="1" applyFill="1" applyBorder="1" applyAlignment="1">
      <alignment vertical="top"/>
    </xf>
    <xf numFmtId="0" fontId="19" fillId="8" borderId="43" xfId="0" applyFont="1" applyFill="1" applyBorder="1" applyAlignment="1">
      <alignment vertical="top"/>
    </xf>
    <xf numFmtId="0" fontId="0" fillId="8" borderId="44" xfId="0" applyFill="1" applyBorder="1" applyAlignment="1">
      <alignment vertical="top"/>
    </xf>
    <xf numFmtId="0" fontId="0" fillId="2" borderId="1" xfId="0" applyFill="1" applyBorder="1" applyAlignment="1">
      <alignment horizontal="center" vertical="center" wrapText="1"/>
    </xf>
    <xf numFmtId="0" fontId="22" fillId="0" borderId="0" xfId="0" applyFont="1" applyAlignment="1">
      <alignment horizontal="left"/>
    </xf>
    <xf numFmtId="0" fontId="0" fillId="0" borderId="1" xfId="0" applyBorder="1" applyAlignment="1">
      <alignment horizontal="right"/>
    </xf>
    <xf numFmtId="0" fontId="0" fillId="0" borderId="0" xfId="0" applyAlignment="1">
      <alignment horizontal="left"/>
    </xf>
    <xf numFmtId="0" fontId="0" fillId="2" borderId="45" xfId="0" applyFill="1" applyBorder="1" applyAlignment="1">
      <alignment horizontal="center" vertical="center"/>
    </xf>
    <xf numFmtId="0" fontId="30" fillId="0" borderId="0" xfId="0" applyFont="1"/>
    <xf numFmtId="0" fontId="0" fillId="0" borderId="0" xfId="0" applyAlignment="1">
      <alignment vertical="top"/>
    </xf>
    <xf numFmtId="0" fontId="5" fillId="12" borderId="0" xfId="0" applyFont="1" applyFill="1"/>
    <xf numFmtId="0" fontId="0" fillId="0" borderId="0" xfId="0" applyAlignment="1">
      <alignment horizontal="right"/>
    </xf>
    <xf numFmtId="0" fontId="0" fillId="4" borderId="0" xfId="0" applyFill="1" applyAlignment="1">
      <alignment horizontal="center" vertical="center"/>
    </xf>
    <xf numFmtId="164" fontId="0" fillId="11" borderId="0" xfId="0" applyNumberFormat="1" applyFill="1" applyAlignment="1">
      <alignment horizontal="center" vertical="center"/>
    </xf>
    <xf numFmtId="0" fontId="0" fillId="13" borderId="48" xfId="0" applyFill="1" applyBorder="1"/>
    <xf numFmtId="0" fontId="0" fillId="13" borderId="47" xfId="0" applyFill="1" applyBorder="1"/>
    <xf numFmtId="0" fontId="0" fillId="13" borderId="46" xfId="0" applyFill="1" applyBorder="1"/>
    <xf numFmtId="0" fontId="0" fillId="13" borderId="47" xfId="0" applyFill="1" applyBorder="1" applyAlignment="1">
      <alignment horizontal="right"/>
    </xf>
    <xf numFmtId="0" fontId="11" fillId="13" borderId="47" xfId="0" applyFont="1" applyFill="1" applyBorder="1" applyAlignment="1">
      <alignment horizontal="left"/>
    </xf>
    <xf numFmtId="0" fontId="11" fillId="13" borderId="46" xfId="0" applyFont="1" applyFill="1" applyBorder="1"/>
    <xf numFmtId="0" fontId="0" fillId="8" borderId="43" xfId="0" applyFill="1" applyBorder="1" applyAlignment="1">
      <alignment horizontal="center"/>
    </xf>
    <xf numFmtId="0" fontId="15" fillId="13" borderId="47" xfId="0" applyFont="1" applyFill="1" applyBorder="1"/>
    <xf numFmtId="0" fontId="14" fillId="8" borderId="0" xfId="0" applyFont="1" applyFill="1" applyAlignment="1">
      <alignment horizontal="center"/>
    </xf>
    <xf numFmtId="0" fontId="11" fillId="8" borderId="32" xfId="0" applyFont="1" applyFill="1" applyBorder="1" applyAlignment="1">
      <alignment vertical="center"/>
    </xf>
    <xf numFmtId="0" fontId="0" fillId="13" borderId="7" xfId="0" applyFill="1" applyBorder="1"/>
    <xf numFmtId="0" fontId="0" fillId="13" borderId="8" xfId="0" applyFill="1" applyBorder="1"/>
    <xf numFmtId="0" fontId="0" fillId="13" borderId="9" xfId="0" applyFill="1" applyBorder="1"/>
    <xf numFmtId="0" fontId="0" fillId="13" borderId="60" xfId="0" applyFill="1" applyBorder="1"/>
    <xf numFmtId="0" fontId="0" fillId="13" borderId="19" xfId="0" applyFill="1" applyBorder="1"/>
    <xf numFmtId="0" fontId="0" fillId="13" borderId="19" xfId="0" applyFill="1" applyBorder="1" applyAlignment="1">
      <alignment horizontal="right"/>
    </xf>
    <xf numFmtId="0" fontId="14" fillId="13" borderId="19" xfId="0" applyFont="1" applyFill="1" applyBorder="1" applyAlignment="1">
      <alignment horizontal="left"/>
    </xf>
    <xf numFmtId="0" fontId="14" fillId="13" borderId="61" xfId="0" applyFont="1" applyFill="1" applyBorder="1"/>
    <xf numFmtId="0" fontId="0" fillId="8" borderId="31" xfId="0" applyFill="1" applyBorder="1"/>
    <xf numFmtId="0" fontId="0" fillId="8" borderId="0" xfId="0" applyFill="1" applyAlignment="1">
      <alignment horizontal="center"/>
    </xf>
    <xf numFmtId="0" fontId="11" fillId="8" borderId="0" xfId="0" applyFont="1" applyFill="1" applyAlignment="1">
      <alignment horizontal="right" vertical="center"/>
    </xf>
    <xf numFmtId="0" fontId="11" fillId="8" borderId="32" xfId="0" applyFont="1" applyFill="1" applyBorder="1" applyAlignment="1">
      <alignment horizontal="right" vertical="center"/>
    </xf>
    <xf numFmtId="0" fontId="0" fillId="3" borderId="11" xfId="0" applyFill="1" applyBorder="1"/>
    <xf numFmtId="0" fontId="0" fillId="3" borderId="12" xfId="0" applyFill="1" applyBorder="1"/>
    <xf numFmtId="0" fontId="16" fillId="13" borderId="53" xfId="0" applyFont="1" applyFill="1" applyBorder="1"/>
    <xf numFmtId="0" fontId="12" fillId="13" borderId="54" xfId="0" applyFont="1" applyFill="1" applyBorder="1" applyAlignment="1">
      <alignment horizontal="right"/>
    </xf>
    <xf numFmtId="0" fontId="12" fillId="13" borderId="55" xfId="0" applyFont="1" applyFill="1" applyBorder="1" applyAlignment="1">
      <alignment horizontal="left"/>
    </xf>
    <xf numFmtId="0" fontId="16" fillId="8" borderId="31" xfId="0" applyFont="1" applyFill="1" applyBorder="1" applyAlignment="1">
      <alignment horizontal="left" vertical="center"/>
    </xf>
    <xf numFmtId="0" fontId="12" fillId="8" borderId="0" xfId="0" applyFont="1" applyFill="1" applyAlignment="1">
      <alignment horizontal="center" vertical="center"/>
    </xf>
    <xf numFmtId="0" fontId="16" fillId="8" borderId="0" xfId="0" applyFont="1" applyFill="1" applyAlignment="1">
      <alignment horizontal="left" vertical="center"/>
    </xf>
    <xf numFmtId="0" fontId="12" fillId="8" borderId="32" xfId="0" applyFont="1" applyFill="1" applyBorder="1" applyAlignment="1">
      <alignment horizontal="center" vertical="center"/>
    </xf>
    <xf numFmtId="0" fontId="0" fillId="14" borderId="53" xfId="0" applyFill="1" applyBorder="1" applyAlignment="1">
      <alignment horizontal="right"/>
    </xf>
    <xf numFmtId="0" fontId="0" fillId="3" borderId="54" xfId="0" applyFill="1" applyBorder="1" applyAlignment="1">
      <alignment horizontal="right"/>
    </xf>
    <xf numFmtId="0" fontId="0" fillId="3" borderId="55" xfId="0" applyFill="1" applyBorder="1" applyAlignment="1">
      <alignment horizontal="left"/>
    </xf>
    <xf numFmtId="0" fontId="0" fillId="3" borderId="62" xfId="0" applyFill="1" applyBorder="1" applyAlignment="1">
      <alignment horizontal="left" vertical="center" wrapText="1"/>
    </xf>
    <xf numFmtId="0" fontId="0" fillId="3" borderId="63" xfId="0" applyFill="1" applyBorder="1" applyAlignment="1">
      <alignment horizontal="center"/>
    </xf>
    <xf numFmtId="0" fontId="0" fillId="14" borderId="10" xfId="0" applyFill="1" applyBorder="1" applyAlignment="1">
      <alignment horizontal="right"/>
    </xf>
    <xf numFmtId="0" fontId="0" fillId="3" borderId="4" xfId="0" applyFill="1" applyBorder="1" applyAlignment="1">
      <alignment horizontal="left"/>
    </xf>
    <xf numFmtId="0" fontId="0" fillId="3" borderId="64" xfId="0" applyFill="1" applyBorder="1" applyAlignment="1">
      <alignment horizontal="left" vertical="center" wrapText="1"/>
    </xf>
    <xf numFmtId="0" fontId="0" fillId="3" borderId="65" xfId="0" applyFill="1" applyBorder="1" applyAlignment="1">
      <alignment horizontal="center"/>
    </xf>
    <xf numFmtId="0" fontId="12" fillId="8" borderId="1" xfId="0" applyFont="1" applyFill="1" applyBorder="1" applyAlignment="1">
      <alignment horizontal="center"/>
    </xf>
    <xf numFmtId="0" fontId="0" fillId="3" borderId="1" xfId="0" applyFill="1" applyBorder="1" applyAlignment="1">
      <alignment horizontal="center" vertical="center"/>
    </xf>
    <xf numFmtId="0" fontId="0" fillId="3" borderId="64" xfId="0" applyFill="1" applyBorder="1" applyAlignment="1">
      <alignment horizontal="left" vertical="center"/>
    </xf>
    <xf numFmtId="0" fontId="0" fillId="3" borderId="31" xfId="0" applyFill="1" applyBorder="1" applyAlignment="1">
      <alignment horizontal="right"/>
    </xf>
    <xf numFmtId="0" fontId="0" fillId="3" borderId="5" xfId="0" applyFill="1" applyBorder="1" applyAlignment="1">
      <alignment horizontal="center" vertical="center"/>
    </xf>
    <xf numFmtId="0" fontId="0" fillId="3" borderId="2" xfId="0" applyFill="1" applyBorder="1" applyAlignment="1">
      <alignment horizontal="center" vertical="center"/>
    </xf>
    <xf numFmtId="0" fontId="0" fillId="14" borderId="5" xfId="0" applyFill="1" applyBorder="1" applyAlignment="1">
      <alignment horizontal="right"/>
    </xf>
    <xf numFmtId="0" fontId="0" fillId="3" borderId="52" xfId="0" applyFill="1" applyBorder="1" applyAlignment="1">
      <alignment horizontal="right"/>
    </xf>
    <xf numFmtId="0" fontId="0" fillId="3" borderId="49" xfId="0" applyFill="1" applyBorder="1" applyAlignment="1">
      <alignment horizontal="left"/>
    </xf>
    <xf numFmtId="0" fontId="0" fillId="3" borderId="66" xfId="0" applyFill="1" applyBorder="1" applyAlignment="1">
      <alignment horizontal="left" vertical="center" wrapText="1"/>
    </xf>
    <xf numFmtId="0" fontId="0" fillId="3" borderId="67" xfId="0" applyFill="1" applyBorder="1" applyAlignment="1">
      <alignment horizontal="center"/>
    </xf>
    <xf numFmtId="0" fontId="16" fillId="13" borderId="68" xfId="0" applyFont="1" applyFill="1" applyBorder="1"/>
    <xf numFmtId="0" fontId="0" fillId="13" borderId="69" xfId="0" applyFill="1" applyBorder="1" applyAlignment="1">
      <alignment horizontal="right"/>
    </xf>
    <xf numFmtId="0" fontId="0" fillId="13" borderId="70" xfId="0" applyFill="1" applyBorder="1" applyAlignment="1">
      <alignment horizontal="left"/>
    </xf>
    <xf numFmtId="0" fontId="0" fillId="4" borderId="0" xfId="0" applyFill="1" applyAlignment="1">
      <alignment horizontal="center"/>
    </xf>
    <xf numFmtId="0" fontId="0" fillId="3" borderId="13" xfId="0" applyFill="1" applyBorder="1"/>
    <xf numFmtId="0" fontId="0" fillId="3" borderId="14" xfId="0" applyFill="1" applyBorder="1"/>
    <xf numFmtId="0" fontId="0" fillId="3" borderId="14" xfId="0" applyFill="1" applyBorder="1" applyAlignment="1">
      <alignment horizontal="right"/>
    </xf>
    <xf numFmtId="0" fontId="0" fillId="3" borderId="14" xfId="0" applyFill="1" applyBorder="1" applyAlignment="1">
      <alignment horizontal="left"/>
    </xf>
    <xf numFmtId="0" fontId="0" fillId="3" borderId="15" xfId="0" applyFill="1" applyBorder="1"/>
    <xf numFmtId="0" fontId="6" fillId="3" borderId="75" xfId="0" applyFont="1" applyFill="1" applyBorder="1" applyAlignment="1">
      <alignment horizontal="right"/>
    </xf>
    <xf numFmtId="0" fontId="0" fillId="3" borderId="76" xfId="0" applyFill="1" applyBorder="1" applyAlignment="1">
      <alignment horizontal="left"/>
    </xf>
    <xf numFmtId="0" fontId="6" fillId="3" borderId="12" xfId="0" applyFont="1" applyFill="1" applyBorder="1"/>
    <xf numFmtId="0" fontId="0" fillId="3" borderId="11" xfId="0" applyFill="1" applyBorder="1" applyAlignment="1">
      <alignment vertical="center"/>
    </xf>
    <xf numFmtId="0" fontId="0" fillId="3" borderId="12" xfId="0" applyFill="1" applyBorder="1" applyAlignment="1">
      <alignment vertical="center"/>
    </xf>
    <xf numFmtId="0" fontId="0" fillId="4" borderId="0" xfId="0" applyFill="1" applyAlignment="1">
      <alignment vertical="center"/>
    </xf>
    <xf numFmtId="0" fontId="32" fillId="14" borderId="10" xfId="0" applyFont="1" applyFill="1" applyBorder="1" applyAlignment="1">
      <alignment vertical="center"/>
    </xf>
    <xf numFmtId="0" fontId="0" fillId="3" borderId="4" xfId="0" applyFill="1" applyBorder="1" applyAlignment="1">
      <alignment horizontal="left" vertical="center"/>
    </xf>
    <xf numFmtId="0" fontId="0" fillId="3" borderId="31" xfId="0" applyFill="1" applyBorder="1" applyAlignment="1">
      <alignment vertical="center"/>
    </xf>
    <xf numFmtId="0" fontId="0" fillId="3" borderId="65" xfId="0" applyFill="1" applyBorder="1" applyAlignment="1">
      <alignment horizontal="center" vertical="center"/>
    </xf>
    <xf numFmtId="0" fontId="0" fillId="3" borderId="31" xfId="0" applyFill="1" applyBorder="1" applyAlignment="1">
      <alignment horizontal="right" vertical="center"/>
    </xf>
    <xf numFmtId="0" fontId="0" fillId="3" borderId="32" xfId="0" applyFill="1" applyBorder="1" applyAlignment="1">
      <alignment vertical="center"/>
    </xf>
    <xf numFmtId="0" fontId="0" fillId="3" borderId="77" xfId="0" applyFill="1" applyBorder="1"/>
    <xf numFmtId="0" fontId="0" fillId="3" borderId="77" xfId="0" applyFill="1" applyBorder="1" applyAlignment="1">
      <alignment horizontal="right"/>
    </xf>
    <xf numFmtId="0" fontId="0" fillId="3" borderId="77" xfId="0" applyFill="1" applyBorder="1" applyAlignment="1">
      <alignment horizontal="left"/>
    </xf>
    <xf numFmtId="0" fontId="26" fillId="0" borderId="0" xfId="0" applyFont="1"/>
    <xf numFmtId="0" fontId="13" fillId="17" borderId="21" xfId="0" applyFont="1" applyFill="1" applyBorder="1" applyAlignment="1">
      <alignment vertical="center"/>
    </xf>
    <xf numFmtId="0" fontId="0" fillId="3" borderId="78" xfId="0" applyFill="1" applyBorder="1"/>
    <xf numFmtId="0" fontId="19" fillId="8" borderId="31" xfId="0" applyFont="1" applyFill="1" applyBorder="1" applyAlignment="1">
      <alignment horizontal="left" vertical="top"/>
    </xf>
    <xf numFmtId="0" fontId="19" fillId="8" borderId="0" xfId="0" applyFont="1" applyFill="1" applyAlignment="1">
      <alignment vertical="top"/>
    </xf>
    <xf numFmtId="0" fontId="0" fillId="8" borderId="0" xfId="0" applyFill="1" applyAlignment="1">
      <alignment vertical="top"/>
    </xf>
    <xf numFmtId="0" fontId="0" fillId="8" borderId="32" xfId="0" applyFill="1" applyBorder="1" applyAlignment="1">
      <alignment vertical="top"/>
    </xf>
    <xf numFmtId="0" fontId="15" fillId="8" borderId="31" xfId="0" applyFont="1" applyFill="1" applyBorder="1"/>
    <xf numFmtId="0" fontId="15" fillId="8" borderId="42" xfId="0" applyFont="1" applyFill="1" applyBorder="1" applyAlignment="1">
      <alignment horizontal="left"/>
    </xf>
    <xf numFmtId="0" fontId="0" fillId="4" borderId="80" xfId="0" applyFill="1" applyBorder="1" applyAlignment="1">
      <alignment horizontal="center" vertical="center"/>
    </xf>
    <xf numFmtId="0" fontId="0" fillId="3" borderId="74" xfId="0" applyFill="1" applyBorder="1" applyAlignment="1">
      <alignment horizontal="center" vertical="center"/>
    </xf>
    <xf numFmtId="164" fontId="0" fillId="3" borderId="0" xfId="0" applyNumberFormat="1" applyFill="1" applyAlignment="1">
      <alignment horizontal="center" vertical="center"/>
    </xf>
    <xf numFmtId="0" fontId="0" fillId="3" borderId="54" xfId="0" applyFill="1" applyBorder="1" applyAlignment="1">
      <alignment horizontal="center" vertical="center"/>
    </xf>
    <xf numFmtId="164" fontId="0" fillId="3" borderId="52" xfId="0" applyNumberFormat="1" applyFill="1" applyBorder="1" applyAlignment="1">
      <alignment horizontal="center" vertical="center"/>
    </xf>
    <xf numFmtId="0" fontId="14" fillId="8" borderId="31" xfId="0" applyFont="1" applyFill="1" applyBorder="1" applyAlignment="1">
      <alignment vertical="top"/>
    </xf>
    <xf numFmtId="0" fontId="12" fillId="8" borderId="44" xfId="0" applyFont="1" applyFill="1" applyBorder="1"/>
    <xf numFmtId="0" fontId="33" fillId="3" borderId="0" xfId="0" applyFont="1" applyFill="1" applyAlignment="1">
      <alignment horizontal="left" vertical="center"/>
    </xf>
    <xf numFmtId="0" fontId="19" fillId="8" borderId="81" xfId="0" applyFont="1" applyFill="1" applyBorder="1" applyAlignment="1">
      <alignment vertical="top"/>
    </xf>
    <xf numFmtId="0" fontId="0" fillId="11" borderId="82" xfId="0" applyFill="1" applyBorder="1"/>
    <xf numFmtId="0" fontId="0" fillId="14" borderId="10" xfId="0" applyFill="1" applyBorder="1" applyAlignment="1">
      <alignment horizontal="center" vertical="center"/>
    </xf>
    <xf numFmtId="0" fontId="0" fillId="14" borderId="0" xfId="0" applyFill="1" applyAlignment="1">
      <alignment horizontal="center" vertical="center"/>
    </xf>
    <xf numFmtId="0" fontId="0" fillId="4" borderId="83" xfId="0" applyFill="1" applyBorder="1" applyAlignment="1">
      <alignment horizontal="center" vertical="center"/>
    </xf>
    <xf numFmtId="0" fontId="0" fillId="4" borderId="84" xfId="0" applyFill="1" applyBorder="1" applyAlignment="1">
      <alignment horizontal="center" vertical="center"/>
    </xf>
    <xf numFmtId="0" fontId="6" fillId="2" borderId="1" xfId="0" applyFont="1" applyFill="1" applyBorder="1" applyAlignment="1">
      <alignment horizontal="center" vertical="center"/>
    </xf>
    <xf numFmtId="0" fontId="0" fillId="14" borderId="0" xfId="0" applyFill="1"/>
    <xf numFmtId="0" fontId="0" fillId="0" borderId="31" xfId="0" applyBorder="1"/>
    <xf numFmtId="0" fontId="19" fillId="8" borderId="42" xfId="0" applyFont="1" applyFill="1" applyBorder="1" applyAlignment="1">
      <alignment horizontal="center" vertical="top"/>
    </xf>
    <xf numFmtId="0" fontId="0" fillId="3" borderId="52" xfId="0" applyFill="1" applyBorder="1" applyAlignment="1">
      <alignment horizontal="center"/>
    </xf>
    <xf numFmtId="0" fontId="0" fillId="11" borderId="2" xfId="0" applyFill="1" applyBorder="1" applyAlignment="1">
      <alignment horizontal="center" vertical="center"/>
    </xf>
    <xf numFmtId="0" fontId="5" fillId="4" borderId="79" xfId="0" applyFont="1" applyFill="1" applyBorder="1" applyAlignment="1">
      <alignment horizontal="center"/>
    </xf>
    <xf numFmtId="0" fontId="5" fillId="4" borderId="1" xfId="0" applyFont="1" applyFill="1" applyBorder="1" applyAlignment="1">
      <alignment horizontal="center"/>
    </xf>
    <xf numFmtId="0" fontId="0" fillId="4" borderId="3" xfId="0" applyFill="1" applyBorder="1" applyAlignment="1">
      <alignment horizontal="center" vertical="center" wrapText="1"/>
    </xf>
    <xf numFmtId="0" fontId="0" fillId="3" borderId="81" xfId="0" applyFill="1" applyBorder="1"/>
    <xf numFmtId="0" fontId="0" fillId="3" borderId="85" xfId="0" applyFill="1" applyBorder="1"/>
    <xf numFmtId="0" fontId="0" fillId="14" borderId="0" xfId="0" applyFill="1" applyAlignment="1">
      <alignment horizontal="center"/>
    </xf>
    <xf numFmtId="164" fontId="0" fillId="14" borderId="0" xfId="0" applyNumberFormat="1" applyFill="1" applyAlignment="1">
      <alignment horizontal="center" vertical="center"/>
    </xf>
    <xf numFmtId="0" fontId="0" fillId="8" borderId="42" xfId="0" applyFill="1" applyBorder="1" applyAlignment="1">
      <alignment vertical="top"/>
    </xf>
    <xf numFmtId="0" fontId="0" fillId="8" borderId="86" xfId="0" applyFill="1" applyBorder="1" applyAlignment="1">
      <alignment vertical="top"/>
    </xf>
    <xf numFmtId="0" fontId="0" fillId="8" borderId="87" xfId="0" applyFill="1" applyBorder="1" applyAlignment="1">
      <alignment vertical="top"/>
    </xf>
    <xf numFmtId="0" fontId="11" fillId="8" borderId="43" xfId="0" applyFont="1" applyFill="1" applyBorder="1" applyAlignment="1">
      <alignment horizontal="center"/>
    </xf>
    <xf numFmtId="0" fontId="11" fillId="8" borderId="0" xfId="0" applyFont="1" applyFill="1" applyAlignment="1">
      <alignment horizontal="center" vertical="center"/>
    </xf>
    <xf numFmtId="0" fontId="11" fillId="8" borderId="34" xfId="0" applyFont="1" applyFill="1" applyBorder="1" applyAlignment="1">
      <alignment horizontal="center" vertical="center"/>
    </xf>
    <xf numFmtId="0" fontId="0" fillId="3" borderId="43" xfId="0" applyFill="1" applyBorder="1" applyAlignment="1">
      <alignment horizontal="center"/>
    </xf>
    <xf numFmtId="0" fontId="12" fillId="8" borderId="43" xfId="0" applyFont="1" applyFill="1" applyBorder="1" applyAlignment="1">
      <alignment horizontal="center"/>
    </xf>
    <xf numFmtId="0" fontId="19" fillId="8" borderId="43" xfId="0" applyFont="1" applyFill="1" applyBorder="1" applyAlignment="1">
      <alignment horizontal="center" vertical="top"/>
    </xf>
    <xf numFmtId="0" fontId="0" fillId="0" borderId="0" xfId="0" applyAlignment="1">
      <alignment horizontal="center"/>
    </xf>
    <xf numFmtId="0" fontId="0" fillId="3" borderId="88" xfId="0" applyFill="1" applyBorder="1"/>
    <xf numFmtId="0" fontId="0" fillId="3" borderId="89" xfId="0" applyFill="1" applyBorder="1"/>
    <xf numFmtId="11" fontId="0" fillId="9" borderId="1" xfId="0" applyNumberFormat="1" applyFill="1" applyBorder="1"/>
    <xf numFmtId="0" fontId="0" fillId="11" borderId="33" xfId="0" applyFill="1" applyBorder="1"/>
    <xf numFmtId="0" fontId="0" fillId="11" borderId="34" xfId="0" applyFill="1" applyBorder="1"/>
    <xf numFmtId="0" fontId="0" fillId="11" borderId="34" xfId="0" applyFill="1" applyBorder="1" applyAlignment="1">
      <alignment horizontal="center"/>
    </xf>
    <xf numFmtId="0" fontId="0" fillId="11" borderId="35" xfId="0" applyFill="1" applyBorder="1"/>
    <xf numFmtId="0" fontId="28" fillId="4" borderId="0" xfId="0" applyFont="1" applyFill="1"/>
    <xf numFmtId="0" fontId="0" fillId="2" borderId="49" xfId="0" applyFill="1" applyBorder="1" applyAlignment="1">
      <alignment horizontal="center" vertical="center"/>
    </xf>
    <xf numFmtId="0" fontId="0" fillId="0" borderId="10" xfId="0" applyBorder="1" applyAlignment="1">
      <alignment horizontal="center" vertical="center"/>
    </xf>
    <xf numFmtId="164" fontId="0" fillId="0" borderId="0" xfId="0" applyNumberFormat="1" applyAlignment="1">
      <alignment horizontal="center" vertical="center"/>
    </xf>
    <xf numFmtId="0" fontId="0" fillId="4" borderId="0" xfId="0" applyFill="1" applyAlignment="1">
      <alignment horizontal="right" vertical="center"/>
    </xf>
    <xf numFmtId="0" fontId="23" fillId="5" borderId="7" xfId="0" applyFont="1" applyFill="1" applyBorder="1" applyAlignment="1">
      <alignment horizontal="center" vertical="center"/>
    </xf>
    <xf numFmtId="0" fontId="23" fillId="5" borderId="8" xfId="0" applyFont="1" applyFill="1" applyBorder="1" applyAlignment="1">
      <alignment horizontal="center" vertical="center"/>
    </xf>
    <xf numFmtId="0" fontId="23" fillId="5" borderId="9" xfId="0" applyFont="1" applyFill="1" applyBorder="1" applyAlignment="1">
      <alignment horizontal="center" vertical="center"/>
    </xf>
    <xf numFmtId="0" fontId="16" fillId="7" borderId="53" xfId="0" applyFont="1" applyFill="1" applyBorder="1" applyAlignment="1" applyProtection="1">
      <alignment horizontal="center"/>
      <protection locked="0"/>
    </xf>
    <xf numFmtId="0" fontId="16" fillId="7" borderId="54" xfId="0" applyFont="1" applyFill="1" applyBorder="1" applyAlignment="1" applyProtection="1">
      <alignment horizontal="center"/>
      <protection locked="0"/>
    </xf>
    <xf numFmtId="0" fontId="16" fillId="7" borderId="55" xfId="0" applyFont="1" applyFill="1" applyBorder="1" applyAlignment="1" applyProtection="1">
      <alignment horizontal="center"/>
      <protection locked="0"/>
    </xf>
    <xf numFmtId="0" fontId="19" fillId="8" borderId="39" xfId="0" applyFont="1" applyFill="1" applyBorder="1" applyAlignment="1">
      <alignment horizontal="left" vertical="top"/>
    </xf>
    <xf numFmtId="0" fontId="19" fillId="8" borderId="40" xfId="0" applyFont="1" applyFill="1" applyBorder="1" applyAlignment="1">
      <alignment horizontal="left" vertical="top"/>
    </xf>
    <xf numFmtId="0" fontId="19" fillId="8" borderId="43" xfId="0" applyFont="1" applyFill="1" applyBorder="1" applyAlignment="1">
      <alignment horizontal="left" vertical="top"/>
    </xf>
    <xf numFmtId="0" fontId="0" fillId="3" borderId="31" xfId="0" applyFill="1" applyBorder="1" applyAlignment="1">
      <alignment horizontal="center"/>
    </xf>
    <xf numFmtId="0" fontId="0" fillId="3" borderId="0" xfId="0" applyFill="1" applyAlignment="1">
      <alignment horizontal="center"/>
    </xf>
    <xf numFmtId="0" fontId="20" fillId="5" borderId="52" xfId="0" applyFont="1" applyFill="1" applyBorder="1" applyAlignment="1">
      <alignment horizontal="center"/>
    </xf>
    <xf numFmtId="0" fontId="20" fillId="5" borderId="7" xfId="0" applyFont="1" applyFill="1" applyBorder="1" applyAlignment="1">
      <alignment horizontal="center"/>
    </xf>
    <xf numFmtId="0" fontId="20" fillId="5" borderId="8" xfId="0" applyFont="1" applyFill="1" applyBorder="1" applyAlignment="1">
      <alignment horizontal="center"/>
    </xf>
    <xf numFmtId="0" fontId="20" fillId="5" borderId="9" xfId="0" applyFont="1" applyFill="1" applyBorder="1" applyAlignment="1">
      <alignment horizontal="center"/>
    </xf>
    <xf numFmtId="0" fontId="20" fillId="5" borderId="48" xfId="0" applyFont="1" applyFill="1" applyBorder="1" applyAlignment="1">
      <alignment horizontal="center"/>
    </xf>
    <xf numFmtId="0" fontId="20" fillId="5" borderId="47" xfId="0" applyFont="1" applyFill="1" applyBorder="1" applyAlignment="1">
      <alignment horizontal="center"/>
    </xf>
    <xf numFmtId="0" fontId="20" fillId="5" borderId="46" xfId="0" applyFont="1" applyFill="1" applyBorder="1" applyAlignment="1">
      <alignment horizontal="center"/>
    </xf>
    <xf numFmtId="0" fontId="20" fillId="5" borderId="0" xfId="0" applyFont="1" applyFill="1" applyAlignment="1">
      <alignment horizontal="center"/>
    </xf>
    <xf numFmtId="0" fontId="20" fillId="5" borderId="7" xfId="0" applyFont="1" applyFill="1" applyBorder="1" applyAlignment="1">
      <alignment horizontal="center" wrapText="1"/>
    </xf>
    <xf numFmtId="0" fontId="20" fillId="5" borderId="9" xfId="0" applyFont="1" applyFill="1" applyBorder="1" applyAlignment="1">
      <alignment horizontal="center" wrapText="1"/>
    </xf>
    <xf numFmtId="0" fontId="14" fillId="13" borderId="11" xfId="0" applyFont="1" applyFill="1" applyBorder="1" applyAlignment="1">
      <alignment horizontal="center"/>
    </xf>
    <xf numFmtId="0" fontId="14" fillId="13" borderId="0" xfId="0" applyFont="1" applyFill="1" applyAlignment="1">
      <alignment horizontal="center"/>
    </xf>
    <xf numFmtId="0" fontId="14" fillId="13" borderId="12" xfId="0" applyFont="1" applyFill="1" applyBorder="1" applyAlignment="1">
      <alignment horizontal="center"/>
    </xf>
    <xf numFmtId="0" fontId="16" fillId="8" borderId="33" xfId="0" applyFont="1" applyFill="1" applyBorder="1" applyAlignment="1">
      <alignment horizontal="center" vertical="center"/>
    </xf>
    <xf numFmtId="0" fontId="16" fillId="8" borderId="35" xfId="0" applyFont="1" applyFill="1" applyBorder="1" applyAlignment="1">
      <alignment horizontal="center" vertical="center"/>
    </xf>
    <xf numFmtId="0" fontId="6" fillId="15" borderId="71" xfId="0" applyFont="1" applyFill="1" applyBorder="1" applyAlignment="1">
      <alignment horizontal="center"/>
    </xf>
    <xf numFmtId="0" fontId="6" fillId="15" borderId="72" xfId="0" applyFont="1" applyFill="1" applyBorder="1" applyAlignment="1">
      <alignment horizontal="center"/>
    </xf>
    <xf numFmtId="0" fontId="6" fillId="15" borderId="73" xfId="0" applyFont="1" applyFill="1" applyBorder="1" applyAlignment="1">
      <alignment horizontal="center"/>
    </xf>
    <xf numFmtId="0" fontId="0" fillId="16" borderId="2" xfId="0" applyFill="1" applyBorder="1" applyAlignment="1">
      <alignment horizontal="center"/>
    </xf>
    <xf numFmtId="0" fontId="0" fillId="16" borderId="74" xfId="0" applyFill="1" applyBorder="1" applyAlignment="1">
      <alignment horizontal="center"/>
    </xf>
    <xf numFmtId="0" fontId="0" fillId="16" borderId="45" xfId="0" applyFill="1" applyBorder="1" applyAlignment="1">
      <alignment horizontal="center"/>
    </xf>
  </cellXfs>
  <cellStyles count="18">
    <cellStyle name="Normal" xfId="0" builtinId="0"/>
    <cellStyle name="Normal 2" xfId="1" xr:uid="{00000000-0005-0000-0000-000001000000}"/>
    <cellStyle name="Normal 2 2" xfId="2" xr:uid="{00000000-0005-0000-0000-000002000000}"/>
    <cellStyle name="Normal 2 2 2" xfId="8" xr:uid="{00000000-0005-0000-0000-000003000000}"/>
    <cellStyle name="Normal 2 2 2 2" xfId="12" xr:uid="{AE3F1B53-E0BF-4FB8-B164-2BFB04DF4E66}"/>
    <cellStyle name="Normal 2 2 2 3" xfId="16" xr:uid="{9CAE91E7-E729-4F7C-BB13-EB9899334055}"/>
    <cellStyle name="Normal 2 2 3" xfId="9" xr:uid="{640C9766-5A3F-42F7-BC13-ADEB0FF62995}"/>
    <cellStyle name="Normal 2 2 4" xfId="13" xr:uid="{8197B1C8-1FA9-4D26-A1CA-F356400ADE1B}"/>
    <cellStyle name="Normal 2 2_Systemic" xfId="5" xr:uid="{00000000-0005-0000-0000-000004000000}"/>
    <cellStyle name="Normal 3" xfId="6" xr:uid="{00000000-0005-0000-0000-000005000000}"/>
    <cellStyle name="Normal 3 2" xfId="10" xr:uid="{3FB46C57-227E-4962-9B6B-E1547CE53311}"/>
    <cellStyle name="Normal 3 3" xfId="14" xr:uid="{FB9CA039-094A-40B8-9977-9E2901C632A4}"/>
    <cellStyle name="Normal 4" xfId="7" xr:uid="{00000000-0005-0000-0000-000006000000}"/>
    <cellStyle name="Normal 4 2" xfId="11" xr:uid="{8ED2521C-043F-45BA-A9E2-05C98AD6F460}"/>
    <cellStyle name="Normal 4 3" xfId="15" xr:uid="{AFF15B65-2E74-433F-ABEA-6A5E983EF94F}"/>
    <cellStyle name="Normal 5" xfId="17" xr:uid="{123287E4-E64D-4EBB-9A15-B089B2E074F9}"/>
    <cellStyle name="Normal_output" xfId="3" xr:uid="{00000000-0005-0000-0000-000007000000}"/>
    <cellStyle name="Percent 2" xfId="4" xr:uid="{00000000-0005-0000-0000-000008000000}"/>
  </cellStyles>
  <dxfs count="0"/>
  <tableStyles count="0" defaultTableStyle="TableStyleMedium9" defaultPivotStyle="PivotStyleLight16"/>
  <colors>
    <mruColors>
      <color rgb="FF833C0C"/>
      <color rgb="FFE7E6E6"/>
      <color rgb="FFFFFFCC"/>
      <color rgb="FF000000"/>
      <color rgb="FF203764"/>
      <color rgb="FFFBE2D1"/>
      <color rgb="FFFFFFD5"/>
      <color rgb="FFFFC1C1"/>
      <color rgb="FFFFF2CC"/>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Weight vs.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lumMod val="50000"/>
                </a:schemeClr>
              </a:solidFill>
              <a:round/>
            </a:ln>
            <a:effectLst/>
          </c:spPr>
          <c:marker>
            <c:symbol val="none"/>
          </c:marker>
          <c:val>
            <c:numRef>
              <c:f>Lookup!$CP$3:$CP$23</c:f>
              <c:numCache>
                <c:formatCode>General</c:formatCode>
                <c:ptCount val="21"/>
                <c:pt idx="0">
                  <c:v>3.3565723793677202</c:v>
                </c:pt>
                <c:pt idx="1">
                  <c:v>8.900707449004944</c:v>
                </c:pt>
                <c:pt idx="2">
                  <c:v>12.279092921852012</c:v>
                </c:pt>
                <c:pt idx="3">
                  <c:v>14.617917414340456</c:v>
                </c:pt>
                <c:pt idx="4">
                  <c:v>16.433990817066771</c:v>
                </c:pt>
                <c:pt idx="5">
                  <c:v>18.039933898875297</c:v>
                </c:pt>
                <c:pt idx="6">
                  <c:v>19.69188975613292</c:v>
                </c:pt>
                <c:pt idx="7">
                  <c:v>21.657724833097031</c:v>
                </c:pt>
                <c:pt idx="8">
                  <c:v>24.23606478135892</c:v>
                </c:pt>
                <c:pt idx="9">
                  <c:v>27.70086663539956</c:v>
                </c:pt>
                <c:pt idx="10">
                  <c:v>32.139399475942959</c:v>
                </c:pt>
                <c:pt idx="11">
                  <c:v>37.254854000716279</c:v>
                </c:pt>
                <c:pt idx="12">
                  <c:v>42.374268411526039</c:v>
                </c:pt>
                <c:pt idx="13">
                  <c:v>46.792126301386546</c:v>
                </c:pt>
                <c:pt idx="14">
                  <c:v>50.143900134846632</c:v>
                </c:pt>
                <c:pt idx="15">
                  <c:v>52.458482805722767</c:v>
                </c:pt>
                <c:pt idx="16">
                  <c:v>53.96903124213614</c:v>
                </c:pt>
                <c:pt idx="17">
                  <c:v>54.93242741070187</c:v>
                </c:pt>
                <c:pt idx="18">
                  <c:v>55.549843248108552</c:v>
                </c:pt>
                <c:pt idx="19">
                  <c:v>55.956600625713449</c:v>
                </c:pt>
                <c:pt idx="20">
                  <c:v>56.236923139553426</c:v>
                </c:pt>
              </c:numCache>
            </c:numRef>
          </c:val>
          <c:smooth val="0"/>
          <c:extLst>
            <c:ext xmlns:c16="http://schemas.microsoft.com/office/drawing/2014/chart" uri="{C3380CC4-5D6E-409C-BE32-E72D297353CC}">
              <c16:uniqueId val="{00000000-7B23-40D0-BD0C-A1D7D9E74882}"/>
            </c:ext>
          </c:extLst>
        </c:ser>
        <c:dLbls>
          <c:showLegendKey val="0"/>
          <c:showVal val="0"/>
          <c:showCatName val="0"/>
          <c:showSerName val="0"/>
          <c:showPercent val="0"/>
          <c:showBubbleSize val="0"/>
        </c:dLbls>
        <c:smooth val="0"/>
        <c:axId val="1817740783"/>
        <c:axId val="1817745775"/>
      </c:lineChart>
      <c:catAx>
        <c:axId val="18177407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(yr)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745775"/>
        <c:crosses val="autoZero"/>
        <c:auto val="1"/>
        <c:lblAlgn val="ctr"/>
        <c:lblOffset val="100"/>
        <c:noMultiLvlLbl val="0"/>
      </c:catAx>
      <c:valAx>
        <c:axId val="18177457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Weight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74078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Weight vs.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spPr>
            <a:ln w="28575" cap="rnd">
              <a:solidFill>
                <a:schemeClr val="accent6">
                  <a:lumMod val="50000"/>
                </a:schemeClr>
              </a:solidFill>
              <a:round/>
            </a:ln>
            <a:effectLst/>
          </c:spPr>
          <c:marker>
            <c:symbol val="none"/>
          </c:marker>
          <c:val>
            <c:numRef>
              <c:f>Lookup!$CP$3:$CP$102</c:f>
              <c:numCache>
                <c:formatCode>General</c:formatCode>
                <c:ptCount val="100"/>
                <c:pt idx="0">
                  <c:v>3.3565723793677202</c:v>
                </c:pt>
                <c:pt idx="1">
                  <c:v>8.900707449004944</c:v>
                </c:pt>
                <c:pt idx="2">
                  <c:v>12.279092921852012</c:v>
                </c:pt>
                <c:pt idx="3">
                  <c:v>14.617917414340456</c:v>
                </c:pt>
                <c:pt idx="4">
                  <c:v>16.433990817066771</c:v>
                </c:pt>
                <c:pt idx="5">
                  <c:v>18.039933898875297</c:v>
                </c:pt>
                <c:pt idx="6">
                  <c:v>19.69188975613292</c:v>
                </c:pt>
                <c:pt idx="7">
                  <c:v>21.657724833097031</c:v>
                </c:pt>
                <c:pt idx="8">
                  <c:v>24.23606478135892</c:v>
                </c:pt>
                <c:pt idx="9">
                  <c:v>27.70086663539956</c:v>
                </c:pt>
                <c:pt idx="10">
                  <c:v>32.139399475942959</c:v>
                </c:pt>
                <c:pt idx="11">
                  <c:v>37.254854000716279</c:v>
                </c:pt>
                <c:pt idx="12">
                  <c:v>42.374268411526039</c:v>
                </c:pt>
                <c:pt idx="13">
                  <c:v>46.792126301386546</c:v>
                </c:pt>
                <c:pt idx="14">
                  <c:v>50.143900134846632</c:v>
                </c:pt>
                <c:pt idx="15">
                  <c:v>52.458482805722767</c:v>
                </c:pt>
                <c:pt idx="16">
                  <c:v>53.96903124213614</c:v>
                </c:pt>
                <c:pt idx="17">
                  <c:v>54.93242741070187</c:v>
                </c:pt>
                <c:pt idx="18">
                  <c:v>55.549843248108552</c:v>
                </c:pt>
                <c:pt idx="19">
                  <c:v>55.956600625713449</c:v>
                </c:pt>
                <c:pt idx="20">
                  <c:v>56.236923139553426</c:v>
                </c:pt>
                <c:pt idx="21">
                  <c:v>56.441164314223386</c:v>
                </c:pt>
                <c:pt idx="22">
                  <c:v>56.598855160839975</c:v>
                </c:pt>
                <c:pt idx="23">
                  <c:v>56.727207925314133</c:v>
                </c:pt>
                <c:pt idx="24">
                  <c:v>56.836286921919296</c:v>
                </c:pt>
                <c:pt idx="25">
                  <c:v>56.932044377801944</c:v>
                </c:pt>
                <c:pt idx="26">
                  <c:v>57.018070914336477</c:v>
                </c:pt>
                <c:pt idx="27">
                  <c:v>57.096596019994934</c:v>
                </c:pt>
                <c:pt idx="28">
                  <c:v>57.169057959576925</c:v>
                </c:pt>
                <c:pt idx="29">
                  <c:v>57.236428548849517</c:v>
                </c:pt>
                <c:pt idx="30">
                  <c:v>57.299398886927264</c:v>
                </c:pt>
                <c:pt idx="31">
                  <c:v>57.358486290768852</c:v>
                </c:pt>
                <c:pt idx="32">
                  <c:v>57.414096516079979</c:v>
                </c:pt>
                <c:pt idx="33">
                  <c:v>57.466560522565501</c:v>
                </c:pt>
                <c:pt idx="34">
                  <c:v>57.516156667246989</c:v>
                </c:pt>
                <c:pt idx="35">
                  <c:v>57.563124486591093</c:v>
                </c:pt>
                <c:pt idx="36">
                  <c:v>57.607673565070215</c:v>
                </c:pt>
                <c:pt idx="37">
                  <c:v>57.649989485025031</c:v>
                </c:pt>
                <c:pt idx="38">
                  <c:v>57.6902380033345</c:v>
                </c:pt>
                <c:pt idx="39">
                  <c:v>57.72856811905978</c:v>
                </c:pt>
                <c:pt idx="40">
                  <c:v>57.765114422369834</c:v>
                </c:pt>
                <c:pt idx="41">
                  <c:v>57.799998958355502</c:v>
                </c:pt>
                <c:pt idx="42">
                  <c:v>57.833332748950681</c:v>
                </c:pt>
                <c:pt idx="43">
                  <c:v>57.865217063454409</c:v>
                </c:pt>
                <c:pt idx="44">
                  <c:v>57.895744496920926</c:v>
                </c:pt>
                <c:pt idx="45">
                  <c:v>57.924999896811642</c:v>
                </c:pt>
                <c:pt idx="46">
                  <c:v>57.953061166599142</c:v>
                </c:pt>
                <c:pt idx="47">
                  <c:v>57.979999967522218</c:v>
                </c:pt>
                <c:pt idx="48">
                  <c:v>58.005882334720518</c:v>
                </c:pt>
                <c:pt idx="49">
                  <c:v>58.030769220547086</c:v>
                </c:pt>
                <c:pt idx="50">
                  <c:v>58.054716975397255</c:v>
                </c:pt>
                <c:pt idx="51">
                  <c:v>58.077777774560445</c:v>
                </c:pt>
                <c:pt idx="52">
                  <c:v>58.09999999819501</c:v>
                </c:pt>
                <c:pt idx="53">
                  <c:v>58.121428570415944</c:v>
                </c:pt>
                <c:pt idx="54">
                  <c:v>58.142105262589787</c:v>
                </c:pt>
                <c:pt idx="55">
                  <c:v>58.162068965198522</c:v>
                </c:pt>
                <c:pt idx="56">
                  <c:v>58.181355932024587</c:v>
                </c:pt>
                <c:pt idx="57">
                  <c:v>58.199999999899688</c:v>
                </c:pt>
                <c:pt idx="58">
                  <c:v>58.218032786828964</c:v>
                </c:pt>
                <c:pt idx="59">
                  <c:v>58.235483870936172</c:v>
                </c:pt>
                <c:pt idx="60">
                  <c:v>58.252380952363239</c:v>
                </c:pt>
                <c:pt idx="61">
                  <c:v>58.268749999990064</c:v>
                </c:pt>
                <c:pt idx="62">
                  <c:v>58.284615384609815</c:v>
                </c:pt>
                <c:pt idx="63">
                  <c:v>58.299999999996871</c:v>
                </c:pt>
                <c:pt idx="64">
                  <c:v>58.314925373132581</c:v>
                </c:pt>
                <c:pt idx="65">
                  <c:v>58.329411764704901</c:v>
                </c:pt>
                <c:pt idx="66">
                  <c:v>58.343478260869013</c:v>
                </c:pt>
                <c:pt idx="67">
                  <c:v>58.357142857142549</c:v>
                </c:pt>
                <c:pt idx="68">
                  <c:v>58.370422535211098</c:v>
                </c:pt>
                <c:pt idx="69">
                  <c:v>58.383333333333233</c:v>
                </c:pt>
                <c:pt idx="70">
                  <c:v>58.395890410958856</c:v>
                </c:pt>
                <c:pt idx="71">
                  <c:v>58.408108108108081</c:v>
                </c:pt>
                <c:pt idx="72">
                  <c:v>58.419999999999987</c:v>
                </c:pt>
                <c:pt idx="73">
                  <c:v>58.431578947368415</c:v>
                </c:pt>
                <c:pt idx="74">
                  <c:v>58.442857142857136</c:v>
                </c:pt>
                <c:pt idx="75">
                  <c:v>58.453846153846158</c:v>
                </c:pt>
                <c:pt idx="76">
                  <c:v>58.464556962025313</c:v>
                </c:pt>
                <c:pt idx="77">
                  <c:v>58.475000000000001</c:v>
                </c:pt>
                <c:pt idx="78">
                  <c:v>58.485185185185188</c:v>
                </c:pt>
                <c:pt idx="79">
                  <c:v>58.495121951219517</c:v>
                </c:pt>
                <c:pt idx="80">
                  <c:v>58.504819277108439</c:v>
                </c:pt>
                <c:pt idx="81">
                  <c:v>58.51428571428572</c:v>
                </c:pt>
                <c:pt idx="82">
                  <c:v>58.523529411764706</c:v>
                </c:pt>
                <c:pt idx="83">
                  <c:v>58.532558139534885</c:v>
                </c:pt>
                <c:pt idx="84">
                  <c:v>58.54137931034483</c:v>
                </c:pt>
                <c:pt idx="85">
                  <c:v>58.55</c:v>
                </c:pt>
                <c:pt idx="86">
                  <c:v>58.558426966292132</c:v>
                </c:pt>
                <c:pt idx="87">
                  <c:v>58.566666666666663</c:v>
                </c:pt>
                <c:pt idx="88">
                  <c:v>58.574725274725274</c:v>
                </c:pt>
                <c:pt idx="89">
                  <c:v>58.582608695652176</c:v>
                </c:pt>
                <c:pt idx="90">
                  <c:v>58.590322580645164</c:v>
                </c:pt>
                <c:pt idx="91">
                  <c:v>58.597872340425532</c:v>
                </c:pt>
                <c:pt idx="92">
                  <c:v>58.60526315789474</c:v>
                </c:pt>
                <c:pt idx="93">
                  <c:v>58.612499999999997</c:v>
                </c:pt>
                <c:pt idx="94">
                  <c:v>58.619587628865979</c:v>
                </c:pt>
                <c:pt idx="95">
                  <c:v>58.626530612244899</c:v>
                </c:pt>
                <c:pt idx="96">
                  <c:v>58.633333333333333</c:v>
                </c:pt>
                <c:pt idx="97">
                  <c:v>58.64</c:v>
                </c:pt>
                <c:pt idx="98">
                  <c:v>58.646534653465352</c:v>
                </c:pt>
                <c:pt idx="99">
                  <c:v>58.652941176470591</c:v>
                </c:pt>
              </c:numCache>
            </c:numRef>
          </c:val>
          <c:smooth val="0"/>
          <c:extLst>
            <c:ext xmlns:c16="http://schemas.microsoft.com/office/drawing/2014/chart" uri="{C3380CC4-5D6E-409C-BE32-E72D297353CC}">
              <c16:uniqueId val="{00000002-55BF-4639-A4B1-DCD0A2006BF0}"/>
            </c:ext>
          </c:extLst>
        </c:ser>
        <c:dLbls>
          <c:showLegendKey val="0"/>
          <c:showVal val="0"/>
          <c:showCatName val="0"/>
          <c:showSerName val="0"/>
          <c:showPercent val="0"/>
          <c:showBubbleSize val="0"/>
        </c:dLbls>
        <c:smooth val="0"/>
        <c:axId val="1817740783"/>
        <c:axId val="1817745775"/>
      </c:lineChart>
      <c:catAx>
        <c:axId val="18177407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(yr)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745775"/>
        <c:crosses val="autoZero"/>
        <c:auto val="1"/>
        <c:lblAlgn val="ctr"/>
        <c:lblOffset val="100"/>
        <c:tickLblSkip val="10"/>
        <c:noMultiLvlLbl val="0"/>
      </c:catAx>
      <c:valAx>
        <c:axId val="18177457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Weight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74078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Lookup!$CC$3"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sv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sv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19.svg"/></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17.sv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9.svg"/><Relationship Id="rId1" Type="http://schemas.openxmlformats.org/officeDocument/2006/relationships/image" Target="../media/image18.png"/><Relationship Id="rId4" Type="http://schemas.openxmlformats.org/officeDocument/2006/relationships/image" Target="../media/image17.svg"/></Relationships>
</file>

<file path=xl/drawings/_rels/drawing5.xml.rels><?xml version="1.0" encoding="UTF-8" standalone="yes"?>
<Relationships xmlns="http://schemas.openxmlformats.org/package/2006/relationships"><Relationship Id="rId8" Type="http://schemas.openxmlformats.org/officeDocument/2006/relationships/image" Target="../media/image27.svg"/><Relationship Id="rId3" Type="http://schemas.openxmlformats.org/officeDocument/2006/relationships/image" Target="../media/image22.png"/><Relationship Id="rId7" Type="http://schemas.openxmlformats.org/officeDocument/2006/relationships/image" Target="../media/image26.png"/><Relationship Id="rId12" Type="http://schemas.openxmlformats.org/officeDocument/2006/relationships/image" Target="../media/image31.svg"/><Relationship Id="rId2" Type="http://schemas.openxmlformats.org/officeDocument/2006/relationships/image" Target="../media/image21.svg"/><Relationship Id="rId1" Type="http://schemas.openxmlformats.org/officeDocument/2006/relationships/image" Target="../media/image20.png"/><Relationship Id="rId6" Type="http://schemas.openxmlformats.org/officeDocument/2006/relationships/image" Target="../media/image25.png"/><Relationship Id="rId11" Type="http://schemas.openxmlformats.org/officeDocument/2006/relationships/image" Target="../media/image30.png"/><Relationship Id="rId5" Type="http://schemas.openxmlformats.org/officeDocument/2006/relationships/image" Target="../media/image24.png"/><Relationship Id="rId10" Type="http://schemas.openxmlformats.org/officeDocument/2006/relationships/image" Target="../media/image29.svg"/><Relationship Id="rId4" Type="http://schemas.openxmlformats.org/officeDocument/2006/relationships/image" Target="../media/image23.png"/><Relationship Id="rId9" Type="http://schemas.openxmlformats.org/officeDocument/2006/relationships/image" Target="../media/image28.png"/></Relationships>
</file>

<file path=xl/drawings/_rels/drawing7.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svg"/><Relationship Id="rId1" Type="http://schemas.openxmlformats.org/officeDocument/2006/relationships/image" Target="../media/image20.png"/><Relationship Id="rId6" Type="http://schemas.openxmlformats.org/officeDocument/2006/relationships/image" Target="../media/image36.svg"/><Relationship Id="rId5" Type="http://schemas.openxmlformats.org/officeDocument/2006/relationships/image" Target="../media/image35.png"/><Relationship Id="rId4" Type="http://schemas.openxmlformats.org/officeDocument/2006/relationships/image" Target="../media/image34.svg"/></Relationships>
</file>

<file path=xl/drawings/drawing1.xml><?xml version="1.0" encoding="utf-8"?>
<xdr:wsDr xmlns:xdr="http://schemas.openxmlformats.org/drawingml/2006/spreadsheetDrawing" xmlns:a="http://schemas.openxmlformats.org/drawingml/2006/main">
  <xdr:twoCellAnchor>
    <xdr:from>
      <xdr:col>6</xdr:col>
      <xdr:colOff>53252</xdr:colOff>
      <xdr:row>17</xdr:row>
      <xdr:rowOff>60614</xdr:rowOff>
    </xdr:from>
    <xdr:to>
      <xdr:col>10</xdr:col>
      <xdr:colOff>251511</xdr:colOff>
      <xdr:row>18</xdr:row>
      <xdr:rowOff>242456</xdr:rowOff>
    </xdr:to>
    <xdr:sp macro="[0]!Sheet19.Go2GrowthParams_Click" textlink="">
      <xdr:nvSpPr>
        <xdr:cNvPr id="24" name="GotoGrowthParams_new" descr="Go to growth parameters button" hidden="1">
          <a:extLst>
            <a:ext uri="{FF2B5EF4-FFF2-40B4-BE49-F238E27FC236}">
              <a16:creationId xmlns:a16="http://schemas.microsoft.com/office/drawing/2014/main" id="{00000000-0008-0000-0000-000018000000}"/>
            </a:ext>
          </a:extLst>
        </xdr:cNvPr>
        <xdr:cNvSpPr/>
      </xdr:nvSpPr>
      <xdr:spPr>
        <a:xfrm>
          <a:off x="5187227" y="3432464"/>
          <a:ext cx="2617609" cy="277092"/>
        </a:xfrm>
        <a:prstGeom prst="rect">
          <a:avLst/>
        </a:prstGeom>
        <a:solidFill>
          <a:schemeClr val="accent6">
            <a:lumMod val="50000"/>
          </a:schemeClr>
        </a:solidFill>
        <a:ln/>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400"/>
            <a:t>Go to Growth Parameters</a:t>
          </a:r>
        </a:p>
      </xdr:txBody>
    </xdr:sp>
    <xdr:clientData/>
  </xdr:twoCellAnchor>
  <xdr:twoCellAnchor>
    <xdr:from>
      <xdr:col>6</xdr:col>
      <xdr:colOff>53252</xdr:colOff>
      <xdr:row>19</xdr:row>
      <xdr:rowOff>22515</xdr:rowOff>
    </xdr:from>
    <xdr:to>
      <xdr:col>10</xdr:col>
      <xdr:colOff>251511</xdr:colOff>
      <xdr:row>20</xdr:row>
      <xdr:rowOff>22516</xdr:rowOff>
    </xdr:to>
    <xdr:sp macro="[0]!Sheet19.Go2PhysParams_Click" textlink="">
      <xdr:nvSpPr>
        <xdr:cNvPr id="25" name="Go2PhysParams_new" descr="Go to physiological parameters button" hidden="1">
          <a:extLst>
            <a:ext uri="{FF2B5EF4-FFF2-40B4-BE49-F238E27FC236}">
              <a16:creationId xmlns:a16="http://schemas.microsoft.com/office/drawing/2014/main" id="{00000000-0008-0000-0000-000019000000}"/>
            </a:ext>
          </a:extLst>
        </xdr:cNvPr>
        <xdr:cNvSpPr/>
      </xdr:nvSpPr>
      <xdr:spPr>
        <a:xfrm>
          <a:off x="5187227" y="3756315"/>
          <a:ext cx="2617609" cy="276226"/>
        </a:xfrm>
        <a:prstGeom prst="rect">
          <a:avLst/>
        </a:prstGeom>
        <a:solidFill>
          <a:schemeClr val="accent6">
            <a:lumMod val="50000"/>
          </a:schemeClr>
        </a:solidFill>
        <a:ln/>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400"/>
            <a:t>Go to Physiological</a:t>
          </a:r>
          <a:r>
            <a:rPr lang="en-US" sz="1400" baseline="0"/>
            <a:t> </a:t>
          </a:r>
          <a:r>
            <a:rPr lang="en-US" sz="1400"/>
            <a:t>Parameters</a:t>
          </a:r>
        </a:p>
      </xdr:txBody>
    </xdr:sp>
    <xdr:clientData/>
  </xdr:twoCellAnchor>
  <xdr:twoCellAnchor>
    <xdr:from>
      <xdr:col>5</xdr:col>
      <xdr:colOff>38965</xdr:colOff>
      <xdr:row>8</xdr:row>
      <xdr:rowOff>99764</xdr:rowOff>
    </xdr:from>
    <xdr:to>
      <xdr:col>5</xdr:col>
      <xdr:colOff>313285</xdr:colOff>
      <xdr:row>10</xdr:row>
      <xdr:rowOff>6213</xdr:rowOff>
    </xdr:to>
    <xdr:pic macro="[0]!Sheet19.InfoTimesteps_Click">
      <xdr:nvPicPr>
        <xdr:cNvPr id="4" name="Graphic 3" descr="Badge Question Mark outline">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77807" y="2018132"/>
          <a:ext cx="274320" cy="280765"/>
        </a:xfrm>
        <a:prstGeom prst="rect">
          <a:avLst/>
        </a:prstGeom>
      </xdr:spPr>
    </xdr:pic>
    <xdr:clientData/>
  </xdr:twoCellAnchor>
  <xdr:twoCellAnchor>
    <xdr:from>
      <xdr:col>5</xdr:col>
      <xdr:colOff>38965</xdr:colOff>
      <xdr:row>10</xdr:row>
      <xdr:rowOff>9105</xdr:rowOff>
    </xdr:from>
    <xdr:to>
      <xdr:col>5</xdr:col>
      <xdr:colOff>313285</xdr:colOff>
      <xdr:row>10</xdr:row>
      <xdr:rowOff>283425</xdr:rowOff>
    </xdr:to>
    <xdr:pic macro="[0]!Sheet19.InfoTimeOut_Click">
      <xdr:nvPicPr>
        <xdr:cNvPr id="28" name="Graphic 27" descr="Badge Question Mark outline">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83536" y="2299641"/>
          <a:ext cx="274320" cy="274320"/>
        </a:xfrm>
        <a:prstGeom prst="rect">
          <a:avLst/>
        </a:prstGeom>
      </xdr:spPr>
    </xdr:pic>
    <xdr:clientData/>
  </xdr:twoCellAnchor>
  <xdr:twoCellAnchor>
    <xdr:from>
      <xdr:col>5</xdr:col>
      <xdr:colOff>39766</xdr:colOff>
      <xdr:row>11</xdr:row>
      <xdr:rowOff>10224</xdr:rowOff>
    </xdr:from>
    <xdr:to>
      <xdr:col>5</xdr:col>
      <xdr:colOff>314086</xdr:colOff>
      <xdr:row>11</xdr:row>
      <xdr:rowOff>282704</xdr:rowOff>
    </xdr:to>
    <xdr:pic macro="[0]!Sheet19.InfoAgeStart_Click">
      <xdr:nvPicPr>
        <xdr:cNvPr id="29" name="Graphic 28" descr="Badge Question Mark outline">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78608" y="2590329"/>
          <a:ext cx="274320" cy="272480"/>
        </a:xfrm>
        <a:prstGeom prst="rect">
          <a:avLst/>
        </a:prstGeom>
      </xdr:spPr>
    </xdr:pic>
    <xdr:clientData/>
  </xdr:twoCellAnchor>
  <xdr:twoCellAnchor editAs="oneCell">
    <xdr:from>
      <xdr:col>5</xdr:col>
      <xdr:colOff>40567</xdr:colOff>
      <xdr:row>13</xdr:row>
      <xdr:rowOff>12123</xdr:rowOff>
    </xdr:from>
    <xdr:to>
      <xdr:col>5</xdr:col>
      <xdr:colOff>314887</xdr:colOff>
      <xdr:row>14</xdr:row>
      <xdr:rowOff>693</xdr:rowOff>
    </xdr:to>
    <xdr:pic macro="[0]!Sheet19.InfoSex_Click">
      <xdr:nvPicPr>
        <xdr:cNvPr id="31" name="Graphic 30" descr="Badge Question Mark outline">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79802" y="3160976"/>
          <a:ext cx="274320" cy="276188"/>
        </a:xfrm>
        <a:prstGeom prst="rect">
          <a:avLst/>
        </a:prstGeom>
      </xdr:spPr>
    </xdr:pic>
    <xdr:clientData/>
  </xdr:twoCellAnchor>
  <xdr:twoCellAnchor editAs="oneCell">
    <xdr:from>
      <xdr:col>5</xdr:col>
      <xdr:colOff>51953</xdr:colOff>
      <xdr:row>17</xdr:row>
      <xdr:rowOff>99748</xdr:rowOff>
    </xdr:from>
    <xdr:to>
      <xdr:col>5</xdr:col>
      <xdr:colOff>326273</xdr:colOff>
      <xdr:row>19</xdr:row>
      <xdr:rowOff>6675</xdr:rowOff>
    </xdr:to>
    <xdr:pic macro="[0]!Sheet19.InfoGrowParam_Click">
      <xdr:nvPicPr>
        <xdr:cNvPr id="32" name="Graphic 31" descr="Badge Question Mark outline">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96524" y="4045819"/>
          <a:ext cx="274320" cy="274320"/>
        </a:xfrm>
        <a:prstGeom prst="rect">
          <a:avLst/>
        </a:prstGeom>
      </xdr:spPr>
    </xdr:pic>
    <xdr:clientData/>
  </xdr:twoCellAnchor>
  <xdr:twoCellAnchor editAs="oneCell">
    <xdr:from>
      <xdr:col>5</xdr:col>
      <xdr:colOff>51953</xdr:colOff>
      <xdr:row>19</xdr:row>
      <xdr:rowOff>3712</xdr:rowOff>
    </xdr:from>
    <xdr:to>
      <xdr:col>5</xdr:col>
      <xdr:colOff>326273</xdr:colOff>
      <xdr:row>20</xdr:row>
      <xdr:rowOff>12239</xdr:rowOff>
    </xdr:to>
    <xdr:pic macro="[0]!Sheet19.InfoPhysParam_Click">
      <xdr:nvPicPr>
        <xdr:cNvPr id="33" name="Graphic 32" descr="Badge Question Mark outline">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696524" y="4317176"/>
          <a:ext cx="274320" cy="274320"/>
        </a:xfrm>
        <a:prstGeom prst="rect">
          <a:avLst/>
        </a:prstGeom>
      </xdr:spPr>
    </xdr:pic>
    <xdr:clientData/>
  </xdr:twoCellAnchor>
  <xdr:twoCellAnchor editAs="absolute">
    <xdr:from>
      <xdr:col>11</xdr:col>
      <xdr:colOff>905497</xdr:colOff>
      <xdr:row>1</xdr:row>
      <xdr:rowOff>26429</xdr:rowOff>
    </xdr:from>
    <xdr:to>
      <xdr:col>13</xdr:col>
      <xdr:colOff>390867</xdr:colOff>
      <xdr:row>1</xdr:row>
      <xdr:rowOff>620558</xdr:rowOff>
    </xdr:to>
    <xdr:grpSp>
      <xdr:nvGrpSpPr>
        <xdr:cNvPr id="5" name="Group 4" descr="Reset button">
          <a:extLst>
            <a:ext uri="{FF2B5EF4-FFF2-40B4-BE49-F238E27FC236}">
              <a16:creationId xmlns:a16="http://schemas.microsoft.com/office/drawing/2014/main" id="{00000000-0008-0000-0000-000005000000}"/>
            </a:ext>
          </a:extLst>
        </xdr:cNvPr>
        <xdr:cNvGrpSpPr/>
      </xdr:nvGrpSpPr>
      <xdr:grpSpPr>
        <a:xfrm>
          <a:off x="9589122" y="105804"/>
          <a:ext cx="1095095" cy="587779"/>
          <a:chOff x="7559386" y="900545"/>
          <a:chExt cx="1021773" cy="580159"/>
        </a:xfrm>
      </xdr:grpSpPr>
      <xdr:sp macro="[0]!Sheet19.ResetSimControl_Click" textlink="">
        <xdr:nvSpPr>
          <xdr:cNvPr id="35" name="Rectangle 34">
            <a:extLst>
              <a:ext uri="{FF2B5EF4-FFF2-40B4-BE49-F238E27FC236}">
                <a16:creationId xmlns:a16="http://schemas.microsoft.com/office/drawing/2014/main" id="{00000000-0008-0000-0000-000023000000}"/>
              </a:ext>
            </a:extLst>
          </xdr:cNvPr>
          <xdr:cNvSpPr/>
        </xdr:nvSpPr>
        <xdr:spPr>
          <a:xfrm>
            <a:off x="7559386" y="900545"/>
            <a:ext cx="1021773" cy="580159"/>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ysClr val="windowText" lastClr="000000"/>
                </a:solidFill>
              </a:rPr>
              <a:t>Reset</a:t>
            </a:r>
          </a:p>
        </xdr:txBody>
      </xdr:sp>
      <xdr:pic macro="[0]!TimeInd_Default">
        <xdr:nvPicPr>
          <xdr:cNvPr id="36" name="Graphic 35" descr="Line arrow: Rotate left with solid fill">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885295" y="900545"/>
            <a:ext cx="343527" cy="370921"/>
          </a:xfrm>
          <a:prstGeom prst="rect">
            <a:avLst/>
          </a:prstGeom>
        </xdr:spPr>
      </xdr:pic>
    </xdr:grpSp>
    <xdr:clientData/>
  </xdr:twoCellAnchor>
  <xdr:twoCellAnchor editAs="oneCell">
    <xdr:from>
      <xdr:col>7</xdr:col>
      <xdr:colOff>15585</xdr:colOff>
      <xdr:row>24</xdr:row>
      <xdr:rowOff>712647</xdr:rowOff>
    </xdr:from>
    <xdr:to>
      <xdr:col>7</xdr:col>
      <xdr:colOff>296255</xdr:colOff>
      <xdr:row>26</xdr:row>
      <xdr:rowOff>2717</xdr:rowOff>
    </xdr:to>
    <xdr:pic macro="[0]!Sheet19.InfoSoil_Click">
      <xdr:nvPicPr>
        <xdr:cNvPr id="38" name="Graphic 37" descr="Badge Question Mark outline">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320228" y="5892433"/>
          <a:ext cx="274320" cy="274320"/>
        </a:xfrm>
        <a:prstGeom prst="rect">
          <a:avLst/>
        </a:prstGeom>
      </xdr:spPr>
    </xdr:pic>
    <xdr:clientData/>
  </xdr:twoCellAnchor>
  <xdr:twoCellAnchor editAs="oneCell">
    <xdr:from>
      <xdr:col>7</xdr:col>
      <xdr:colOff>15585</xdr:colOff>
      <xdr:row>25</xdr:row>
      <xdr:rowOff>255445</xdr:rowOff>
    </xdr:from>
    <xdr:to>
      <xdr:col>7</xdr:col>
      <xdr:colOff>296255</xdr:colOff>
      <xdr:row>27</xdr:row>
      <xdr:rowOff>12693</xdr:rowOff>
    </xdr:to>
    <xdr:pic macro="[0]!Sheet19.InfoDust_Click">
      <xdr:nvPicPr>
        <xdr:cNvPr id="39" name="Graphic 38" descr="Badge Question Mark outline">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320228" y="6165481"/>
          <a:ext cx="274320" cy="274320"/>
        </a:xfrm>
        <a:prstGeom prst="rect">
          <a:avLst/>
        </a:prstGeom>
      </xdr:spPr>
    </xdr:pic>
    <xdr:clientData/>
  </xdr:twoCellAnchor>
  <xdr:twoCellAnchor editAs="oneCell">
    <xdr:from>
      <xdr:col>7</xdr:col>
      <xdr:colOff>15585</xdr:colOff>
      <xdr:row>26</xdr:row>
      <xdr:rowOff>245293</xdr:rowOff>
    </xdr:from>
    <xdr:to>
      <xdr:col>7</xdr:col>
      <xdr:colOff>296255</xdr:colOff>
      <xdr:row>28</xdr:row>
      <xdr:rowOff>9926</xdr:rowOff>
    </xdr:to>
    <xdr:pic macro="[0]!Sheet19.InfoWater_Click">
      <xdr:nvPicPr>
        <xdr:cNvPr id="40" name="Graphic 39" descr="Badge Question Mark outline">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320228" y="6413864"/>
          <a:ext cx="274320" cy="275355"/>
        </a:xfrm>
        <a:prstGeom prst="rect">
          <a:avLst/>
        </a:prstGeom>
      </xdr:spPr>
    </xdr:pic>
    <xdr:clientData/>
  </xdr:twoCellAnchor>
  <xdr:twoCellAnchor editAs="oneCell">
    <xdr:from>
      <xdr:col>7</xdr:col>
      <xdr:colOff>15585</xdr:colOff>
      <xdr:row>27</xdr:row>
      <xdr:rowOff>242454</xdr:rowOff>
    </xdr:from>
    <xdr:to>
      <xdr:col>7</xdr:col>
      <xdr:colOff>296255</xdr:colOff>
      <xdr:row>29</xdr:row>
      <xdr:rowOff>1063</xdr:rowOff>
    </xdr:to>
    <xdr:pic macro="[0]!Sheet19.InfoAir_Click">
      <xdr:nvPicPr>
        <xdr:cNvPr id="41" name="Graphic 40" descr="Badge Question Mark outline">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320228" y="6669561"/>
          <a:ext cx="274320" cy="274320"/>
        </a:xfrm>
        <a:prstGeom prst="rect">
          <a:avLst/>
        </a:prstGeom>
      </xdr:spPr>
    </xdr:pic>
    <xdr:clientData/>
  </xdr:twoCellAnchor>
  <xdr:twoCellAnchor editAs="oneCell">
    <xdr:from>
      <xdr:col>7</xdr:col>
      <xdr:colOff>15585</xdr:colOff>
      <xdr:row>28</xdr:row>
      <xdr:rowOff>239615</xdr:rowOff>
    </xdr:from>
    <xdr:to>
      <xdr:col>7</xdr:col>
      <xdr:colOff>296255</xdr:colOff>
      <xdr:row>30</xdr:row>
      <xdr:rowOff>8657</xdr:rowOff>
    </xdr:to>
    <xdr:pic macro="[0]!Sheet19.InfoFood_Click">
      <xdr:nvPicPr>
        <xdr:cNvPr id="42" name="Graphic 41" descr="Badge Question Mark outline">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320228" y="6925258"/>
          <a:ext cx="274320" cy="274320"/>
        </a:xfrm>
        <a:prstGeom prst="rect">
          <a:avLst/>
        </a:prstGeom>
      </xdr:spPr>
    </xdr:pic>
    <xdr:clientData/>
  </xdr:twoCellAnchor>
  <xdr:twoCellAnchor editAs="oneCell">
    <xdr:from>
      <xdr:col>7</xdr:col>
      <xdr:colOff>15585</xdr:colOff>
      <xdr:row>30</xdr:row>
      <xdr:rowOff>7796</xdr:rowOff>
    </xdr:from>
    <xdr:to>
      <xdr:col>7</xdr:col>
      <xdr:colOff>296255</xdr:colOff>
      <xdr:row>31</xdr:row>
      <xdr:rowOff>29930</xdr:rowOff>
    </xdr:to>
    <xdr:pic macro="[0]!Sheet19.InfoOther_Click">
      <xdr:nvPicPr>
        <xdr:cNvPr id="43" name="Graphic 42" descr="Badge Question Mark outline">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320228" y="7192367"/>
          <a:ext cx="274320" cy="274320"/>
        </a:xfrm>
        <a:prstGeom prst="rect">
          <a:avLst/>
        </a:prstGeom>
      </xdr:spPr>
    </xdr:pic>
    <xdr:clientData/>
  </xdr:twoCellAnchor>
  <xdr:twoCellAnchor editAs="oneCell">
    <xdr:from>
      <xdr:col>5</xdr:col>
      <xdr:colOff>25337</xdr:colOff>
      <xdr:row>32</xdr:row>
      <xdr:rowOff>16525</xdr:rowOff>
    </xdr:from>
    <xdr:to>
      <xdr:col>5</xdr:col>
      <xdr:colOff>293307</xdr:colOff>
      <xdr:row>32</xdr:row>
      <xdr:rowOff>295532</xdr:rowOff>
    </xdr:to>
    <xdr:pic macro="[0]!Sheet19.InfoSolutionType_Click">
      <xdr:nvPicPr>
        <xdr:cNvPr id="44" name="Graphic 43" descr="Badge Question Mark outline">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669908" y="7663739"/>
          <a:ext cx="274320" cy="272657"/>
        </a:xfrm>
        <a:prstGeom prst="rect">
          <a:avLst/>
        </a:prstGeom>
      </xdr:spPr>
    </xdr:pic>
    <xdr:clientData/>
  </xdr:twoCellAnchor>
  <xdr:twoCellAnchor editAs="oneCell">
    <xdr:from>
      <xdr:col>5</xdr:col>
      <xdr:colOff>29872</xdr:colOff>
      <xdr:row>32</xdr:row>
      <xdr:rowOff>307833</xdr:rowOff>
    </xdr:from>
    <xdr:to>
      <xdr:col>5</xdr:col>
      <xdr:colOff>304192</xdr:colOff>
      <xdr:row>34</xdr:row>
      <xdr:rowOff>1582</xdr:rowOff>
    </xdr:to>
    <xdr:pic macro="[0]!Sheet19.InfoInterp_Click">
      <xdr:nvPicPr>
        <xdr:cNvPr id="45" name="Graphic 44" descr="Badge Question Mark outline">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674443" y="7955047"/>
          <a:ext cx="274320" cy="274320"/>
        </a:xfrm>
        <a:prstGeom prst="rect">
          <a:avLst/>
        </a:prstGeom>
      </xdr:spPr>
    </xdr:pic>
    <xdr:clientData/>
  </xdr:twoCellAnchor>
  <xdr:twoCellAnchor>
    <xdr:from>
      <xdr:col>9</xdr:col>
      <xdr:colOff>230720</xdr:colOff>
      <xdr:row>24</xdr:row>
      <xdr:rowOff>715241</xdr:rowOff>
    </xdr:from>
    <xdr:to>
      <xdr:col>11</xdr:col>
      <xdr:colOff>462352</xdr:colOff>
      <xdr:row>27</xdr:row>
      <xdr:rowOff>85725</xdr:rowOff>
    </xdr:to>
    <xdr:sp macro="[0]!Sheet19.Go2Media_Click" textlink="">
      <xdr:nvSpPr>
        <xdr:cNvPr id="46" name="Go2Media_new" descr="Go to media button" hidden="1">
          <a:extLst>
            <a:ext uri="{FF2B5EF4-FFF2-40B4-BE49-F238E27FC236}">
              <a16:creationId xmlns:a16="http://schemas.microsoft.com/office/drawing/2014/main" id="{00000000-0008-0000-0000-00002E000000}"/>
            </a:ext>
          </a:extLst>
        </xdr:cNvPr>
        <xdr:cNvSpPr/>
      </xdr:nvSpPr>
      <xdr:spPr>
        <a:xfrm>
          <a:off x="7012520" y="5306291"/>
          <a:ext cx="1736582" cy="608734"/>
        </a:xfrm>
        <a:prstGeom prst="rect">
          <a:avLst/>
        </a:prstGeom>
        <a:solidFill>
          <a:schemeClr val="accent2">
            <a:lumMod val="50000"/>
          </a:schemeClr>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US" sz="1400"/>
            <a:t>Go to Media</a:t>
          </a:r>
        </a:p>
      </xdr:txBody>
    </xdr:sp>
    <xdr:clientData/>
  </xdr:twoCellAnchor>
  <xdr:twoCellAnchor>
    <xdr:from>
      <xdr:col>5</xdr:col>
      <xdr:colOff>66675</xdr:colOff>
      <xdr:row>5</xdr:row>
      <xdr:rowOff>0</xdr:rowOff>
    </xdr:from>
    <xdr:to>
      <xdr:col>6</xdr:col>
      <xdr:colOff>649111</xdr:colOff>
      <xdr:row>5</xdr:row>
      <xdr:rowOff>338667</xdr:rowOff>
    </xdr:to>
    <xdr:sp macro="" textlink="">
      <xdr:nvSpPr>
        <xdr:cNvPr id="3" name="Rectangle 2" descr="Toggle to select 32 or 64 bit executable">
          <a:extLst>
            <a:ext uri="{FF2B5EF4-FFF2-40B4-BE49-F238E27FC236}">
              <a16:creationId xmlns:a16="http://schemas.microsoft.com/office/drawing/2014/main" id="{00000000-0008-0000-0000-000003000000}"/>
            </a:ext>
          </a:extLst>
        </xdr:cNvPr>
        <xdr:cNvSpPr/>
      </xdr:nvSpPr>
      <xdr:spPr>
        <a:xfrm>
          <a:off x="4702175" y="1185333"/>
          <a:ext cx="1316214" cy="338667"/>
        </a:xfrm>
        <a:prstGeom prst="rect">
          <a:avLst/>
        </a:prstGeom>
        <a:solidFill>
          <a:srgbClr val="FFFFD5"/>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5</xdr:col>
          <xdr:colOff>520227</xdr:colOff>
          <xdr:row>4</xdr:row>
          <xdr:rowOff>32547</xdr:rowOff>
        </xdr:from>
        <xdr:to>
          <xdr:col>7</xdr:col>
          <xdr:colOff>197723</xdr:colOff>
          <xdr:row>5</xdr:row>
          <xdr:rowOff>323950</xdr:rowOff>
        </xdr:to>
        <xdr:grpSp>
          <xdr:nvGrpSpPr>
            <xdr:cNvPr id="7" name="Group 6" descr="Select 32 or 64 bit executable toggle">
              <a:extLst>
                <a:ext uri="{FF2B5EF4-FFF2-40B4-BE49-F238E27FC236}">
                  <a16:creationId xmlns:a16="http://schemas.microsoft.com/office/drawing/2014/main" id="{00000000-0008-0000-0000-000007000000}"/>
                </a:ext>
              </a:extLst>
            </xdr:cNvPr>
            <xdr:cNvGrpSpPr/>
          </xdr:nvGrpSpPr>
          <xdr:grpSpPr>
            <a:xfrm>
              <a:off x="5171602" y="1181897"/>
              <a:ext cx="1334846" cy="332678"/>
              <a:chOff x="4543467" y="1185151"/>
              <a:chExt cx="956622" cy="334794"/>
            </a:xfrm>
          </xdr:grpSpPr>
          <xdr:sp macro="" textlink="">
            <xdr:nvSpPr>
              <xdr:cNvPr id="1030" name="Button_32bi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4543467" y="1185151"/>
                <a:ext cx="797161" cy="1874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32-bit exe</a:t>
                </a:r>
              </a:p>
            </xdr:txBody>
          </xdr:sp>
          <xdr:sp macro="" textlink="">
            <xdr:nvSpPr>
              <xdr:cNvPr id="1029" name="Button_64bit"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4543483" y="1332456"/>
                <a:ext cx="956606" cy="1874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64-bit exe</a:t>
                </a:r>
              </a:p>
            </xdr:txBody>
          </xdr:sp>
        </xdr:grpSp>
        <xdr:clientData/>
      </xdr:twoCellAnchor>
    </mc:Choice>
    <mc:Fallback/>
  </mc:AlternateContent>
  <xdr:twoCellAnchor>
    <xdr:from>
      <xdr:col>2</xdr:col>
      <xdr:colOff>1297</xdr:colOff>
      <xdr:row>37</xdr:row>
      <xdr:rowOff>47625</xdr:rowOff>
    </xdr:from>
    <xdr:to>
      <xdr:col>4</xdr:col>
      <xdr:colOff>466725</xdr:colOff>
      <xdr:row>40</xdr:row>
      <xdr:rowOff>142875</xdr:rowOff>
    </xdr:to>
    <xdr:sp macro="[0]!AALM_RunSimulation" textlink="">
      <xdr:nvSpPr>
        <xdr:cNvPr id="34" name="Rectangle 33" descr="Run simulation button">
          <a:extLst>
            <a:ext uri="{FF2B5EF4-FFF2-40B4-BE49-F238E27FC236}">
              <a16:creationId xmlns:a16="http://schemas.microsoft.com/office/drawing/2014/main" id="{00000000-0008-0000-0000-000022000000}"/>
            </a:ext>
          </a:extLst>
        </xdr:cNvPr>
        <xdr:cNvSpPr/>
      </xdr:nvSpPr>
      <xdr:spPr>
        <a:xfrm>
          <a:off x="515647" y="8972550"/>
          <a:ext cx="2579978" cy="581025"/>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400"/>
            <a:t>Run</a:t>
          </a:r>
          <a:r>
            <a:rPr lang="en-US" sz="1400" baseline="0"/>
            <a:t> Simulation</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12</xdr:col>
          <xdr:colOff>381000</xdr:colOff>
          <xdr:row>6</xdr:row>
          <xdr:rowOff>152400</xdr:rowOff>
        </xdr:from>
        <xdr:to>
          <xdr:col>13</xdr:col>
          <xdr:colOff>19050</xdr:colOff>
          <xdr:row>8</xdr:row>
          <xdr:rowOff>6350</xdr:rowOff>
        </xdr:to>
        <xdr:sp macro="" textlink="">
          <xdr:nvSpPr>
            <xdr:cNvPr id="1034" name="Check Box 10" descr="Check box to alter advanced time options"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457200</xdr:colOff>
      <xdr:row>6</xdr:row>
      <xdr:rowOff>171451</xdr:rowOff>
    </xdr:from>
    <xdr:to>
      <xdr:col>12</xdr:col>
      <xdr:colOff>390525</xdr:colOff>
      <xdr:row>8</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143750" y="1704976"/>
          <a:ext cx="2352675"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i="1">
              <a:solidFill>
                <a:schemeClr val="bg1"/>
              </a:solidFill>
            </a:rPr>
            <a:t>Select to see advanced time options:</a:t>
          </a:r>
        </a:p>
      </xdr:txBody>
    </xdr:sp>
    <xdr:clientData/>
  </xdr:twoCellAnchor>
  <xdr:twoCellAnchor editAs="oneCell">
    <xdr:from>
      <xdr:col>5</xdr:col>
      <xdr:colOff>34408</xdr:colOff>
      <xdr:row>34</xdr:row>
      <xdr:rowOff>4165</xdr:rowOff>
    </xdr:from>
    <xdr:to>
      <xdr:col>5</xdr:col>
      <xdr:colOff>315078</xdr:colOff>
      <xdr:row>35</xdr:row>
      <xdr:rowOff>10877</xdr:rowOff>
    </xdr:to>
    <xdr:pic macro="[0]!Sheet19.InfoRBC_Click">
      <xdr:nvPicPr>
        <xdr:cNvPr id="37" name="Graphic 36" descr="Badge Question Mark outline">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678979" y="8231951"/>
          <a:ext cx="274320" cy="274320"/>
        </a:xfrm>
        <a:prstGeom prst="rect">
          <a:avLst/>
        </a:prstGeom>
      </xdr:spPr>
    </xdr:pic>
    <xdr:clientData/>
  </xdr:twoCellAnchor>
  <xdr:twoCellAnchor>
    <xdr:from>
      <xdr:col>5</xdr:col>
      <xdr:colOff>390525</xdr:colOff>
      <xdr:row>31</xdr:row>
      <xdr:rowOff>195263</xdr:rowOff>
    </xdr:from>
    <xdr:to>
      <xdr:col>12</xdr:col>
      <xdr:colOff>600075</xdr:colOff>
      <xdr:row>33</xdr:row>
      <xdr:rowOff>14288</xdr:rowOff>
    </xdr:to>
    <xdr:grpSp>
      <xdr:nvGrpSpPr>
        <xdr:cNvPr id="10" name="Group 9" descr="Reminder for when the Solution Type is set to &quot;Solve for Allowable Concentration&quot; to return to the Media tab to enter associated inputs. " hidden="1">
          <a:extLst>
            <a:ext uri="{FF2B5EF4-FFF2-40B4-BE49-F238E27FC236}">
              <a16:creationId xmlns:a16="http://schemas.microsoft.com/office/drawing/2014/main" id="{00000000-0008-0000-0000-00000A000000}"/>
            </a:ext>
          </a:extLst>
        </xdr:cNvPr>
        <xdr:cNvGrpSpPr/>
      </xdr:nvGrpSpPr>
      <xdr:grpSpPr>
        <a:xfrm>
          <a:off x="5035550" y="6808788"/>
          <a:ext cx="5210175" cy="327025"/>
          <a:chOff x="4819650" y="7034213"/>
          <a:chExt cx="4981575" cy="333375"/>
        </a:xfrm>
      </xdr:grpSpPr>
      <xdr:sp macro="" textlink="">
        <xdr:nvSpPr>
          <xdr:cNvPr id="6" name="Rectangle 5" hidden="1">
            <a:extLst>
              <a:ext uri="{FF2B5EF4-FFF2-40B4-BE49-F238E27FC236}">
                <a16:creationId xmlns:a16="http://schemas.microsoft.com/office/drawing/2014/main" id="{00000000-0008-0000-0000-000006000000}"/>
              </a:ext>
            </a:extLst>
          </xdr:cNvPr>
          <xdr:cNvSpPr/>
        </xdr:nvSpPr>
        <xdr:spPr>
          <a:xfrm>
            <a:off x="5124450" y="7034213"/>
            <a:ext cx="4676775" cy="3333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chemeClr val="accent2">
                    <a:lumMod val="50000"/>
                  </a:schemeClr>
                </a:solidFill>
                <a:latin typeface="Arial" panose="020B0604020202020204" pitchFamily="34" charset="0"/>
                <a:cs typeface="Arial" panose="020B0604020202020204" pitchFamily="34" charset="0"/>
              </a:rPr>
              <a:t>Reminder: return to Media tab</a:t>
            </a:r>
            <a:r>
              <a:rPr lang="en-US" sz="1000" b="1" baseline="0">
                <a:solidFill>
                  <a:schemeClr val="accent2">
                    <a:lumMod val="50000"/>
                  </a:schemeClr>
                </a:solidFill>
                <a:latin typeface="Arial" panose="020B0604020202020204" pitchFamily="34" charset="0"/>
                <a:cs typeface="Arial" panose="020B0604020202020204" pitchFamily="34" charset="0"/>
              </a:rPr>
              <a:t> </a:t>
            </a:r>
            <a:r>
              <a:rPr lang="en-US" sz="1000" b="1">
                <a:solidFill>
                  <a:schemeClr val="accent2">
                    <a:lumMod val="50000"/>
                  </a:schemeClr>
                </a:solidFill>
                <a:latin typeface="Arial" panose="020B0604020202020204" pitchFamily="34" charset="0"/>
                <a:cs typeface="Arial" panose="020B0604020202020204" pitchFamily="34" charset="0"/>
              </a:rPr>
              <a:t>to update Allowable</a:t>
            </a:r>
            <a:r>
              <a:rPr lang="en-US" sz="1000" b="1" baseline="0">
                <a:solidFill>
                  <a:schemeClr val="accent2">
                    <a:lumMod val="50000"/>
                  </a:schemeClr>
                </a:solidFill>
                <a:latin typeface="Arial" panose="020B0604020202020204" pitchFamily="34" charset="0"/>
                <a:cs typeface="Arial" panose="020B0604020202020204" pitchFamily="34" charset="0"/>
              </a:rPr>
              <a:t> Concentration inputs. </a:t>
            </a:r>
            <a:endParaRPr lang="en-US" sz="1000" b="1">
              <a:solidFill>
                <a:schemeClr val="accent2">
                  <a:lumMod val="50000"/>
                </a:schemeClr>
              </a:solidFill>
              <a:latin typeface="Arial" panose="020B0604020202020204" pitchFamily="34" charset="0"/>
              <a:cs typeface="Arial" panose="020B0604020202020204" pitchFamily="34" charset="0"/>
            </a:endParaRPr>
          </a:p>
        </xdr:txBody>
      </xdr:sp>
      <xdr:pic>
        <xdr:nvPicPr>
          <xdr:cNvPr id="9" name="Graphic 8" descr="Chevron arrows with solid fill"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819650" y="7034213"/>
            <a:ext cx="333375" cy="333375"/>
          </a:xfrm>
          <a:prstGeom prst="rect">
            <a:avLst/>
          </a:prstGeom>
        </xdr:spPr>
      </xdr:pic>
    </xdr:grpSp>
    <xdr:clientData/>
  </xdr:twoCellAnchor>
  <xdr:twoCellAnchor>
    <xdr:from>
      <xdr:col>9</xdr:col>
      <xdr:colOff>230331</xdr:colOff>
      <xdr:row>27</xdr:row>
      <xdr:rowOff>191366</xdr:rowOff>
    </xdr:from>
    <xdr:to>
      <xdr:col>11</xdr:col>
      <xdr:colOff>462741</xdr:colOff>
      <xdr:row>29</xdr:row>
      <xdr:rowOff>66675</xdr:rowOff>
    </xdr:to>
    <xdr:sp macro="[0]!Sheet19.GotoLung" textlink="">
      <xdr:nvSpPr>
        <xdr:cNvPr id="50" name="Go2Lung" descr="Go to media button" hidden="1">
          <a:extLst>
            <a:ext uri="{FF2B5EF4-FFF2-40B4-BE49-F238E27FC236}">
              <a16:creationId xmlns:a16="http://schemas.microsoft.com/office/drawing/2014/main" id="{00000000-0008-0000-0000-000032000000}"/>
            </a:ext>
          </a:extLst>
        </xdr:cNvPr>
        <xdr:cNvSpPr/>
      </xdr:nvSpPr>
      <xdr:spPr>
        <a:xfrm>
          <a:off x="7012131" y="6020666"/>
          <a:ext cx="1737360" cy="389659"/>
        </a:xfrm>
        <a:prstGeom prst="rect">
          <a:avLst/>
        </a:prstGeom>
        <a:solidFill>
          <a:schemeClr val="accent2">
            <a:lumMod val="50000"/>
          </a:schemeClr>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US" sz="1400"/>
            <a:t>Go to Lung</a:t>
          </a:r>
        </a:p>
      </xdr:txBody>
    </xdr:sp>
    <xdr:clientData/>
  </xdr:twoCellAnchor>
  <xdr:twoCellAnchor editAs="absolute">
    <xdr:from>
      <xdr:col>1</xdr:col>
      <xdr:colOff>38584</xdr:colOff>
      <xdr:row>1</xdr:row>
      <xdr:rowOff>28499</xdr:rowOff>
    </xdr:from>
    <xdr:to>
      <xdr:col>3</xdr:col>
      <xdr:colOff>391281</xdr:colOff>
      <xdr:row>1</xdr:row>
      <xdr:rowOff>616278</xdr:rowOff>
    </xdr:to>
    <xdr:grpSp>
      <xdr:nvGrpSpPr>
        <xdr:cNvPr id="8" name="Group 7" descr="Reset button">
          <a:extLst>
            <a:ext uri="{FF2B5EF4-FFF2-40B4-BE49-F238E27FC236}">
              <a16:creationId xmlns:a16="http://schemas.microsoft.com/office/drawing/2014/main" id="{00000000-0008-0000-0000-000008000000}"/>
            </a:ext>
          </a:extLst>
        </xdr:cNvPr>
        <xdr:cNvGrpSpPr/>
      </xdr:nvGrpSpPr>
      <xdr:grpSpPr>
        <a:xfrm>
          <a:off x="143359" y="107874"/>
          <a:ext cx="1035322" cy="587779"/>
          <a:chOff x="7559386" y="900545"/>
          <a:chExt cx="1021773" cy="580159"/>
        </a:xfrm>
      </xdr:grpSpPr>
      <xdr:sp macro="[0]!Import_OldAnalysis" textlink="">
        <xdr:nvSpPr>
          <xdr:cNvPr id="11" name="Rectangle 10">
            <a:extLst>
              <a:ext uri="{FF2B5EF4-FFF2-40B4-BE49-F238E27FC236}">
                <a16:creationId xmlns:a16="http://schemas.microsoft.com/office/drawing/2014/main" id="{00000000-0008-0000-0000-00000B000000}"/>
              </a:ext>
            </a:extLst>
          </xdr:cNvPr>
          <xdr:cNvSpPr/>
        </xdr:nvSpPr>
        <xdr:spPr>
          <a:xfrm>
            <a:off x="7559386" y="900545"/>
            <a:ext cx="1021773" cy="580159"/>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ysClr val="windowText" lastClr="000000"/>
                </a:solidFill>
              </a:rPr>
              <a:t>Import</a:t>
            </a:r>
          </a:p>
        </xdr:txBody>
      </xdr:sp>
      <xdr:pic macro="[0]!Import_OldAnalysis">
        <xdr:nvPicPr>
          <xdr:cNvPr id="12" name="Graphic 11" descr="Arrow: Rotate right with solid fill">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885295" y="918206"/>
            <a:ext cx="343527" cy="335599"/>
          </a:xfrm>
          <a:prstGeom prst="rect">
            <a:avLst/>
          </a:prstGeom>
        </xdr:spPr>
      </xdr:pic>
    </xdr:grpSp>
    <xdr:clientData/>
  </xdr:twoCellAnchor>
  <xdr:twoCellAnchor editAs="oneCell">
    <xdr:from>
      <xdr:col>5</xdr:col>
      <xdr:colOff>42168</xdr:colOff>
      <xdr:row>12</xdr:row>
      <xdr:rowOff>15974</xdr:rowOff>
    </xdr:from>
    <xdr:to>
      <xdr:col>5</xdr:col>
      <xdr:colOff>316488</xdr:colOff>
      <xdr:row>13</xdr:row>
      <xdr:rowOff>10894</xdr:rowOff>
    </xdr:to>
    <xdr:pic macro="[0]!Sheet19.InfoAgeEnd_Click">
      <xdr:nvPicPr>
        <xdr:cNvPr id="14" name="Graphic 13" descr="Badge Question Mark outline">
          <a:extLst>
            <a:ext uri="{FF2B5EF4-FFF2-40B4-BE49-F238E27FC236}">
              <a16:creationId xmlns:a16="http://schemas.microsoft.com/office/drawing/2014/main" id="{0CA29D45-764B-4290-BF04-618554E21B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681010" y="2883500"/>
          <a:ext cx="274320" cy="2759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285308</xdr:colOff>
      <xdr:row>1</xdr:row>
      <xdr:rowOff>22186</xdr:rowOff>
    </xdr:from>
    <xdr:to>
      <xdr:col>13</xdr:col>
      <xdr:colOff>209144</xdr:colOff>
      <xdr:row>3</xdr:row>
      <xdr:rowOff>121246</xdr:rowOff>
    </xdr:to>
    <xdr:grpSp>
      <xdr:nvGrpSpPr>
        <xdr:cNvPr id="6" name="Group 5" descr="Done button">
          <a:extLst>
            <a:ext uri="{FF2B5EF4-FFF2-40B4-BE49-F238E27FC236}">
              <a16:creationId xmlns:a16="http://schemas.microsoft.com/office/drawing/2014/main" id="{00000000-0008-0000-0200-000006000000}"/>
            </a:ext>
          </a:extLst>
        </xdr:cNvPr>
        <xdr:cNvGrpSpPr/>
      </xdr:nvGrpSpPr>
      <xdr:grpSpPr>
        <a:xfrm>
          <a:off x="9442008" y="98386"/>
          <a:ext cx="1098586" cy="588010"/>
          <a:chOff x="19526250" y="104775"/>
          <a:chExt cx="1028700" cy="581025"/>
        </a:xfrm>
      </xdr:grpSpPr>
      <xdr:sp macro="[0]!Sheet24.Return2Control_Click" textlink="">
        <xdr:nvSpPr>
          <xdr:cNvPr id="7" name="Rectangle 6">
            <a:extLst>
              <a:ext uri="{FF2B5EF4-FFF2-40B4-BE49-F238E27FC236}">
                <a16:creationId xmlns:a16="http://schemas.microsoft.com/office/drawing/2014/main" id="{00000000-0008-0000-0200-000007000000}"/>
              </a:ext>
            </a:extLst>
          </xdr:cNvPr>
          <xdr:cNvSpPr/>
        </xdr:nvSpPr>
        <xdr:spPr>
          <a:xfrm>
            <a:off x="19526250" y="104775"/>
            <a:ext cx="1028700" cy="581025"/>
          </a:xfrm>
          <a:prstGeom prst="rect">
            <a:avLst/>
          </a:prstGeom>
          <a:solidFill>
            <a:schemeClr val="bg1">
              <a:lumMod val="95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6">
                    <a:lumMod val="50000"/>
                  </a:schemeClr>
                </a:solidFill>
              </a:rPr>
              <a:t>Done</a:t>
            </a:r>
          </a:p>
        </xdr:txBody>
      </xdr:sp>
      <xdr:pic macro="[0]!Sheet24.Return2Control_Click">
        <xdr:nvPicPr>
          <xdr:cNvPr id="8" name="Graphic 7" descr="House outline">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859625" y="133350"/>
            <a:ext cx="342156" cy="348343"/>
          </a:xfrm>
          <a:prstGeom prst="rect">
            <a:avLst/>
          </a:prstGeom>
        </xdr:spPr>
      </xdr:pic>
    </xdr:grpSp>
    <xdr:clientData/>
  </xdr:twoCellAnchor>
  <xdr:twoCellAnchor>
    <xdr:from>
      <xdr:col>9</xdr:col>
      <xdr:colOff>763031</xdr:colOff>
      <xdr:row>1</xdr:row>
      <xdr:rowOff>21571</xdr:rowOff>
    </xdr:from>
    <xdr:to>
      <xdr:col>11</xdr:col>
      <xdr:colOff>223916</xdr:colOff>
      <xdr:row>3</xdr:row>
      <xdr:rowOff>121861</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8256031" y="97771"/>
          <a:ext cx="1124585" cy="589240"/>
          <a:chOff x="7925831" y="97771"/>
          <a:chExt cx="1051560" cy="595590"/>
        </a:xfrm>
      </xdr:grpSpPr>
      <xdr:sp macro="[0]!Growth_Defualt" textlink="">
        <xdr:nvSpPr>
          <xdr:cNvPr id="9" name="Rectangle 8">
            <a:extLst>
              <a:ext uri="{FF2B5EF4-FFF2-40B4-BE49-F238E27FC236}">
                <a16:creationId xmlns:a16="http://schemas.microsoft.com/office/drawing/2014/main" id="{00000000-0008-0000-0200-000009000000}"/>
              </a:ext>
            </a:extLst>
          </xdr:cNvPr>
          <xdr:cNvSpPr/>
        </xdr:nvSpPr>
        <xdr:spPr>
          <a:xfrm>
            <a:off x="7925831" y="97771"/>
            <a:ext cx="1051560" cy="595590"/>
          </a:xfrm>
          <a:prstGeom prst="rect">
            <a:avLst/>
          </a:prstGeom>
          <a:solidFill>
            <a:schemeClr val="bg1">
              <a:lumMod val="95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6">
                    <a:lumMod val="50000"/>
                  </a:schemeClr>
                </a:solidFill>
              </a:rPr>
              <a:t>Reset</a:t>
            </a:r>
          </a:p>
        </xdr:txBody>
      </xdr:sp>
      <xdr:pic macro="[0]!Growth_Defualt">
        <xdr:nvPicPr>
          <xdr:cNvPr id="10" name="Graphic 9" descr="Line arrow: Rotate left with solid fill">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22067" y="119485"/>
            <a:ext cx="417695" cy="380788"/>
          </a:xfrm>
          <a:prstGeom prst="rect">
            <a:avLst/>
          </a:prstGeom>
        </xdr:spPr>
      </xdr:pic>
    </xdr:grpSp>
    <xdr:clientData/>
  </xdr:twoCellAnchor>
  <xdr:twoCellAnchor>
    <xdr:from>
      <xdr:col>8</xdr:col>
      <xdr:colOff>110820</xdr:colOff>
      <xdr:row>10</xdr:row>
      <xdr:rowOff>18063</xdr:rowOff>
    </xdr:from>
    <xdr:to>
      <xdr:col>12</xdr:col>
      <xdr:colOff>61213</xdr:colOff>
      <xdr:row>23</xdr:row>
      <xdr:rowOff>40742</xdr:rowOff>
    </xdr:to>
    <xdr:graphicFrame macro="">
      <xdr:nvGraphicFramePr>
        <xdr:cNvPr id="11" name="Chart 10" descr="Figure plotting weight vs age over the ages of 1 to 2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2</xdr:col>
      <xdr:colOff>4232</xdr:colOff>
      <xdr:row>14</xdr:row>
      <xdr:rowOff>153745</xdr:rowOff>
    </xdr:from>
    <xdr:ext cx="5508967" cy="46672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83632" y="2554045"/>
              <a:ext cx="5508967" cy="46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14:m>
                <m:oMathPara xmlns:m="http://schemas.openxmlformats.org/officeDocument/2006/math">
                  <m:oMathParaPr>
                    <m:jc m:val="center"/>
                  </m:oMathParaPr>
                  <m:oMath xmlns:m="http://schemas.openxmlformats.org/officeDocument/2006/math">
                    <m:r>
                      <a:rPr lang="en-US" sz="1100" b="0" i="1">
                        <a:latin typeface="Cambria Math" panose="02040503050406030204" pitchFamily="18" charset="0"/>
                      </a:rPr>
                      <m:t>𝐵𝑊</m:t>
                    </m:r>
                    <m:r>
                      <a:rPr lang="en-US" sz="1100" b="0" i="1">
                        <a:latin typeface="Cambria Math" panose="02040503050406030204" pitchFamily="18" charset="0"/>
                      </a:rPr>
                      <m:t>= </m:t>
                    </m:r>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𝑏𝑖𝑟𝑡h</m:t>
                        </m:r>
                      </m:sub>
                    </m:sSub>
                    <m:r>
                      <a:rPr lang="en-US" sz="1100" b="0" i="1">
                        <a:latin typeface="Cambria Math" panose="02040503050406030204" pitchFamily="18" charset="0"/>
                      </a:rPr>
                      <m:t>+ </m:t>
                    </m:r>
                    <m:f>
                      <m:fPr>
                        <m:ctrlPr>
                          <a:rPr lang="en-US" sz="1100" b="0" i="1">
                            <a:latin typeface="Cambria Math" panose="02040503050406030204" pitchFamily="18" charset="0"/>
                          </a:rPr>
                        </m:ctrlPr>
                      </m:fPr>
                      <m:num>
                        <m:r>
                          <a:rPr lang="en-US" sz="1100" b="0" i="1">
                            <a:latin typeface="Cambria Math" panose="02040503050406030204" pitchFamily="18" charset="0"/>
                          </a:rPr>
                          <m:t>𝑎𝑔𝑒</m:t>
                        </m:r>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𝑐h𝑖𝑙𝑑</m:t>
                            </m:r>
                          </m:sub>
                        </m:sSub>
                      </m:num>
                      <m:den>
                        <m:r>
                          <a:rPr lang="en-US" sz="1100" b="0" i="1">
                            <a:latin typeface="Cambria Math" panose="02040503050406030204" pitchFamily="18" charset="0"/>
                          </a:rPr>
                          <m:t>h𝑎𝑙𝑓</m:t>
                        </m:r>
                        <m:r>
                          <a:rPr lang="en-US" sz="1100" b="0" i="1">
                            <a:latin typeface="Cambria Math" panose="02040503050406030204" pitchFamily="18" charset="0"/>
                          </a:rPr>
                          <m:t>+</m:t>
                        </m:r>
                        <m:r>
                          <a:rPr lang="en-US" sz="1100" b="0" i="1">
                            <a:latin typeface="Cambria Math" panose="02040503050406030204" pitchFamily="18" charset="0"/>
                          </a:rPr>
                          <m:t>𝑎𝑔𝑒</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𝑎𝑑𝑢𝑙𝑡</m:t>
                            </m:r>
                          </m:sub>
                        </m:sSub>
                      </m:num>
                      <m:den>
                        <m:r>
                          <a:rPr lang="en-US" sz="1100" b="0" i="1">
                            <a:latin typeface="Cambria Math" panose="02040503050406030204" pitchFamily="18" charset="0"/>
                          </a:rPr>
                          <m:t>1+</m:t>
                        </m:r>
                        <m:r>
                          <a:rPr lang="en-US" sz="1100" b="0" i="1">
                            <a:latin typeface="Cambria Math" panose="02040503050406030204" pitchFamily="18" charset="0"/>
                            <a:ea typeface="Cambria Math" panose="02040503050406030204" pitchFamily="18" charset="0"/>
                          </a:rPr>
                          <m:t>𝜅</m:t>
                        </m:r>
                        <m:r>
                          <a:rPr lang="en-US" sz="1100" b="0" i="1">
                            <a:latin typeface="Cambria Math" panose="02040503050406030204" pitchFamily="18" charset="0"/>
                            <a:ea typeface="Cambria Math" panose="02040503050406030204" pitchFamily="18" charset="0"/>
                          </a:rPr>
                          <m:t>+∗</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𝑒</m:t>
                            </m:r>
                          </m:e>
                          <m:sup>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𝜆</m:t>
                            </m:r>
                            <m:r>
                              <a:rPr lang="en-US" sz="1100" b="0" i="1">
                                <a:latin typeface="Cambria Math" panose="02040503050406030204" pitchFamily="18" charset="0"/>
                                <a:ea typeface="Cambria Math" panose="02040503050406030204" pitchFamily="18" charset="0"/>
                              </a:rPr>
                              <m:t> ∗ </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𝑎𝑑𝑢𝑙𝑡</m:t>
                                </m:r>
                              </m:sub>
                            </m:sSub>
                            <m:r>
                              <a:rPr lang="en-US" sz="1100" b="0" i="1">
                                <a:latin typeface="Cambria Math" panose="02040503050406030204" pitchFamily="18" charset="0"/>
                                <a:ea typeface="Cambria Math" panose="02040503050406030204" pitchFamily="18" charset="0"/>
                              </a:rPr>
                              <m:t> ∗ </m:t>
                            </m:r>
                            <m:r>
                              <a:rPr lang="en-US" sz="1100" b="0" i="1">
                                <a:latin typeface="Cambria Math" panose="02040503050406030204" pitchFamily="18" charset="0"/>
                                <a:ea typeface="Cambria Math" panose="02040503050406030204" pitchFamily="18" charset="0"/>
                              </a:rPr>
                              <m:t>𝑎𝑔𝑒</m:t>
                            </m:r>
                          </m:sup>
                        </m:sSup>
                      </m:den>
                    </m:f>
                  </m:oMath>
                </m:oMathPara>
              </a14:m>
              <a:endParaRPr lang="en-US" sz="1100"/>
            </a:p>
          </xdr:txBody>
        </xdr:sp>
      </mc:Choice>
      <mc:Fallback xmlns="">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83632" y="2554045"/>
              <a:ext cx="5508967" cy="46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r>
                <a:rPr lang="en-US" sz="1100" b="0" i="0">
                  <a:latin typeface="Cambria Math" panose="02040503050406030204" pitchFamily="18" charset="0"/>
                </a:rPr>
                <a:t>𝐵𝑊= 𝑊_𝑏𝑖𝑟𝑡ℎ+  (𝑎𝑔𝑒∗𝑊_𝑐ℎ𝑖𝑙𝑑)/(ℎ𝑎𝑙𝑓+𝑎𝑔𝑒)+𝑊_𝑎𝑑𝑢𝑙𝑡/(1+</a:t>
              </a:r>
              <a:r>
                <a:rPr lang="en-US" sz="1100" b="0" i="0">
                  <a:latin typeface="Cambria Math" panose="02040503050406030204" pitchFamily="18" charset="0"/>
                  <a:ea typeface="Cambria Math" panose="02040503050406030204" pitchFamily="18" charset="0"/>
                </a:rPr>
                <a:t>𝜅+∗𝑒^(−𝜆 ∗ 𝑊_𝑎𝑑𝑢𝑙𝑡  ∗ 𝑎𝑔𝑒) )</a:t>
              </a:r>
              <a:endParaRPr lang="en-US" sz="1100"/>
            </a:p>
          </xdr:txBody>
        </xdr:sp>
      </mc:Fallback>
    </mc:AlternateContent>
    <xdr:clientData/>
  </xdr:oneCellAnchor>
  <xdr:twoCellAnchor>
    <xdr:from>
      <xdr:col>8</xdr:col>
      <xdr:colOff>112246</xdr:colOff>
      <xdr:row>10</xdr:row>
      <xdr:rowOff>19168</xdr:rowOff>
    </xdr:from>
    <xdr:to>
      <xdr:col>12</xdr:col>
      <xdr:colOff>59788</xdr:colOff>
      <xdr:row>23</xdr:row>
      <xdr:rowOff>39638</xdr:rowOff>
    </xdr:to>
    <xdr:graphicFrame macro="">
      <xdr:nvGraphicFramePr>
        <xdr:cNvPr id="12" name="Chart 11" descr="Figure plotting weight vs age over the ages of 1 to 90." hidden="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595765</xdr:colOff>
      <xdr:row>6</xdr:row>
      <xdr:rowOff>84272</xdr:rowOff>
    </xdr:from>
    <xdr:to>
      <xdr:col>9</xdr:col>
      <xdr:colOff>671799</xdr:colOff>
      <xdr:row>9</xdr:row>
      <xdr:rowOff>81170</xdr:rowOff>
    </xdr:to>
    <xdr:sp macro="[0]!Sheet24.Growth_graph_Youth" textlink="">
      <xdr:nvSpPr>
        <xdr:cNvPr id="13" name="Rectangle 12">
          <a:extLst>
            <a:ext uri="{FF2B5EF4-FFF2-40B4-BE49-F238E27FC236}">
              <a16:creationId xmlns:a16="http://schemas.microsoft.com/office/drawing/2014/main" id="{00000000-0008-0000-0200-00000D000000}"/>
            </a:ext>
          </a:extLst>
        </xdr:cNvPr>
        <xdr:cNvSpPr/>
      </xdr:nvSpPr>
      <xdr:spPr>
        <a:xfrm>
          <a:off x="6626645" y="1148545"/>
          <a:ext cx="1208343" cy="478008"/>
        </a:xfrm>
        <a:prstGeom prst="rect">
          <a:avLst/>
        </a:prstGeom>
        <a:solidFill>
          <a:schemeClr val="bg1"/>
        </a:solidFill>
        <a:ln w="127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6">
                  <a:lumMod val="50000"/>
                </a:schemeClr>
              </a:solidFill>
            </a:rPr>
            <a:t>Youth</a:t>
          </a:r>
        </a:p>
        <a:p>
          <a:pPr algn="ctr"/>
          <a:r>
            <a:rPr lang="en-US" sz="1100">
              <a:solidFill>
                <a:schemeClr val="accent6">
                  <a:lumMod val="50000"/>
                </a:schemeClr>
              </a:solidFill>
            </a:rPr>
            <a:t>Age 1 - 20</a:t>
          </a:r>
        </a:p>
      </xdr:txBody>
    </xdr:sp>
    <xdr:clientData/>
  </xdr:twoCellAnchor>
  <xdr:twoCellAnchor>
    <xdr:from>
      <xdr:col>10</xdr:col>
      <xdr:colOff>64349</xdr:colOff>
      <xdr:row>6</xdr:row>
      <xdr:rowOff>76200</xdr:rowOff>
    </xdr:from>
    <xdr:to>
      <xdr:col>11</xdr:col>
      <xdr:colOff>482127</xdr:colOff>
      <xdr:row>9</xdr:row>
      <xdr:rowOff>73098</xdr:rowOff>
    </xdr:to>
    <xdr:sp macro="[0]!Sheet24.Growth_graph_Full" textlink="">
      <xdr:nvSpPr>
        <xdr:cNvPr id="14" name="Rectangle 13">
          <a:extLst>
            <a:ext uri="{FF2B5EF4-FFF2-40B4-BE49-F238E27FC236}">
              <a16:creationId xmlns:a16="http://schemas.microsoft.com/office/drawing/2014/main" id="{00000000-0008-0000-0200-00000E000000}"/>
            </a:ext>
          </a:extLst>
        </xdr:cNvPr>
        <xdr:cNvSpPr/>
      </xdr:nvSpPr>
      <xdr:spPr>
        <a:xfrm>
          <a:off x="8029387" y="1140473"/>
          <a:ext cx="1209908" cy="478008"/>
        </a:xfrm>
        <a:prstGeom prst="rect">
          <a:avLst/>
        </a:prstGeom>
        <a:solidFill>
          <a:schemeClr val="bg1"/>
        </a:solidFill>
        <a:ln w="127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accent6">
                  <a:lumMod val="50000"/>
                </a:schemeClr>
              </a:solidFill>
            </a:rPr>
            <a:t>Full</a:t>
          </a:r>
        </a:p>
        <a:p>
          <a:pPr algn="ctr"/>
          <a:r>
            <a:rPr lang="en-US" sz="1100">
              <a:solidFill>
                <a:schemeClr val="accent6">
                  <a:lumMod val="50000"/>
                </a:schemeClr>
              </a:solidFill>
            </a:rPr>
            <a:t>Age 1 - 90</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6180972</xdr:colOff>
      <xdr:row>1</xdr:row>
      <xdr:rowOff>27110</xdr:rowOff>
    </xdr:from>
    <xdr:to>
      <xdr:col>5</xdr:col>
      <xdr:colOff>7203195</xdr:colOff>
      <xdr:row>3</xdr:row>
      <xdr:rowOff>126508</xdr:rowOff>
    </xdr:to>
    <xdr:grpSp>
      <xdr:nvGrpSpPr>
        <xdr:cNvPr id="3" name="Group 2" descr="Reset button">
          <a:extLst>
            <a:ext uri="{FF2B5EF4-FFF2-40B4-BE49-F238E27FC236}">
              <a16:creationId xmlns:a16="http://schemas.microsoft.com/office/drawing/2014/main" id="{00000000-0008-0000-0300-000003000000}"/>
            </a:ext>
          </a:extLst>
        </xdr:cNvPr>
        <xdr:cNvGrpSpPr/>
      </xdr:nvGrpSpPr>
      <xdr:grpSpPr>
        <a:xfrm>
          <a:off x="8841622" y="103310"/>
          <a:ext cx="1022223" cy="575648"/>
          <a:chOff x="16202026" y="361950"/>
          <a:chExt cx="1104900" cy="581025"/>
        </a:xfrm>
      </xdr:grpSpPr>
      <xdr:sp macro="[0]!TimeInd_Default" textlink="">
        <xdr:nvSpPr>
          <xdr:cNvPr id="4" name="Rectangle 3">
            <a:extLst>
              <a:ext uri="{FF2B5EF4-FFF2-40B4-BE49-F238E27FC236}">
                <a16:creationId xmlns:a16="http://schemas.microsoft.com/office/drawing/2014/main" id="{00000000-0008-0000-0300-000004000000}"/>
              </a:ext>
            </a:extLst>
          </xdr:cNvPr>
          <xdr:cNvSpPr/>
        </xdr:nvSpPr>
        <xdr:spPr>
          <a:xfrm>
            <a:off x="16202026" y="361950"/>
            <a:ext cx="1104900" cy="581025"/>
          </a:xfrm>
          <a:prstGeom prst="rect">
            <a:avLst/>
          </a:prstGeom>
          <a:solidFill>
            <a:schemeClr val="bg1">
              <a:lumMod val="95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6">
                    <a:lumMod val="50000"/>
                  </a:schemeClr>
                </a:solidFill>
              </a:rPr>
              <a:t>Reset</a:t>
            </a:r>
          </a:p>
        </xdr:txBody>
      </xdr:sp>
      <xdr:pic macro="[0]!TimeInd_Default">
        <xdr:nvPicPr>
          <xdr:cNvPr id="5" name="Graphic 4" descr="Line arrow: Rotate left with solid fill">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554450" y="361950"/>
            <a:ext cx="371475" cy="371475"/>
          </a:xfrm>
          <a:prstGeom prst="rect">
            <a:avLst/>
          </a:prstGeom>
        </xdr:spPr>
      </xdr:pic>
    </xdr:grpSp>
    <xdr:clientData/>
  </xdr:twoCellAnchor>
  <xdr:twoCellAnchor editAs="absolute">
    <xdr:from>
      <xdr:col>5</xdr:col>
      <xdr:colOff>7229687</xdr:colOff>
      <xdr:row>1</xdr:row>
      <xdr:rowOff>27110</xdr:rowOff>
    </xdr:from>
    <xdr:to>
      <xdr:col>6</xdr:col>
      <xdr:colOff>111845</xdr:colOff>
      <xdr:row>3</xdr:row>
      <xdr:rowOff>126508</xdr:rowOff>
    </xdr:to>
    <xdr:grpSp>
      <xdr:nvGrpSpPr>
        <xdr:cNvPr id="12" name="Group 11" descr="Done button">
          <a:extLst>
            <a:ext uri="{FF2B5EF4-FFF2-40B4-BE49-F238E27FC236}">
              <a16:creationId xmlns:a16="http://schemas.microsoft.com/office/drawing/2014/main" id="{00000000-0008-0000-0300-00000C000000}"/>
            </a:ext>
          </a:extLst>
        </xdr:cNvPr>
        <xdr:cNvGrpSpPr/>
      </xdr:nvGrpSpPr>
      <xdr:grpSpPr>
        <a:xfrm>
          <a:off x="9890337" y="103310"/>
          <a:ext cx="1416558" cy="575648"/>
          <a:chOff x="10049741" y="106508"/>
          <a:chExt cx="1015712" cy="578798"/>
        </a:xfrm>
      </xdr:grpSpPr>
      <xdr:sp macro="[0]!Sheet23.Return2Control_Click" textlink="">
        <xdr:nvSpPr>
          <xdr:cNvPr id="7" name="Rectangle 6">
            <a:extLst>
              <a:ext uri="{FF2B5EF4-FFF2-40B4-BE49-F238E27FC236}">
                <a16:creationId xmlns:a16="http://schemas.microsoft.com/office/drawing/2014/main" id="{00000000-0008-0000-0300-000007000000}"/>
              </a:ext>
            </a:extLst>
          </xdr:cNvPr>
          <xdr:cNvSpPr/>
        </xdr:nvSpPr>
        <xdr:spPr>
          <a:xfrm>
            <a:off x="10049741" y="106508"/>
            <a:ext cx="1015712" cy="578798"/>
          </a:xfrm>
          <a:prstGeom prst="rect">
            <a:avLst/>
          </a:prstGeom>
          <a:solidFill>
            <a:schemeClr val="bg1">
              <a:lumMod val="95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6">
                    <a:lumMod val="50000"/>
                  </a:schemeClr>
                </a:solidFill>
              </a:rPr>
              <a:t>Done</a:t>
            </a:r>
          </a:p>
        </xdr:txBody>
      </xdr:sp>
      <xdr:pic macro="[0]!Sheet23.Return2Control_Click">
        <xdr:nvPicPr>
          <xdr:cNvPr id="9" name="Graphic 8" descr="House outline">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385839" y="132361"/>
            <a:ext cx="342156" cy="34834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4292600</xdr:colOff>
      <xdr:row>1</xdr:row>
      <xdr:rowOff>26132</xdr:rowOff>
    </xdr:from>
    <xdr:to>
      <xdr:col>16</xdr:col>
      <xdr:colOff>74143</xdr:colOff>
      <xdr:row>3</xdr:row>
      <xdr:rowOff>125760</xdr:rowOff>
    </xdr:to>
    <xdr:grpSp>
      <xdr:nvGrpSpPr>
        <xdr:cNvPr id="3" name="Group 2" descr="Reset and home button">
          <a:extLst>
            <a:ext uri="{FF2B5EF4-FFF2-40B4-BE49-F238E27FC236}">
              <a16:creationId xmlns:a16="http://schemas.microsoft.com/office/drawing/2014/main" id="{00000000-0008-0000-0400-000003000000}"/>
            </a:ext>
          </a:extLst>
        </xdr:cNvPr>
        <xdr:cNvGrpSpPr/>
      </xdr:nvGrpSpPr>
      <xdr:grpSpPr>
        <a:xfrm>
          <a:off x="15513050" y="102332"/>
          <a:ext cx="2379193" cy="575878"/>
          <a:chOff x="15027730" y="109634"/>
          <a:chExt cx="2088788" cy="575878"/>
        </a:xfrm>
      </xdr:grpSpPr>
      <xdr:grpSp>
        <xdr:nvGrpSpPr>
          <xdr:cNvPr id="9" name="Group 8">
            <a:extLst>
              <a:ext uri="{FF2B5EF4-FFF2-40B4-BE49-F238E27FC236}">
                <a16:creationId xmlns:a16="http://schemas.microsoft.com/office/drawing/2014/main" id="{00000000-0008-0000-0400-000009000000}"/>
              </a:ext>
            </a:extLst>
          </xdr:cNvPr>
          <xdr:cNvGrpSpPr/>
        </xdr:nvGrpSpPr>
        <xdr:grpSpPr>
          <a:xfrm>
            <a:off x="15027730" y="109634"/>
            <a:ext cx="1024128" cy="575878"/>
            <a:chOff x="16202026" y="361950"/>
            <a:chExt cx="1104900" cy="581025"/>
          </a:xfrm>
        </xdr:grpSpPr>
        <xdr:sp macro="[0]!TimeDep_Default" textlink="">
          <xdr:nvSpPr>
            <xdr:cNvPr id="10" name="Rectangle 9">
              <a:extLst>
                <a:ext uri="{FF2B5EF4-FFF2-40B4-BE49-F238E27FC236}">
                  <a16:creationId xmlns:a16="http://schemas.microsoft.com/office/drawing/2014/main" id="{00000000-0008-0000-0400-00000A000000}"/>
                </a:ext>
              </a:extLst>
            </xdr:cNvPr>
            <xdr:cNvSpPr/>
          </xdr:nvSpPr>
          <xdr:spPr>
            <a:xfrm>
              <a:off x="16202026" y="361950"/>
              <a:ext cx="1104900" cy="581025"/>
            </a:xfrm>
            <a:prstGeom prst="rect">
              <a:avLst/>
            </a:prstGeom>
            <a:solidFill>
              <a:schemeClr val="bg1">
                <a:lumMod val="95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6">
                      <a:lumMod val="50000"/>
                    </a:schemeClr>
                  </a:solidFill>
                </a:rPr>
                <a:t>Reset</a:t>
              </a:r>
            </a:p>
          </xdr:txBody>
        </xdr:sp>
        <xdr:pic macro="[0]!TimeDep_Default">
          <xdr:nvPicPr>
            <xdr:cNvPr id="11" name="Graphic 10" descr="Line arrow: Rotate left with solid fill">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554450" y="361950"/>
              <a:ext cx="371475" cy="371475"/>
            </a:xfrm>
            <a:prstGeom prst="rect">
              <a:avLst/>
            </a:prstGeom>
          </xdr:spPr>
        </xdr:pic>
      </xdr:grpSp>
      <xdr:grpSp>
        <xdr:nvGrpSpPr>
          <xdr:cNvPr id="2" name="Group 1">
            <a:extLst>
              <a:ext uri="{FF2B5EF4-FFF2-40B4-BE49-F238E27FC236}">
                <a16:creationId xmlns:a16="http://schemas.microsoft.com/office/drawing/2014/main" id="{00000000-0008-0000-0400-000002000000}"/>
              </a:ext>
            </a:extLst>
          </xdr:cNvPr>
          <xdr:cNvGrpSpPr/>
        </xdr:nvGrpSpPr>
        <xdr:grpSpPr>
          <a:xfrm>
            <a:off x="16094528" y="109634"/>
            <a:ext cx="1021990" cy="575878"/>
            <a:chOff x="19526250" y="104775"/>
            <a:chExt cx="1028700" cy="581025"/>
          </a:xfrm>
        </xdr:grpSpPr>
        <xdr:sp macro="[0]!Sheet13.Return2Control_Click" textlink="">
          <xdr:nvSpPr>
            <xdr:cNvPr id="35" name="Rectangle 34">
              <a:extLst>
                <a:ext uri="{FF2B5EF4-FFF2-40B4-BE49-F238E27FC236}">
                  <a16:creationId xmlns:a16="http://schemas.microsoft.com/office/drawing/2014/main" id="{00000000-0008-0000-0400-000023000000}"/>
                </a:ext>
              </a:extLst>
            </xdr:cNvPr>
            <xdr:cNvSpPr/>
          </xdr:nvSpPr>
          <xdr:spPr>
            <a:xfrm>
              <a:off x="19526250" y="104775"/>
              <a:ext cx="1028700" cy="581025"/>
            </a:xfrm>
            <a:prstGeom prst="rect">
              <a:avLst/>
            </a:prstGeom>
            <a:solidFill>
              <a:schemeClr val="bg1">
                <a:lumMod val="95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6">
                      <a:lumMod val="50000"/>
                    </a:schemeClr>
                  </a:solidFill>
                </a:rPr>
                <a:t>Done</a:t>
              </a:r>
            </a:p>
          </xdr:txBody>
        </xdr:sp>
        <xdr:pic>
          <xdr:nvPicPr>
            <xdr:cNvPr id="43" name="Graphic 42" descr="House outline">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859625" y="133350"/>
              <a:ext cx="342156" cy="348343"/>
            </a:xfrm>
            <a:prstGeom prst="rect">
              <a:avLst/>
            </a:prstGeom>
          </xdr:spPr>
        </xdr:pic>
      </xdr:grp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120308</xdr:colOff>
      <xdr:row>36</xdr:row>
      <xdr:rowOff>266102</xdr:rowOff>
    </xdr:from>
    <xdr:to>
      <xdr:col>2</xdr:col>
      <xdr:colOff>1088652</xdr:colOff>
      <xdr:row>36</xdr:row>
      <xdr:rowOff>512990</xdr:rowOff>
    </xdr:to>
    <xdr:sp macro="[0]!Module2.LTC" textlink="">
      <xdr:nvSpPr>
        <xdr:cNvPr id="10" name="Rectangle 9">
          <a:extLst>
            <a:ext uri="{FF2B5EF4-FFF2-40B4-BE49-F238E27FC236}">
              <a16:creationId xmlns:a16="http://schemas.microsoft.com/office/drawing/2014/main" id="{00000000-0008-0000-0500-00000A000000}"/>
            </a:ext>
          </a:extLst>
        </xdr:cNvPr>
        <xdr:cNvSpPr/>
      </xdr:nvSpPr>
      <xdr:spPr>
        <a:xfrm>
          <a:off x="183209" y="7949003"/>
          <a:ext cx="1435608"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LTC</a:t>
          </a:r>
        </a:p>
      </xdr:txBody>
    </xdr:sp>
    <xdr:clientData/>
  </xdr:twoCellAnchor>
  <xdr:twoCellAnchor>
    <xdr:from>
      <xdr:col>3</xdr:col>
      <xdr:colOff>447334</xdr:colOff>
      <xdr:row>3</xdr:row>
      <xdr:rowOff>49391</xdr:rowOff>
    </xdr:from>
    <xdr:to>
      <xdr:col>4</xdr:col>
      <xdr:colOff>449792</xdr:colOff>
      <xdr:row>3</xdr:row>
      <xdr:rowOff>611856</xdr:rowOff>
    </xdr:to>
    <xdr:grpSp>
      <xdr:nvGrpSpPr>
        <xdr:cNvPr id="3" name="Group 2" descr="Done button">
          <a:extLst>
            <a:ext uri="{FF2B5EF4-FFF2-40B4-BE49-F238E27FC236}">
              <a16:creationId xmlns:a16="http://schemas.microsoft.com/office/drawing/2014/main" id="{00000000-0008-0000-0500-000003000000}"/>
            </a:ext>
          </a:extLst>
        </xdr:cNvPr>
        <xdr:cNvGrpSpPr/>
      </xdr:nvGrpSpPr>
      <xdr:grpSpPr>
        <a:xfrm>
          <a:off x="2558709" y="594433"/>
          <a:ext cx="1071375" cy="562465"/>
          <a:chOff x="10049741" y="106508"/>
          <a:chExt cx="1015712" cy="578798"/>
        </a:xfrm>
      </xdr:grpSpPr>
      <xdr:sp macro="[0]!Sheet21.Media2Home_Click" textlink="">
        <xdr:nvSpPr>
          <xdr:cNvPr id="4" name="Rectangle 3">
            <a:extLst>
              <a:ext uri="{FF2B5EF4-FFF2-40B4-BE49-F238E27FC236}">
                <a16:creationId xmlns:a16="http://schemas.microsoft.com/office/drawing/2014/main" id="{00000000-0008-0000-0500-000004000000}"/>
              </a:ext>
            </a:extLst>
          </xdr:cNvPr>
          <xdr:cNvSpPr/>
        </xdr:nvSpPr>
        <xdr:spPr>
          <a:xfrm>
            <a:off x="10049741" y="106508"/>
            <a:ext cx="1015712" cy="57879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2">
                    <a:lumMod val="50000"/>
                  </a:schemeClr>
                </a:solidFill>
              </a:rPr>
              <a:t>Done</a:t>
            </a:r>
          </a:p>
        </xdr:txBody>
      </xdr:sp>
      <xdr:pic macro="[0]!Sheet21.Media2Home_Click">
        <xdr:nvPicPr>
          <xdr:cNvPr id="5" name="Graphic 4" descr="House outline">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85839" y="132361"/>
            <a:ext cx="342156" cy="348343"/>
          </a:xfrm>
          <a:prstGeom prst="rect">
            <a:avLst/>
          </a:prstGeom>
        </xdr:spPr>
      </xdr:pic>
    </xdr:grpSp>
    <xdr:clientData/>
  </xdr:twoCellAnchor>
  <xdr:twoCellAnchor>
    <xdr:from>
      <xdr:col>2</xdr:col>
      <xdr:colOff>1119874</xdr:colOff>
      <xdr:row>9</xdr:row>
      <xdr:rowOff>260701</xdr:rowOff>
    </xdr:from>
    <xdr:to>
      <xdr:col>4</xdr:col>
      <xdr:colOff>59088</xdr:colOff>
      <xdr:row>9</xdr:row>
      <xdr:rowOff>507589</xdr:rowOff>
    </xdr:to>
    <xdr:sp macro="[0]!Sheet21.Clear_Soil" textlink="">
      <xdr:nvSpPr>
        <xdr:cNvPr id="13" name="Rectangle 12">
          <a:extLst>
            <a:ext uri="{FF2B5EF4-FFF2-40B4-BE49-F238E27FC236}">
              <a16:creationId xmlns:a16="http://schemas.microsoft.com/office/drawing/2014/main" id="{00000000-0008-0000-0500-00000D000000}"/>
            </a:ext>
          </a:extLst>
        </xdr:cNvPr>
        <xdr:cNvSpPr/>
      </xdr:nvSpPr>
      <xdr:spPr>
        <a:xfrm>
          <a:off x="1650039" y="2947470"/>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Clear Soil</a:t>
          </a:r>
        </a:p>
      </xdr:txBody>
    </xdr:sp>
    <xdr:clientData/>
  </xdr:twoCellAnchor>
  <xdr:twoCellAnchor>
    <xdr:from>
      <xdr:col>2</xdr:col>
      <xdr:colOff>1119874</xdr:colOff>
      <xdr:row>5</xdr:row>
      <xdr:rowOff>251603</xdr:rowOff>
    </xdr:from>
    <xdr:to>
      <xdr:col>4</xdr:col>
      <xdr:colOff>57416</xdr:colOff>
      <xdr:row>5</xdr:row>
      <xdr:rowOff>503207</xdr:rowOff>
    </xdr:to>
    <xdr:sp macro="[0]!Sheet21.Clear_Allowable" textlink="">
      <xdr:nvSpPr>
        <xdr:cNvPr id="18" name="Rectangle 17">
          <a:extLst>
            <a:ext uri="{FF2B5EF4-FFF2-40B4-BE49-F238E27FC236}">
              <a16:creationId xmlns:a16="http://schemas.microsoft.com/office/drawing/2014/main" id="{00000000-0008-0000-0500-000012000000}"/>
            </a:ext>
          </a:extLst>
        </xdr:cNvPr>
        <xdr:cNvSpPr/>
      </xdr:nvSpPr>
      <xdr:spPr>
        <a:xfrm>
          <a:off x="1650039" y="1644410"/>
          <a:ext cx="1435608" cy="251604"/>
        </a:xfrm>
        <a:prstGeom prst="rect">
          <a:avLst/>
        </a:prstGeom>
        <a:solidFill>
          <a:schemeClr val="bg1">
            <a:lumMod val="95000"/>
          </a:schemeClr>
        </a:solidFill>
        <a:ln w="127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Clear Allowable</a:t>
          </a:r>
        </a:p>
      </xdr:txBody>
    </xdr:sp>
    <xdr:clientData/>
  </xdr:twoCellAnchor>
  <xdr:twoCellAnchor>
    <xdr:from>
      <xdr:col>2</xdr:col>
      <xdr:colOff>1119874</xdr:colOff>
      <xdr:row>36</xdr:row>
      <xdr:rowOff>269168</xdr:rowOff>
    </xdr:from>
    <xdr:to>
      <xdr:col>4</xdr:col>
      <xdr:colOff>59088</xdr:colOff>
      <xdr:row>36</xdr:row>
      <xdr:rowOff>516056</xdr:rowOff>
    </xdr:to>
    <xdr:sp macro="[0]!Sheet21.Clear_Dust" textlink="">
      <xdr:nvSpPr>
        <xdr:cNvPr id="19" name="Rectangle 18">
          <a:extLst>
            <a:ext uri="{FF2B5EF4-FFF2-40B4-BE49-F238E27FC236}">
              <a16:creationId xmlns:a16="http://schemas.microsoft.com/office/drawing/2014/main" id="{00000000-0008-0000-0500-000013000000}"/>
            </a:ext>
          </a:extLst>
        </xdr:cNvPr>
        <xdr:cNvSpPr/>
      </xdr:nvSpPr>
      <xdr:spPr>
        <a:xfrm>
          <a:off x="1650039" y="7952069"/>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Clear Dust</a:t>
          </a:r>
        </a:p>
      </xdr:txBody>
    </xdr:sp>
    <xdr:clientData/>
  </xdr:twoCellAnchor>
  <xdr:twoCellAnchor>
    <xdr:from>
      <xdr:col>1</xdr:col>
      <xdr:colOff>120308</xdr:colOff>
      <xdr:row>63</xdr:row>
      <xdr:rowOff>272016</xdr:rowOff>
    </xdr:from>
    <xdr:to>
      <xdr:col>2</xdr:col>
      <xdr:colOff>1090324</xdr:colOff>
      <xdr:row>63</xdr:row>
      <xdr:rowOff>518904</xdr:rowOff>
    </xdr:to>
    <xdr:sp macro="[0]!Sheet21.Clear_Water" textlink="">
      <xdr:nvSpPr>
        <xdr:cNvPr id="20" name="Rectangle 19">
          <a:extLst>
            <a:ext uri="{FF2B5EF4-FFF2-40B4-BE49-F238E27FC236}">
              <a16:creationId xmlns:a16="http://schemas.microsoft.com/office/drawing/2014/main" id="{00000000-0008-0000-0500-000014000000}"/>
            </a:ext>
          </a:extLst>
        </xdr:cNvPr>
        <xdr:cNvSpPr/>
      </xdr:nvSpPr>
      <xdr:spPr>
        <a:xfrm>
          <a:off x="183209" y="13283525"/>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Clear Water</a:t>
          </a:r>
        </a:p>
      </xdr:txBody>
    </xdr:sp>
    <xdr:clientData/>
  </xdr:twoCellAnchor>
  <xdr:twoCellAnchor>
    <xdr:from>
      <xdr:col>1</xdr:col>
      <xdr:colOff>120308</xdr:colOff>
      <xdr:row>90</xdr:row>
      <xdr:rowOff>271428</xdr:rowOff>
    </xdr:from>
    <xdr:to>
      <xdr:col>2</xdr:col>
      <xdr:colOff>1090324</xdr:colOff>
      <xdr:row>90</xdr:row>
      <xdr:rowOff>518316</xdr:rowOff>
    </xdr:to>
    <xdr:sp macro="[0]!Sheet21.Clear_Air" textlink="">
      <xdr:nvSpPr>
        <xdr:cNvPr id="21" name="Rectangle 20">
          <a:extLst>
            <a:ext uri="{FF2B5EF4-FFF2-40B4-BE49-F238E27FC236}">
              <a16:creationId xmlns:a16="http://schemas.microsoft.com/office/drawing/2014/main" id="{00000000-0008-0000-0500-000015000000}"/>
            </a:ext>
          </a:extLst>
        </xdr:cNvPr>
        <xdr:cNvSpPr/>
      </xdr:nvSpPr>
      <xdr:spPr>
        <a:xfrm>
          <a:off x="183209" y="18234140"/>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Clear Air</a:t>
          </a:r>
        </a:p>
      </xdr:txBody>
    </xdr:sp>
    <xdr:clientData/>
  </xdr:twoCellAnchor>
  <xdr:twoCellAnchor>
    <xdr:from>
      <xdr:col>1</xdr:col>
      <xdr:colOff>120308</xdr:colOff>
      <xdr:row>117</xdr:row>
      <xdr:rowOff>272693</xdr:rowOff>
    </xdr:from>
    <xdr:to>
      <xdr:col>2</xdr:col>
      <xdr:colOff>1090324</xdr:colOff>
      <xdr:row>117</xdr:row>
      <xdr:rowOff>519581</xdr:rowOff>
    </xdr:to>
    <xdr:sp macro="[0]!Sheet21.Clear_Food" textlink="">
      <xdr:nvSpPr>
        <xdr:cNvPr id="22" name="Rectangle 21">
          <a:extLst>
            <a:ext uri="{FF2B5EF4-FFF2-40B4-BE49-F238E27FC236}">
              <a16:creationId xmlns:a16="http://schemas.microsoft.com/office/drawing/2014/main" id="{00000000-0008-0000-0500-000016000000}"/>
            </a:ext>
          </a:extLst>
        </xdr:cNvPr>
        <xdr:cNvSpPr/>
      </xdr:nvSpPr>
      <xdr:spPr>
        <a:xfrm>
          <a:off x="183209" y="23222551"/>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Clear Food</a:t>
          </a:r>
        </a:p>
      </xdr:txBody>
    </xdr:sp>
    <xdr:clientData/>
  </xdr:twoCellAnchor>
  <xdr:twoCellAnchor>
    <xdr:from>
      <xdr:col>1</xdr:col>
      <xdr:colOff>120308</xdr:colOff>
      <xdr:row>138</xdr:row>
      <xdr:rowOff>274197</xdr:rowOff>
    </xdr:from>
    <xdr:to>
      <xdr:col>2</xdr:col>
      <xdr:colOff>1090324</xdr:colOff>
      <xdr:row>138</xdr:row>
      <xdr:rowOff>521085</xdr:rowOff>
    </xdr:to>
    <xdr:sp macro="[0]!Sheet21.Clear_other" textlink="">
      <xdr:nvSpPr>
        <xdr:cNvPr id="23" name="Rectangle 22">
          <a:extLst>
            <a:ext uri="{FF2B5EF4-FFF2-40B4-BE49-F238E27FC236}">
              <a16:creationId xmlns:a16="http://schemas.microsoft.com/office/drawing/2014/main" id="{00000000-0008-0000-0500-000017000000}"/>
            </a:ext>
          </a:extLst>
        </xdr:cNvPr>
        <xdr:cNvSpPr/>
      </xdr:nvSpPr>
      <xdr:spPr>
        <a:xfrm>
          <a:off x="183209" y="27204787"/>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Clear Other</a:t>
          </a:r>
        </a:p>
      </xdr:txBody>
    </xdr:sp>
    <xdr:clientData/>
  </xdr:twoCellAnchor>
  <xdr:twoCellAnchor editAs="absolute">
    <xdr:from>
      <xdr:col>6</xdr:col>
      <xdr:colOff>637120</xdr:colOff>
      <xdr:row>2</xdr:row>
      <xdr:rowOff>74083</xdr:rowOff>
    </xdr:from>
    <xdr:to>
      <xdr:col>6</xdr:col>
      <xdr:colOff>820209</xdr:colOff>
      <xdr:row>2</xdr:row>
      <xdr:rowOff>256116</xdr:rowOff>
    </xdr:to>
    <xdr:sp macro="[0]!Sheet21.Media_info_Click" textlink="">
      <xdr:nvSpPr>
        <xdr:cNvPr id="12" name="Graphic 10" descr="Information with solid fill">
          <a:extLst>
            <a:ext uri="{FF2B5EF4-FFF2-40B4-BE49-F238E27FC236}">
              <a16:creationId xmlns:a16="http://schemas.microsoft.com/office/drawing/2014/main" id="{00000000-0008-0000-0500-00000C000000}"/>
            </a:ext>
          </a:extLst>
        </xdr:cNvPr>
        <xdr:cNvSpPr/>
      </xdr:nvSpPr>
      <xdr:spPr>
        <a:xfrm>
          <a:off x="6159503" y="301625"/>
          <a:ext cx="179914" cy="185208"/>
        </a:xfrm>
        <a:custGeom>
          <a:avLst/>
          <a:gdLst>
            <a:gd name="connsiteX0" fmla="*/ 172357 w 344714"/>
            <a:gd name="connsiteY0" fmla="*/ 0 h 344714"/>
            <a:gd name="connsiteX1" fmla="*/ 0 w 344714"/>
            <a:gd name="connsiteY1" fmla="*/ 172357 h 344714"/>
            <a:gd name="connsiteX2" fmla="*/ 172357 w 344714"/>
            <a:gd name="connsiteY2" fmla="*/ 344715 h 344714"/>
            <a:gd name="connsiteX3" fmla="*/ 344715 w 344714"/>
            <a:gd name="connsiteY3" fmla="*/ 172357 h 344714"/>
            <a:gd name="connsiteX4" fmla="*/ 172357 w 344714"/>
            <a:gd name="connsiteY4" fmla="*/ 0 h 344714"/>
            <a:gd name="connsiteX5" fmla="*/ 163286 w 344714"/>
            <a:gd name="connsiteY5" fmla="*/ 45357 h 344714"/>
            <a:gd name="connsiteX6" fmla="*/ 185964 w 344714"/>
            <a:gd name="connsiteY6" fmla="*/ 68036 h 344714"/>
            <a:gd name="connsiteX7" fmla="*/ 163286 w 344714"/>
            <a:gd name="connsiteY7" fmla="*/ 90714 h 344714"/>
            <a:gd name="connsiteX8" fmla="*/ 140607 w 344714"/>
            <a:gd name="connsiteY8" fmla="*/ 68036 h 344714"/>
            <a:gd name="connsiteX9" fmla="*/ 163286 w 344714"/>
            <a:gd name="connsiteY9" fmla="*/ 45357 h 344714"/>
            <a:gd name="connsiteX10" fmla="*/ 217715 w 344714"/>
            <a:gd name="connsiteY10" fmla="*/ 299357 h 344714"/>
            <a:gd name="connsiteX11" fmla="*/ 127000 w 344714"/>
            <a:gd name="connsiteY11" fmla="*/ 299357 h 344714"/>
            <a:gd name="connsiteX12" fmla="*/ 127000 w 344714"/>
            <a:gd name="connsiteY12" fmla="*/ 272143 h 344714"/>
            <a:gd name="connsiteX13" fmla="*/ 158750 w 344714"/>
            <a:gd name="connsiteY13" fmla="*/ 272143 h 344714"/>
            <a:gd name="connsiteX14" fmla="*/ 158750 w 344714"/>
            <a:gd name="connsiteY14" fmla="*/ 136072 h 344714"/>
            <a:gd name="connsiteX15" fmla="*/ 131536 w 344714"/>
            <a:gd name="connsiteY15" fmla="*/ 136072 h 344714"/>
            <a:gd name="connsiteX16" fmla="*/ 131536 w 344714"/>
            <a:gd name="connsiteY16" fmla="*/ 108857 h 344714"/>
            <a:gd name="connsiteX17" fmla="*/ 185964 w 344714"/>
            <a:gd name="connsiteY17" fmla="*/ 108857 h 344714"/>
            <a:gd name="connsiteX18" fmla="*/ 185964 w 344714"/>
            <a:gd name="connsiteY18" fmla="*/ 136072 h 344714"/>
            <a:gd name="connsiteX19" fmla="*/ 185964 w 344714"/>
            <a:gd name="connsiteY19" fmla="*/ 272143 h 344714"/>
            <a:gd name="connsiteX20" fmla="*/ 217715 w 344714"/>
            <a:gd name="connsiteY20" fmla="*/ 272143 h 344714"/>
            <a:gd name="connsiteX21" fmla="*/ 217715 w 344714"/>
            <a:gd name="connsiteY21" fmla="*/ 299357 h 3447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344714" h="344714">
              <a:moveTo>
                <a:pt x="172357" y="0"/>
              </a:moveTo>
              <a:cubicBezTo>
                <a:pt x="77107" y="0"/>
                <a:pt x="0" y="77107"/>
                <a:pt x="0" y="172357"/>
              </a:cubicBezTo>
              <a:cubicBezTo>
                <a:pt x="0" y="267607"/>
                <a:pt x="77107" y="344715"/>
                <a:pt x="172357" y="344715"/>
              </a:cubicBezTo>
              <a:cubicBezTo>
                <a:pt x="267607" y="344715"/>
                <a:pt x="344715" y="267607"/>
                <a:pt x="344715" y="172357"/>
              </a:cubicBezTo>
              <a:cubicBezTo>
                <a:pt x="344715" y="77107"/>
                <a:pt x="267607" y="0"/>
                <a:pt x="172357" y="0"/>
              </a:cubicBezTo>
              <a:close/>
              <a:moveTo>
                <a:pt x="163286" y="45357"/>
              </a:moveTo>
              <a:cubicBezTo>
                <a:pt x="175986" y="45357"/>
                <a:pt x="185964" y="55336"/>
                <a:pt x="185964" y="68036"/>
              </a:cubicBezTo>
              <a:cubicBezTo>
                <a:pt x="185964" y="80736"/>
                <a:pt x="175986" y="90714"/>
                <a:pt x="163286" y="90714"/>
              </a:cubicBezTo>
              <a:cubicBezTo>
                <a:pt x="150586" y="90714"/>
                <a:pt x="140607" y="80736"/>
                <a:pt x="140607" y="68036"/>
              </a:cubicBezTo>
              <a:cubicBezTo>
                <a:pt x="140607" y="55336"/>
                <a:pt x="150586" y="45357"/>
                <a:pt x="163286" y="45357"/>
              </a:cubicBezTo>
              <a:close/>
              <a:moveTo>
                <a:pt x="217715" y="299357"/>
              </a:moveTo>
              <a:lnTo>
                <a:pt x="127000" y="299357"/>
              </a:lnTo>
              <a:lnTo>
                <a:pt x="127000" y="272143"/>
              </a:lnTo>
              <a:lnTo>
                <a:pt x="158750" y="272143"/>
              </a:lnTo>
              <a:lnTo>
                <a:pt x="158750" y="136072"/>
              </a:lnTo>
              <a:lnTo>
                <a:pt x="131536" y="136072"/>
              </a:lnTo>
              <a:lnTo>
                <a:pt x="131536" y="108857"/>
              </a:lnTo>
              <a:lnTo>
                <a:pt x="185964" y="108857"/>
              </a:lnTo>
              <a:lnTo>
                <a:pt x="185964" y="136072"/>
              </a:lnTo>
              <a:lnTo>
                <a:pt x="185964" y="272143"/>
              </a:lnTo>
              <a:lnTo>
                <a:pt x="217715" y="272143"/>
              </a:lnTo>
              <a:lnTo>
                <a:pt x="217715" y="299357"/>
              </a:lnTo>
              <a:close/>
            </a:path>
          </a:pathLst>
        </a:custGeom>
        <a:solidFill>
          <a:schemeClr val="bg2"/>
        </a:solidFill>
        <a:ln w="4465" cap="flat">
          <a:noFill/>
          <a:prstDash val="solid"/>
          <a:miter/>
        </a:ln>
      </xdr:spPr>
      <xdr:txBody>
        <a:bodyPr rtlCol="0" anchor="ctr"/>
        <a:lstStyle/>
        <a:p>
          <a:endParaRPr lang="en-US"/>
        </a:p>
      </xdr:txBody>
    </xdr:sp>
    <xdr:clientData/>
  </xdr:twoCellAnchor>
  <xdr:twoCellAnchor>
    <xdr:from>
      <xdr:col>1</xdr:col>
      <xdr:colOff>120308</xdr:colOff>
      <xdr:row>5</xdr:row>
      <xdr:rowOff>254942</xdr:rowOff>
    </xdr:from>
    <xdr:to>
      <xdr:col>2</xdr:col>
      <xdr:colOff>1088652</xdr:colOff>
      <xdr:row>5</xdr:row>
      <xdr:rowOff>505789</xdr:rowOff>
    </xdr:to>
    <xdr:sp macro="[0]!AllowConc_Default" textlink="">
      <xdr:nvSpPr>
        <xdr:cNvPr id="29" name="Rectangle 28">
          <a:extLst>
            <a:ext uri="{FF2B5EF4-FFF2-40B4-BE49-F238E27FC236}">
              <a16:creationId xmlns:a16="http://schemas.microsoft.com/office/drawing/2014/main" id="{00000000-0008-0000-0500-00001D000000}"/>
            </a:ext>
          </a:extLst>
        </xdr:cNvPr>
        <xdr:cNvSpPr/>
      </xdr:nvSpPr>
      <xdr:spPr>
        <a:xfrm>
          <a:off x="183209" y="1647749"/>
          <a:ext cx="1435608" cy="250847"/>
        </a:xfrm>
        <a:prstGeom prst="rect">
          <a:avLst/>
        </a:prstGeom>
        <a:solidFill>
          <a:schemeClr val="bg1">
            <a:lumMod val="95000"/>
          </a:schemeClr>
        </a:solidFill>
        <a:ln w="1270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Reset</a:t>
          </a:r>
          <a:r>
            <a:rPr lang="en-US" sz="1100" b="1" baseline="0">
              <a:solidFill>
                <a:schemeClr val="accent2">
                  <a:lumMod val="50000"/>
                </a:schemeClr>
              </a:solidFill>
            </a:rPr>
            <a:t> Allowable</a:t>
          </a:r>
          <a:endParaRPr lang="en-US" sz="1100" b="1">
            <a:solidFill>
              <a:schemeClr val="accent2">
                <a:lumMod val="50000"/>
              </a:schemeClr>
            </a:solidFill>
          </a:endParaRPr>
        </a:p>
      </xdr:txBody>
    </xdr:sp>
    <xdr:clientData/>
  </xdr:twoCellAnchor>
  <xdr:twoCellAnchor editAs="absolute">
    <xdr:from>
      <xdr:col>1</xdr:col>
      <xdr:colOff>2156</xdr:colOff>
      <xdr:row>1</xdr:row>
      <xdr:rowOff>84775</xdr:rowOff>
    </xdr:from>
    <xdr:to>
      <xdr:col>29</xdr:col>
      <xdr:colOff>112682</xdr:colOff>
      <xdr:row>1</xdr:row>
      <xdr:rowOff>92525</xdr:rowOff>
    </xdr:to>
    <xdr:grpSp>
      <xdr:nvGrpSpPr>
        <xdr:cNvPr id="8" name="Group 7" descr="This image describes how to fill in source masks, which are used to temporarily turn off exposure from a specific source of exposure. Each mask requires users to define which source it applies to, the period of masking in days, and the first and last days blocked. The period is the length of time over which the mask will operate. The first day blocked is the day within the period on which masking will begin. The last day blocked is the day within the period on which the masking will end. For more information please refer to the user guide." hidden="1">
          <a:extLst>
            <a:ext uri="{FF2B5EF4-FFF2-40B4-BE49-F238E27FC236}">
              <a16:creationId xmlns:a16="http://schemas.microsoft.com/office/drawing/2014/main" id="{00000000-0008-0000-0500-000008000000}"/>
            </a:ext>
          </a:extLst>
        </xdr:cNvPr>
        <xdr:cNvGrpSpPr/>
      </xdr:nvGrpSpPr>
      <xdr:grpSpPr>
        <a:xfrm>
          <a:off x="70948" y="153567"/>
          <a:ext cx="21504734" cy="7750"/>
          <a:chOff x="9525" y="733424"/>
          <a:chExt cx="20545425" cy="30239353"/>
        </a:xfrm>
      </xdr:grpSpPr>
      <xdr:sp macro="" textlink="">
        <xdr:nvSpPr>
          <xdr:cNvPr id="2" name="Rectangle 1" hidden="1">
            <a:extLst>
              <a:ext uri="{FF2B5EF4-FFF2-40B4-BE49-F238E27FC236}">
                <a16:creationId xmlns:a16="http://schemas.microsoft.com/office/drawing/2014/main" id="{00000000-0008-0000-0500-000002000000}"/>
              </a:ext>
            </a:extLst>
          </xdr:cNvPr>
          <xdr:cNvSpPr/>
        </xdr:nvSpPr>
        <xdr:spPr>
          <a:xfrm>
            <a:off x="9525" y="733424"/>
            <a:ext cx="20545425" cy="3023935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hidden="1">
            <a:extLst>
              <a:ext uri="{FF2B5EF4-FFF2-40B4-BE49-F238E27FC236}">
                <a16:creationId xmlns:a16="http://schemas.microsoft.com/office/drawing/2014/main" id="{00000000-0008-0000-0500-000019000000}"/>
              </a:ext>
            </a:extLst>
          </xdr:cNvPr>
          <xdr:cNvGrpSpPr/>
        </xdr:nvGrpSpPr>
        <xdr:grpSpPr>
          <a:xfrm>
            <a:off x="2362200" y="990600"/>
            <a:ext cx="10001250" cy="8143875"/>
            <a:chOff x="2505076" y="26336624"/>
            <a:chExt cx="10001250" cy="8143875"/>
          </a:xfrm>
        </xdr:grpSpPr>
        <xdr:grpSp>
          <xdr:nvGrpSpPr>
            <xdr:cNvPr id="26" name="Group 25" hidden="1">
              <a:extLst>
                <a:ext uri="{FF2B5EF4-FFF2-40B4-BE49-F238E27FC236}">
                  <a16:creationId xmlns:a16="http://schemas.microsoft.com/office/drawing/2014/main" id="{00000000-0008-0000-0500-00001A000000}"/>
                </a:ext>
              </a:extLst>
            </xdr:cNvPr>
            <xdr:cNvGrpSpPr/>
          </xdr:nvGrpSpPr>
          <xdr:grpSpPr>
            <a:xfrm>
              <a:off x="2505076" y="26336624"/>
              <a:ext cx="10001250" cy="8143875"/>
              <a:chOff x="3190876" y="26098499"/>
              <a:chExt cx="10001250" cy="8143875"/>
            </a:xfrm>
          </xdr:grpSpPr>
          <xdr:grpSp>
            <xdr:nvGrpSpPr>
              <xdr:cNvPr id="28" name="Group 27" hidden="1">
                <a:extLst>
                  <a:ext uri="{FF2B5EF4-FFF2-40B4-BE49-F238E27FC236}">
                    <a16:creationId xmlns:a16="http://schemas.microsoft.com/office/drawing/2014/main" id="{00000000-0008-0000-0500-00001C000000}"/>
                  </a:ext>
                </a:extLst>
              </xdr:cNvPr>
              <xdr:cNvGrpSpPr/>
            </xdr:nvGrpSpPr>
            <xdr:grpSpPr>
              <a:xfrm>
                <a:off x="3190876" y="26098499"/>
                <a:ext cx="10001250" cy="8143875"/>
                <a:chOff x="3190876" y="26098499"/>
                <a:chExt cx="10001250" cy="8143875"/>
              </a:xfrm>
            </xdr:grpSpPr>
            <xdr:grpSp>
              <xdr:nvGrpSpPr>
                <xdr:cNvPr id="63" name="Group 62" hidden="1">
                  <a:extLst>
                    <a:ext uri="{FF2B5EF4-FFF2-40B4-BE49-F238E27FC236}">
                      <a16:creationId xmlns:a16="http://schemas.microsoft.com/office/drawing/2014/main" id="{00000000-0008-0000-0500-00003F000000}"/>
                    </a:ext>
                  </a:extLst>
                </xdr:cNvPr>
                <xdr:cNvGrpSpPr/>
              </xdr:nvGrpSpPr>
              <xdr:grpSpPr>
                <a:xfrm>
                  <a:off x="3190876" y="26098499"/>
                  <a:ext cx="10001250" cy="8143875"/>
                  <a:chOff x="3190876" y="26098499"/>
                  <a:chExt cx="10001250" cy="8143875"/>
                </a:xfrm>
              </xdr:grpSpPr>
              <xdr:sp macro="" textlink="">
                <xdr:nvSpPr>
                  <xdr:cNvPr id="66" name="Rectangle 65" hidden="1">
                    <a:extLst>
                      <a:ext uri="{FF2B5EF4-FFF2-40B4-BE49-F238E27FC236}">
                        <a16:creationId xmlns:a16="http://schemas.microsoft.com/office/drawing/2014/main" id="{00000000-0008-0000-0500-000042000000}"/>
                      </a:ext>
                    </a:extLst>
                  </xdr:cNvPr>
                  <xdr:cNvSpPr/>
                </xdr:nvSpPr>
                <xdr:spPr>
                  <a:xfrm>
                    <a:off x="3190876" y="26098499"/>
                    <a:ext cx="10001250" cy="8143875"/>
                  </a:xfrm>
                  <a:prstGeom prst="rect">
                    <a:avLst/>
                  </a:prstGeom>
                  <a:solidFill>
                    <a:sysClr val="window" lastClr="FFFFFF"/>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 name="Rectangle 66" hidden="1">
                    <a:extLst>
                      <a:ext uri="{FF2B5EF4-FFF2-40B4-BE49-F238E27FC236}">
                        <a16:creationId xmlns:a16="http://schemas.microsoft.com/office/drawing/2014/main" id="{00000000-0008-0000-0500-000043000000}"/>
                      </a:ext>
                    </a:extLst>
                  </xdr:cNvPr>
                  <xdr:cNvSpPr/>
                </xdr:nvSpPr>
                <xdr:spPr>
                  <a:xfrm>
                    <a:off x="3209926" y="26098499"/>
                    <a:ext cx="9963150" cy="438150"/>
                  </a:xfrm>
                  <a:prstGeom prst="rect">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panose="020B0604020202020204" pitchFamily="34" charset="0"/>
                        <a:cs typeface="Arial" panose="020B0604020202020204" pitchFamily="34" charset="0"/>
                      </a:rPr>
                      <a:t>Masking</a:t>
                    </a:r>
                    <a:r>
                      <a:rPr lang="en-US" sz="1400" b="1" baseline="0">
                        <a:latin typeface="Arial" panose="020B0604020202020204" pitchFamily="34" charset="0"/>
                        <a:cs typeface="Arial" panose="020B0604020202020204" pitchFamily="34" charset="0"/>
                      </a:rPr>
                      <a:t> - Instructions and Examples</a:t>
                    </a:r>
                    <a:endParaRPr lang="en-US" sz="1400" b="1">
                      <a:latin typeface="Arial" panose="020B0604020202020204" pitchFamily="34" charset="0"/>
                      <a:cs typeface="Arial" panose="020B0604020202020204" pitchFamily="34" charset="0"/>
                    </a:endParaRPr>
                  </a:p>
                </xdr:txBody>
              </xdr:sp>
            </xdr:grpSp>
            <xdr:sp macro="" textlink="">
              <xdr:nvSpPr>
                <xdr:cNvPr id="64" name="Rectangle 63" hidden="1">
                  <a:extLst>
                    <a:ext uri="{FF2B5EF4-FFF2-40B4-BE49-F238E27FC236}">
                      <a16:creationId xmlns:a16="http://schemas.microsoft.com/office/drawing/2014/main" id="{00000000-0008-0000-0500-000040000000}"/>
                    </a:ext>
                  </a:extLst>
                </xdr:cNvPr>
                <xdr:cNvSpPr/>
              </xdr:nvSpPr>
              <xdr:spPr>
                <a:xfrm>
                  <a:off x="3386979" y="26774775"/>
                  <a:ext cx="9609045" cy="209550"/>
                </a:xfrm>
                <a:prstGeom prst="rect">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latin typeface="Arial" panose="020B0604020202020204" pitchFamily="34" charset="0"/>
                      <a:cs typeface="Arial" panose="020B0604020202020204" pitchFamily="34" charset="0"/>
                    </a:rPr>
                    <a:t>Instructions</a:t>
                  </a:r>
                </a:p>
              </xdr:txBody>
            </xdr:sp>
            <xdr:sp macro="" textlink="">
              <xdr:nvSpPr>
                <xdr:cNvPr id="65" name="Rectangle 64" hidden="1">
                  <a:extLst>
                    <a:ext uri="{FF2B5EF4-FFF2-40B4-BE49-F238E27FC236}">
                      <a16:creationId xmlns:a16="http://schemas.microsoft.com/office/drawing/2014/main" id="{00000000-0008-0000-0500-000041000000}"/>
                    </a:ext>
                  </a:extLst>
                </xdr:cNvPr>
                <xdr:cNvSpPr/>
              </xdr:nvSpPr>
              <xdr:spPr>
                <a:xfrm>
                  <a:off x="3386979" y="30384750"/>
                  <a:ext cx="9609045" cy="209550"/>
                </a:xfrm>
                <a:prstGeom prst="rect">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latin typeface="Arial" panose="020B0604020202020204" pitchFamily="34" charset="0"/>
                      <a:cs typeface="Arial" panose="020B0604020202020204" pitchFamily="34" charset="0"/>
                    </a:rPr>
                    <a:t>General Examples</a:t>
                  </a:r>
                </a:p>
              </xdr:txBody>
            </xdr:sp>
          </xdr:grpSp>
          <xdr:sp macro="" textlink="">
            <xdr:nvSpPr>
              <xdr:cNvPr id="33" name="TextBox 32" hidden="1">
                <a:extLst>
                  <a:ext uri="{FF2B5EF4-FFF2-40B4-BE49-F238E27FC236}">
                    <a16:creationId xmlns:a16="http://schemas.microsoft.com/office/drawing/2014/main" id="{00000000-0008-0000-0500-000021000000}"/>
                  </a:ext>
                </a:extLst>
              </xdr:cNvPr>
              <xdr:cNvSpPr txBox="1"/>
            </xdr:nvSpPr>
            <xdr:spPr>
              <a:xfrm>
                <a:off x="3362324" y="27117676"/>
                <a:ext cx="594360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0">
                    <a:solidFill>
                      <a:schemeClr val="dk1"/>
                    </a:solidFill>
                    <a:effectLst/>
                    <a:latin typeface="Arial" panose="020B0604020202020204" pitchFamily="34" charset="0"/>
                    <a:ea typeface="+mn-ea"/>
                    <a:cs typeface="Arial" panose="020B0604020202020204" pitchFamily="34" charset="0"/>
                  </a:rPr>
                  <a:t>Masks are used to temporarily “turn off” exposure from a specific source of exposure. </a:t>
                </a:r>
                <a:endParaRPr lang="en-US" sz="1200" b="0" i="0">
                  <a:latin typeface="Arial" panose="020B0604020202020204" pitchFamily="34" charset="0"/>
                  <a:cs typeface="Arial" panose="020B0604020202020204" pitchFamily="34" charset="0"/>
                </a:endParaRPr>
              </a:p>
            </xdr:txBody>
          </xdr:sp>
          <xdr:pic>
            <xdr:nvPicPr>
              <xdr:cNvPr id="34" name="Picture 33" hidden="1">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3"/>
              <a:stretch>
                <a:fillRect/>
              </a:stretch>
            </xdr:blipFill>
            <xdr:spPr>
              <a:xfrm>
                <a:off x="3314700" y="27822525"/>
                <a:ext cx="5238095" cy="2228571"/>
              </a:xfrm>
              <a:prstGeom prst="rect">
                <a:avLst/>
              </a:prstGeom>
            </xdr:spPr>
          </xdr:pic>
          <xdr:sp macro="" textlink="">
            <xdr:nvSpPr>
              <xdr:cNvPr id="35" name="Oval 34" hidden="1">
                <a:extLst>
                  <a:ext uri="{FF2B5EF4-FFF2-40B4-BE49-F238E27FC236}">
                    <a16:creationId xmlns:a16="http://schemas.microsoft.com/office/drawing/2014/main" id="{00000000-0008-0000-0500-000023000000}"/>
                  </a:ext>
                </a:extLst>
              </xdr:cNvPr>
              <xdr:cNvSpPr/>
            </xdr:nvSpPr>
            <xdr:spPr>
              <a:xfrm>
                <a:off x="5133975" y="27598687"/>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Arial" panose="020B0604020202020204" pitchFamily="34" charset="0"/>
                    <a:cs typeface="Arial" panose="020B0604020202020204" pitchFamily="34" charset="0"/>
                  </a:rPr>
                  <a:t>1</a:t>
                </a:r>
              </a:p>
            </xdr:txBody>
          </xdr:sp>
          <xdr:sp macro="" textlink="">
            <xdr:nvSpPr>
              <xdr:cNvPr id="36" name="Oval 35" hidden="1">
                <a:extLst>
                  <a:ext uri="{FF2B5EF4-FFF2-40B4-BE49-F238E27FC236}">
                    <a16:creationId xmlns:a16="http://schemas.microsoft.com/office/drawing/2014/main" id="{00000000-0008-0000-0500-000024000000}"/>
                  </a:ext>
                </a:extLst>
              </xdr:cNvPr>
              <xdr:cNvSpPr/>
            </xdr:nvSpPr>
            <xdr:spPr>
              <a:xfrm>
                <a:off x="6038850" y="27598687"/>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Arial" panose="020B0604020202020204" pitchFamily="34" charset="0"/>
                    <a:cs typeface="Arial" panose="020B0604020202020204" pitchFamily="34" charset="0"/>
                  </a:rPr>
                  <a:t>2</a:t>
                </a:r>
              </a:p>
            </xdr:txBody>
          </xdr:sp>
          <xdr:sp macro="" textlink="">
            <xdr:nvSpPr>
              <xdr:cNvPr id="37" name="Oval 36" hidden="1">
                <a:extLst>
                  <a:ext uri="{FF2B5EF4-FFF2-40B4-BE49-F238E27FC236}">
                    <a16:creationId xmlns:a16="http://schemas.microsoft.com/office/drawing/2014/main" id="{00000000-0008-0000-0500-000025000000}"/>
                  </a:ext>
                </a:extLst>
              </xdr:cNvPr>
              <xdr:cNvSpPr/>
            </xdr:nvSpPr>
            <xdr:spPr>
              <a:xfrm>
                <a:off x="6943725" y="27598687"/>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Arial" panose="020B0604020202020204" pitchFamily="34" charset="0"/>
                    <a:cs typeface="Arial" panose="020B0604020202020204" pitchFamily="34" charset="0"/>
                  </a:rPr>
                  <a:t>3</a:t>
                </a:r>
              </a:p>
            </xdr:txBody>
          </xdr:sp>
          <xdr:sp macro="" textlink="">
            <xdr:nvSpPr>
              <xdr:cNvPr id="38" name="Oval 37" hidden="1">
                <a:extLst>
                  <a:ext uri="{FF2B5EF4-FFF2-40B4-BE49-F238E27FC236}">
                    <a16:creationId xmlns:a16="http://schemas.microsoft.com/office/drawing/2014/main" id="{00000000-0008-0000-0500-000026000000}"/>
                  </a:ext>
                </a:extLst>
              </xdr:cNvPr>
              <xdr:cNvSpPr/>
            </xdr:nvSpPr>
            <xdr:spPr>
              <a:xfrm>
                <a:off x="7848600" y="27598687"/>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Arial" panose="020B0604020202020204" pitchFamily="34" charset="0"/>
                    <a:cs typeface="Arial" panose="020B0604020202020204" pitchFamily="34" charset="0"/>
                  </a:rPr>
                  <a:t>4</a:t>
                </a:r>
              </a:p>
            </xdr:txBody>
          </xdr:sp>
          <xdr:grpSp>
            <xdr:nvGrpSpPr>
              <xdr:cNvPr id="39" name="Group 38" hidden="1">
                <a:extLst>
                  <a:ext uri="{FF2B5EF4-FFF2-40B4-BE49-F238E27FC236}">
                    <a16:creationId xmlns:a16="http://schemas.microsoft.com/office/drawing/2014/main" id="{00000000-0008-0000-0500-000027000000}"/>
                  </a:ext>
                </a:extLst>
              </xdr:cNvPr>
              <xdr:cNvGrpSpPr/>
            </xdr:nvGrpSpPr>
            <xdr:grpSpPr>
              <a:xfrm>
                <a:off x="8624887" y="27936826"/>
                <a:ext cx="4329112" cy="2133599"/>
                <a:chOff x="8777287" y="27870151"/>
                <a:chExt cx="4329112" cy="2133599"/>
              </a:xfrm>
            </xdr:grpSpPr>
            <xdr:sp macro="" textlink="">
              <xdr:nvSpPr>
                <xdr:cNvPr id="47" name="Oval 46" hidden="1">
                  <a:extLst>
                    <a:ext uri="{FF2B5EF4-FFF2-40B4-BE49-F238E27FC236}">
                      <a16:creationId xmlns:a16="http://schemas.microsoft.com/office/drawing/2014/main" id="{00000000-0008-0000-0500-00002F000000}"/>
                    </a:ext>
                  </a:extLst>
                </xdr:cNvPr>
                <xdr:cNvSpPr/>
              </xdr:nvSpPr>
              <xdr:spPr>
                <a:xfrm>
                  <a:off x="8777287" y="27946351"/>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panose="020B0604020202020204" pitchFamily="34" charset="0"/>
                      <a:cs typeface="Arial" panose="020B0604020202020204" pitchFamily="34" charset="0"/>
                    </a:rPr>
                    <a:t>1</a:t>
                  </a:r>
                </a:p>
              </xdr:txBody>
            </xdr:sp>
            <xdr:grpSp>
              <xdr:nvGrpSpPr>
                <xdr:cNvPr id="48" name="Group 47" hidden="1">
                  <a:extLst>
                    <a:ext uri="{FF2B5EF4-FFF2-40B4-BE49-F238E27FC236}">
                      <a16:creationId xmlns:a16="http://schemas.microsoft.com/office/drawing/2014/main" id="{00000000-0008-0000-0500-000030000000}"/>
                    </a:ext>
                  </a:extLst>
                </xdr:cNvPr>
                <xdr:cNvGrpSpPr/>
              </xdr:nvGrpSpPr>
              <xdr:grpSpPr>
                <a:xfrm>
                  <a:off x="9153524" y="27870151"/>
                  <a:ext cx="3952875" cy="504824"/>
                  <a:chOff x="9153524" y="27870151"/>
                  <a:chExt cx="3952875" cy="504824"/>
                </a:xfrm>
              </xdr:grpSpPr>
              <xdr:sp macro="" textlink="">
                <xdr:nvSpPr>
                  <xdr:cNvPr id="61" name="TextBox 60" hidden="1">
                    <a:extLst>
                      <a:ext uri="{FF2B5EF4-FFF2-40B4-BE49-F238E27FC236}">
                        <a16:creationId xmlns:a16="http://schemas.microsoft.com/office/drawing/2014/main" id="{00000000-0008-0000-0500-00003D000000}"/>
                      </a:ext>
                    </a:extLst>
                  </xdr:cNvPr>
                  <xdr:cNvSpPr txBox="1"/>
                </xdr:nvSpPr>
                <xdr:spPr>
                  <a:xfrm>
                    <a:off x="9934575" y="27870151"/>
                    <a:ext cx="3171824" cy="5048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Select the source for which the mask should be applied.</a:t>
                    </a:r>
                    <a:endParaRPr lang="en-US" sz="1100" b="0" i="0">
                      <a:latin typeface="Arial" panose="020B0604020202020204" pitchFamily="34" charset="0"/>
                      <a:cs typeface="Arial" panose="020B0604020202020204" pitchFamily="34" charset="0"/>
                    </a:endParaRPr>
                  </a:p>
                </xdr:txBody>
              </xdr:sp>
              <xdr:sp macro="" textlink="">
                <xdr:nvSpPr>
                  <xdr:cNvPr id="62" name="TextBox 61" hidden="1">
                    <a:extLst>
                      <a:ext uri="{FF2B5EF4-FFF2-40B4-BE49-F238E27FC236}">
                        <a16:creationId xmlns:a16="http://schemas.microsoft.com/office/drawing/2014/main" id="{00000000-0008-0000-0500-00003E000000}"/>
                      </a:ext>
                    </a:extLst>
                  </xdr:cNvPr>
                  <xdr:cNvSpPr txBox="1"/>
                </xdr:nvSpPr>
                <xdr:spPr>
                  <a:xfrm>
                    <a:off x="9153524" y="27870151"/>
                    <a:ext cx="857251" cy="2952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Source: </a:t>
                    </a:r>
                    <a:endParaRPr lang="en-US" sz="1100" b="0" i="0">
                      <a:latin typeface="Arial" panose="020B0604020202020204" pitchFamily="34" charset="0"/>
                      <a:cs typeface="Arial" panose="020B0604020202020204" pitchFamily="34" charset="0"/>
                    </a:endParaRPr>
                  </a:p>
                </xdr:txBody>
              </xdr:sp>
            </xdr:grpSp>
            <xdr:sp macro="" textlink="">
              <xdr:nvSpPr>
                <xdr:cNvPr id="49" name="Oval 48" hidden="1">
                  <a:extLst>
                    <a:ext uri="{FF2B5EF4-FFF2-40B4-BE49-F238E27FC236}">
                      <a16:creationId xmlns:a16="http://schemas.microsoft.com/office/drawing/2014/main" id="{00000000-0008-0000-0500-000031000000}"/>
                    </a:ext>
                  </a:extLst>
                </xdr:cNvPr>
                <xdr:cNvSpPr/>
              </xdr:nvSpPr>
              <xdr:spPr>
                <a:xfrm>
                  <a:off x="8777287" y="28394025"/>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panose="020B0604020202020204" pitchFamily="34" charset="0"/>
                      <a:cs typeface="Arial" panose="020B0604020202020204" pitchFamily="34" charset="0"/>
                    </a:rPr>
                    <a:t>2</a:t>
                  </a:r>
                </a:p>
              </xdr:txBody>
            </xdr:sp>
            <xdr:sp macro="" textlink="">
              <xdr:nvSpPr>
                <xdr:cNvPr id="50" name="Oval 49" hidden="1">
                  <a:extLst>
                    <a:ext uri="{FF2B5EF4-FFF2-40B4-BE49-F238E27FC236}">
                      <a16:creationId xmlns:a16="http://schemas.microsoft.com/office/drawing/2014/main" id="{00000000-0008-0000-0500-000032000000}"/>
                    </a:ext>
                  </a:extLst>
                </xdr:cNvPr>
                <xdr:cNvSpPr/>
              </xdr:nvSpPr>
              <xdr:spPr>
                <a:xfrm>
                  <a:off x="8777287" y="29070300"/>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panose="020B0604020202020204" pitchFamily="34" charset="0"/>
                      <a:cs typeface="Arial" panose="020B0604020202020204" pitchFamily="34" charset="0"/>
                    </a:rPr>
                    <a:t>3</a:t>
                  </a:r>
                </a:p>
              </xdr:txBody>
            </xdr:sp>
            <xdr:sp macro="" textlink="">
              <xdr:nvSpPr>
                <xdr:cNvPr id="51" name="Oval 50" hidden="1">
                  <a:extLst>
                    <a:ext uri="{FF2B5EF4-FFF2-40B4-BE49-F238E27FC236}">
                      <a16:creationId xmlns:a16="http://schemas.microsoft.com/office/drawing/2014/main" id="{00000000-0008-0000-0500-000033000000}"/>
                    </a:ext>
                  </a:extLst>
                </xdr:cNvPr>
                <xdr:cNvSpPr/>
              </xdr:nvSpPr>
              <xdr:spPr>
                <a:xfrm>
                  <a:off x="8777287" y="29584650"/>
                  <a:ext cx="285750" cy="247650"/>
                </a:xfrm>
                <a:prstGeom prst="ellipse">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panose="020B0604020202020204" pitchFamily="34" charset="0"/>
                      <a:cs typeface="Arial" panose="020B0604020202020204" pitchFamily="34" charset="0"/>
                    </a:rPr>
                    <a:t>4</a:t>
                  </a:r>
                </a:p>
              </xdr:txBody>
            </xdr:sp>
            <xdr:grpSp>
              <xdr:nvGrpSpPr>
                <xdr:cNvPr id="52" name="Group 51" hidden="1">
                  <a:extLst>
                    <a:ext uri="{FF2B5EF4-FFF2-40B4-BE49-F238E27FC236}">
                      <a16:creationId xmlns:a16="http://schemas.microsoft.com/office/drawing/2014/main" id="{00000000-0008-0000-0500-000034000000}"/>
                    </a:ext>
                  </a:extLst>
                </xdr:cNvPr>
                <xdr:cNvGrpSpPr/>
              </xdr:nvGrpSpPr>
              <xdr:grpSpPr>
                <a:xfrm>
                  <a:off x="9153524" y="28362276"/>
                  <a:ext cx="3952875" cy="657225"/>
                  <a:chOff x="9153524" y="28346400"/>
                  <a:chExt cx="3952875" cy="657225"/>
                </a:xfrm>
              </xdr:grpSpPr>
              <xdr:sp macro="" textlink="">
                <xdr:nvSpPr>
                  <xdr:cNvPr id="59" name="TextBox 58" hidden="1">
                    <a:extLst>
                      <a:ext uri="{FF2B5EF4-FFF2-40B4-BE49-F238E27FC236}">
                        <a16:creationId xmlns:a16="http://schemas.microsoft.com/office/drawing/2014/main" id="{00000000-0008-0000-0500-00003B000000}"/>
                      </a:ext>
                    </a:extLst>
                  </xdr:cNvPr>
                  <xdr:cNvSpPr txBox="1"/>
                </xdr:nvSpPr>
                <xdr:spPr>
                  <a:xfrm>
                    <a:off x="9153524" y="28346400"/>
                    <a:ext cx="857251" cy="276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Period: </a:t>
                    </a:r>
                    <a:endParaRPr lang="en-US" sz="1100" b="0" i="0">
                      <a:latin typeface="Arial" panose="020B0604020202020204" pitchFamily="34" charset="0"/>
                      <a:cs typeface="Arial" panose="020B0604020202020204" pitchFamily="34" charset="0"/>
                    </a:endParaRPr>
                  </a:p>
                </xdr:txBody>
              </xdr:sp>
              <xdr:sp macro="" textlink="">
                <xdr:nvSpPr>
                  <xdr:cNvPr id="60" name="TextBox 59" hidden="1">
                    <a:extLst>
                      <a:ext uri="{FF2B5EF4-FFF2-40B4-BE49-F238E27FC236}">
                        <a16:creationId xmlns:a16="http://schemas.microsoft.com/office/drawing/2014/main" id="{00000000-0008-0000-0500-00003C000000}"/>
                      </a:ext>
                    </a:extLst>
                  </xdr:cNvPr>
                  <xdr:cNvSpPr txBox="1"/>
                </xdr:nvSpPr>
                <xdr:spPr>
                  <a:xfrm>
                    <a:off x="9934575" y="28346400"/>
                    <a:ext cx="3171824"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The length of time over which the mask will operate. This should be entered in the units</a:t>
                    </a:r>
                    <a:r>
                      <a:rPr lang="en-US" sz="1100" b="0" i="0" baseline="0">
                        <a:solidFill>
                          <a:schemeClr val="dk1"/>
                        </a:solidFill>
                        <a:effectLst/>
                        <a:latin typeface="Arial" panose="020B0604020202020204" pitchFamily="34" charset="0"/>
                        <a:ea typeface="+mn-ea"/>
                        <a:cs typeface="Arial" panose="020B0604020202020204" pitchFamily="34" charset="0"/>
                      </a:rPr>
                      <a:t> of days.</a:t>
                    </a:r>
                    <a:endParaRPr lang="en-US" sz="1100" b="0" i="0">
                      <a:latin typeface="Arial" panose="020B0604020202020204" pitchFamily="34" charset="0"/>
                      <a:cs typeface="Arial" panose="020B0604020202020204" pitchFamily="34" charset="0"/>
                    </a:endParaRPr>
                  </a:p>
                </xdr:txBody>
              </xdr:sp>
            </xdr:grpSp>
            <xdr:grpSp>
              <xdr:nvGrpSpPr>
                <xdr:cNvPr id="53" name="Group 52" hidden="1">
                  <a:extLst>
                    <a:ext uri="{FF2B5EF4-FFF2-40B4-BE49-F238E27FC236}">
                      <a16:creationId xmlns:a16="http://schemas.microsoft.com/office/drawing/2014/main" id="{00000000-0008-0000-0500-000035000000}"/>
                    </a:ext>
                  </a:extLst>
                </xdr:cNvPr>
                <xdr:cNvGrpSpPr/>
              </xdr:nvGrpSpPr>
              <xdr:grpSpPr>
                <a:xfrm>
                  <a:off x="9153524" y="29006802"/>
                  <a:ext cx="3952875" cy="504824"/>
                  <a:chOff x="9153524" y="28965526"/>
                  <a:chExt cx="3952875" cy="504824"/>
                </a:xfrm>
              </xdr:grpSpPr>
              <xdr:sp macro="" textlink="">
                <xdr:nvSpPr>
                  <xdr:cNvPr id="57" name="TextBox 56" hidden="1">
                    <a:extLst>
                      <a:ext uri="{FF2B5EF4-FFF2-40B4-BE49-F238E27FC236}">
                        <a16:creationId xmlns:a16="http://schemas.microsoft.com/office/drawing/2014/main" id="{00000000-0008-0000-0500-000039000000}"/>
                      </a:ext>
                    </a:extLst>
                  </xdr:cNvPr>
                  <xdr:cNvSpPr txBox="1"/>
                </xdr:nvSpPr>
                <xdr:spPr>
                  <a:xfrm>
                    <a:off x="9153524" y="28965526"/>
                    <a:ext cx="857251" cy="5048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First day blocked: </a:t>
                    </a:r>
                    <a:endParaRPr lang="en-US" sz="1100" b="0" i="0">
                      <a:latin typeface="Arial" panose="020B0604020202020204" pitchFamily="34" charset="0"/>
                      <a:cs typeface="Arial" panose="020B0604020202020204" pitchFamily="34" charset="0"/>
                    </a:endParaRPr>
                  </a:p>
                </xdr:txBody>
              </xdr:sp>
              <xdr:sp macro="" textlink="">
                <xdr:nvSpPr>
                  <xdr:cNvPr id="58" name="TextBox 57" hidden="1">
                    <a:extLst>
                      <a:ext uri="{FF2B5EF4-FFF2-40B4-BE49-F238E27FC236}">
                        <a16:creationId xmlns:a16="http://schemas.microsoft.com/office/drawing/2014/main" id="{00000000-0008-0000-0500-00003A000000}"/>
                      </a:ext>
                    </a:extLst>
                  </xdr:cNvPr>
                  <xdr:cNvSpPr txBox="1"/>
                </xdr:nvSpPr>
                <xdr:spPr>
                  <a:xfrm>
                    <a:off x="9934575" y="28965526"/>
                    <a:ext cx="3171824" cy="5048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The day within</a:t>
                    </a:r>
                    <a:r>
                      <a:rPr lang="en-US" sz="1100" b="0" i="0" baseline="0">
                        <a:solidFill>
                          <a:schemeClr val="dk1"/>
                        </a:solidFill>
                        <a:effectLst/>
                        <a:latin typeface="Arial" panose="020B0604020202020204" pitchFamily="34" charset="0"/>
                        <a:ea typeface="+mn-ea"/>
                        <a:cs typeface="Arial" panose="020B0604020202020204" pitchFamily="34" charset="0"/>
                      </a:rPr>
                      <a:t> the period which the masking will begin.</a:t>
                    </a:r>
                    <a:endParaRPr lang="en-US" sz="1100" b="0" i="0">
                      <a:latin typeface="Arial" panose="020B0604020202020204" pitchFamily="34" charset="0"/>
                      <a:cs typeface="Arial" panose="020B0604020202020204" pitchFamily="34" charset="0"/>
                    </a:endParaRPr>
                  </a:p>
                </xdr:txBody>
              </xdr:sp>
            </xdr:grpSp>
            <xdr:grpSp>
              <xdr:nvGrpSpPr>
                <xdr:cNvPr id="54" name="Group 53" hidden="1">
                  <a:extLst>
                    <a:ext uri="{FF2B5EF4-FFF2-40B4-BE49-F238E27FC236}">
                      <a16:creationId xmlns:a16="http://schemas.microsoft.com/office/drawing/2014/main" id="{00000000-0008-0000-0500-000036000000}"/>
                    </a:ext>
                  </a:extLst>
                </xdr:cNvPr>
                <xdr:cNvGrpSpPr/>
              </xdr:nvGrpSpPr>
              <xdr:grpSpPr>
                <a:xfrm>
                  <a:off x="9153524" y="29498926"/>
                  <a:ext cx="3952875" cy="504824"/>
                  <a:chOff x="9153524" y="29498926"/>
                  <a:chExt cx="3952875" cy="504824"/>
                </a:xfrm>
              </xdr:grpSpPr>
              <xdr:sp macro="" textlink="">
                <xdr:nvSpPr>
                  <xdr:cNvPr id="55" name="TextBox 54" hidden="1">
                    <a:extLst>
                      <a:ext uri="{FF2B5EF4-FFF2-40B4-BE49-F238E27FC236}">
                        <a16:creationId xmlns:a16="http://schemas.microsoft.com/office/drawing/2014/main" id="{00000000-0008-0000-0500-000037000000}"/>
                      </a:ext>
                    </a:extLst>
                  </xdr:cNvPr>
                  <xdr:cNvSpPr txBox="1"/>
                </xdr:nvSpPr>
                <xdr:spPr>
                  <a:xfrm>
                    <a:off x="9153524" y="29498926"/>
                    <a:ext cx="857251" cy="5048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Last day blocked: </a:t>
                    </a:r>
                    <a:endParaRPr lang="en-US" sz="1100" b="0" i="0">
                      <a:latin typeface="Arial" panose="020B0604020202020204" pitchFamily="34" charset="0"/>
                      <a:cs typeface="Arial" panose="020B0604020202020204" pitchFamily="34" charset="0"/>
                    </a:endParaRPr>
                  </a:p>
                </xdr:txBody>
              </xdr:sp>
              <xdr:sp macro="" textlink="">
                <xdr:nvSpPr>
                  <xdr:cNvPr id="56" name="TextBox 55" hidden="1">
                    <a:extLst>
                      <a:ext uri="{FF2B5EF4-FFF2-40B4-BE49-F238E27FC236}">
                        <a16:creationId xmlns:a16="http://schemas.microsoft.com/office/drawing/2014/main" id="{00000000-0008-0000-0500-000038000000}"/>
                      </a:ext>
                    </a:extLst>
                  </xdr:cNvPr>
                  <xdr:cNvSpPr txBox="1"/>
                </xdr:nvSpPr>
                <xdr:spPr>
                  <a:xfrm>
                    <a:off x="9934575" y="29498926"/>
                    <a:ext cx="3171824" cy="5048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a:solidFill>
                          <a:schemeClr val="dk1"/>
                        </a:solidFill>
                        <a:effectLst/>
                        <a:latin typeface="Arial" panose="020B0604020202020204" pitchFamily="34" charset="0"/>
                        <a:ea typeface="+mn-ea"/>
                        <a:cs typeface="Arial" panose="020B0604020202020204" pitchFamily="34" charset="0"/>
                      </a:rPr>
                      <a:t>The day within</a:t>
                    </a:r>
                    <a:r>
                      <a:rPr lang="en-US" sz="1100" b="0" i="0" baseline="0">
                        <a:solidFill>
                          <a:schemeClr val="dk1"/>
                        </a:solidFill>
                        <a:effectLst/>
                        <a:latin typeface="Arial" panose="020B0604020202020204" pitchFamily="34" charset="0"/>
                        <a:ea typeface="+mn-ea"/>
                        <a:cs typeface="Arial" panose="020B0604020202020204" pitchFamily="34" charset="0"/>
                      </a:rPr>
                      <a:t> the period which the masking will end.</a:t>
                    </a:r>
                    <a:endParaRPr lang="en-US" sz="1100" b="0" i="0">
                      <a:latin typeface="Arial" panose="020B0604020202020204" pitchFamily="34" charset="0"/>
                      <a:cs typeface="Arial" panose="020B0604020202020204" pitchFamily="34" charset="0"/>
                    </a:endParaRPr>
                  </a:p>
                </xdr:txBody>
              </xdr:sp>
            </xdr:grpSp>
          </xdr:grpSp>
          <xdr:sp macro="" textlink="">
            <xdr:nvSpPr>
              <xdr:cNvPr id="40" name="Rectangle 39" hidden="1">
                <a:extLst>
                  <a:ext uri="{FF2B5EF4-FFF2-40B4-BE49-F238E27FC236}">
                    <a16:creationId xmlns:a16="http://schemas.microsoft.com/office/drawing/2014/main" id="{00000000-0008-0000-0500-000028000000}"/>
                  </a:ext>
                </a:extLst>
              </xdr:cNvPr>
              <xdr:cNvSpPr/>
            </xdr:nvSpPr>
            <xdr:spPr>
              <a:xfrm>
                <a:off x="3552825" y="31582519"/>
                <a:ext cx="4086226" cy="738187"/>
              </a:xfrm>
              <a:prstGeom prst="rect">
                <a:avLst/>
              </a:prstGeom>
              <a:solidFill>
                <a:schemeClr val="bg2">
                  <a:lumMod val="90000"/>
                </a:schemeClr>
              </a:solidFill>
              <a:ln>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latin typeface="Arial" panose="020B0604020202020204" pitchFamily="34" charset="0"/>
                    <a:cs typeface="Arial" panose="020B0604020202020204" pitchFamily="34" charset="0"/>
                  </a:rPr>
                  <a:t>Exposure</a:t>
                </a:r>
                <a:r>
                  <a:rPr lang="en-US" sz="1100" baseline="0">
                    <a:solidFill>
                      <a:sysClr val="windowText" lastClr="000000"/>
                    </a:solidFill>
                    <a:latin typeface="Arial" panose="020B0604020202020204" pitchFamily="34" charset="0"/>
                    <a:cs typeface="Arial" panose="020B0604020202020204" pitchFamily="34" charset="0"/>
                  </a:rPr>
                  <a:t> occurs: for a set number of weeks within a year - e.g., one</a:t>
                </a:r>
                <a:r>
                  <a:rPr lang="en-US" sz="1100">
                    <a:solidFill>
                      <a:sysClr val="windowText" lastClr="000000"/>
                    </a:solidFill>
                    <a:latin typeface="Arial" panose="020B0604020202020204" pitchFamily="34" charset="0"/>
                    <a:cs typeface="Arial" panose="020B0604020202020204" pitchFamily="34" charset="0"/>
                  </a:rPr>
                  <a:t> week</a:t>
                </a:r>
                <a:r>
                  <a:rPr lang="en-US" sz="1100" baseline="0">
                    <a:solidFill>
                      <a:sysClr val="windowText" lastClr="000000"/>
                    </a:solidFill>
                    <a:latin typeface="Arial" panose="020B0604020202020204" pitchFamily="34" charset="0"/>
                    <a:cs typeface="Arial" panose="020B0604020202020204" pitchFamily="34" charset="0"/>
                  </a:rPr>
                  <a:t> out of the year</a:t>
                </a:r>
              </a:p>
              <a:p>
                <a:pPr algn="l"/>
                <a:endParaRPr lang="en-US" sz="1100" baseline="0">
                  <a:solidFill>
                    <a:sysClr val="windowText" lastClr="000000"/>
                  </a:solidFill>
                  <a:latin typeface="Arial" panose="020B0604020202020204" pitchFamily="34" charset="0"/>
                  <a:cs typeface="Arial" panose="020B0604020202020204" pitchFamily="34" charset="0"/>
                </a:endParaRPr>
              </a:p>
              <a:p>
                <a:pPr algn="l"/>
                <a:r>
                  <a:rPr lang="en-US" sz="1100" baseline="0">
                    <a:solidFill>
                      <a:sysClr val="windowText" lastClr="000000"/>
                    </a:solidFill>
                    <a:latin typeface="Arial" panose="020B0604020202020204" pitchFamily="34" charset="0"/>
                    <a:cs typeface="Arial" panose="020B0604020202020204" pitchFamily="34" charset="0"/>
                  </a:rPr>
                  <a:t>Masking should be applied for all but the one week.</a:t>
                </a:r>
                <a:endParaRPr lang="en-US" sz="1100">
                  <a:solidFill>
                    <a:sysClr val="windowText" lastClr="000000"/>
                  </a:solidFill>
                  <a:latin typeface="Arial" panose="020B0604020202020204" pitchFamily="34" charset="0"/>
                  <a:cs typeface="Arial" panose="020B0604020202020204" pitchFamily="34" charset="0"/>
                </a:endParaRPr>
              </a:p>
            </xdr:txBody>
          </xdr:sp>
          <xdr:sp macro="" textlink="">
            <xdr:nvSpPr>
              <xdr:cNvPr id="41" name="Rectangle 40" hidden="1">
                <a:extLst>
                  <a:ext uri="{FF2B5EF4-FFF2-40B4-BE49-F238E27FC236}">
                    <a16:creationId xmlns:a16="http://schemas.microsoft.com/office/drawing/2014/main" id="{00000000-0008-0000-0500-000029000000}"/>
                  </a:ext>
                </a:extLst>
              </xdr:cNvPr>
              <xdr:cNvSpPr/>
            </xdr:nvSpPr>
            <xdr:spPr>
              <a:xfrm>
                <a:off x="3552825" y="32442150"/>
                <a:ext cx="4086226" cy="838200"/>
              </a:xfrm>
              <a:prstGeom prst="rect">
                <a:avLst/>
              </a:prstGeom>
              <a:solidFill>
                <a:schemeClr val="bg2">
                  <a:lumMod val="90000"/>
                </a:schemeClr>
              </a:solidFill>
              <a:ln>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latin typeface="Arial" panose="020B0604020202020204" pitchFamily="34" charset="0"/>
                    <a:cs typeface="Arial" panose="020B0604020202020204" pitchFamily="34" charset="0"/>
                  </a:rPr>
                  <a:t>Exposure</a:t>
                </a:r>
                <a:r>
                  <a:rPr lang="en-US" sz="1100" baseline="0">
                    <a:solidFill>
                      <a:sysClr val="windowText" lastClr="000000"/>
                    </a:solidFill>
                    <a:latin typeface="Arial" panose="020B0604020202020204" pitchFamily="34" charset="0"/>
                    <a:cs typeface="Arial" panose="020B0604020202020204" pitchFamily="34" charset="0"/>
                  </a:rPr>
                  <a:t> occurs: for a set number of days within a week- e.g., workdays (five of the seven days)</a:t>
                </a:r>
              </a:p>
              <a:p>
                <a:pPr algn="l"/>
                <a:endParaRPr lang="en-US" sz="1100" baseline="0">
                  <a:solidFill>
                    <a:sysClr val="windowText" lastClr="000000"/>
                  </a:solidFill>
                  <a:latin typeface="Arial" panose="020B0604020202020204" pitchFamily="34" charset="0"/>
                  <a:cs typeface="Arial" panose="020B0604020202020204" pitchFamily="34" charset="0"/>
                </a:endParaRPr>
              </a:p>
              <a:p>
                <a:pPr algn="l"/>
                <a:r>
                  <a:rPr lang="en-US" sz="1100" baseline="0">
                    <a:solidFill>
                      <a:sysClr val="windowText" lastClr="000000"/>
                    </a:solidFill>
                    <a:latin typeface="Arial" panose="020B0604020202020204" pitchFamily="34" charset="0"/>
                    <a:cs typeface="Arial" panose="020B0604020202020204" pitchFamily="34" charset="0"/>
                  </a:rPr>
                  <a:t>Masking should be applied two of the seven day week.</a:t>
                </a:r>
                <a:endParaRPr lang="en-US" sz="1100">
                  <a:solidFill>
                    <a:sysClr val="windowText" lastClr="000000"/>
                  </a:solidFill>
                  <a:latin typeface="Arial" panose="020B0604020202020204" pitchFamily="34" charset="0"/>
                  <a:cs typeface="Arial" panose="020B0604020202020204" pitchFamily="34" charset="0"/>
                </a:endParaRPr>
              </a:p>
            </xdr:txBody>
          </xdr:sp>
          <xdr:pic>
            <xdr:nvPicPr>
              <xdr:cNvPr id="42" name="Picture 41" hidden="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4"/>
              <a:stretch>
                <a:fillRect/>
              </a:stretch>
            </xdr:blipFill>
            <xdr:spPr>
              <a:xfrm>
                <a:off x="7839075" y="31651612"/>
                <a:ext cx="4980952" cy="600000"/>
              </a:xfrm>
              <a:prstGeom prst="rect">
                <a:avLst/>
              </a:prstGeom>
            </xdr:spPr>
          </xdr:pic>
          <xdr:pic>
            <xdr:nvPicPr>
              <xdr:cNvPr id="43" name="Picture 42" hidden="1">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5"/>
              <a:stretch>
                <a:fillRect/>
              </a:stretch>
            </xdr:blipFill>
            <xdr:spPr>
              <a:xfrm>
                <a:off x="7839075" y="32556488"/>
                <a:ext cx="4980952" cy="609524"/>
              </a:xfrm>
              <a:prstGeom prst="rect">
                <a:avLst/>
              </a:prstGeom>
            </xdr:spPr>
          </xdr:pic>
          <xdr:sp macro="" textlink="">
            <xdr:nvSpPr>
              <xdr:cNvPr id="44" name="Rectangle 43" hidden="1">
                <a:extLst>
                  <a:ext uri="{FF2B5EF4-FFF2-40B4-BE49-F238E27FC236}">
                    <a16:creationId xmlns:a16="http://schemas.microsoft.com/office/drawing/2014/main" id="{00000000-0008-0000-0500-00002C000000}"/>
                  </a:ext>
                </a:extLst>
              </xdr:cNvPr>
              <xdr:cNvSpPr/>
            </xdr:nvSpPr>
            <xdr:spPr>
              <a:xfrm>
                <a:off x="3552825" y="30718125"/>
                <a:ext cx="4086226" cy="742950"/>
              </a:xfrm>
              <a:prstGeom prst="rect">
                <a:avLst/>
              </a:prstGeom>
              <a:solidFill>
                <a:schemeClr val="bg2">
                  <a:lumMod val="90000"/>
                </a:schemeClr>
              </a:solidFill>
              <a:ln>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latin typeface="Arial" panose="020B0604020202020204" pitchFamily="34" charset="0"/>
                    <a:cs typeface="Arial" panose="020B0604020202020204" pitchFamily="34" charset="0"/>
                  </a:rPr>
                  <a:t>Exposure</a:t>
                </a:r>
                <a:r>
                  <a:rPr lang="en-US" sz="1100" baseline="0">
                    <a:solidFill>
                      <a:sysClr val="windowText" lastClr="000000"/>
                    </a:solidFill>
                    <a:latin typeface="Arial" panose="020B0604020202020204" pitchFamily="34" charset="0"/>
                    <a:cs typeface="Arial" panose="020B0604020202020204" pitchFamily="34" charset="0"/>
                  </a:rPr>
                  <a:t> occurs: for a set number of years over the course of many years - e.g., five out of ten years </a:t>
                </a:r>
              </a:p>
              <a:p>
                <a:pPr algn="l"/>
                <a:endParaRPr lang="en-US" sz="1100" baseline="0">
                  <a:solidFill>
                    <a:sysClr val="windowText" lastClr="000000"/>
                  </a:solidFill>
                  <a:latin typeface="Arial" panose="020B0604020202020204" pitchFamily="34" charset="0"/>
                  <a:cs typeface="Arial" panose="020B0604020202020204" pitchFamily="34" charset="0"/>
                </a:endParaRPr>
              </a:p>
              <a:p>
                <a:pPr algn="l"/>
                <a:r>
                  <a:rPr lang="en-US" sz="1100" baseline="0">
                    <a:solidFill>
                      <a:sysClr val="windowText" lastClr="000000"/>
                    </a:solidFill>
                    <a:latin typeface="Arial" panose="020B0604020202020204" pitchFamily="34" charset="0"/>
                    <a:cs typeface="Arial" panose="020B0604020202020204" pitchFamily="34" charset="0"/>
                  </a:rPr>
                  <a:t>Masking should be applied the remaining five years.</a:t>
                </a:r>
                <a:endParaRPr lang="en-US" sz="1100">
                  <a:solidFill>
                    <a:sysClr val="windowText" lastClr="000000"/>
                  </a:solidFill>
                  <a:latin typeface="Arial" panose="020B0604020202020204" pitchFamily="34" charset="0"/>
                  <a:cs typeface="Arial" panose="020B0604020202020204" pitchFamily="34" charset="0"/>
                </a:endParaRPr>
              </a:p>
            </xdr:txBody>
          </xdr:sp>
          <xdr:pic>
            <xdr:nvPicPr>
              <xdr:cNvPr id="45" name="Picture 44" hidden="1">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6"/>
              <a:stretch>
                <a:fillRect/>
              </a:stretch>
            </xdr:blipFill>
            <xdr:spPr>
              <a:xfrm>
                <a:off x="7858125" y="30808648"/>
                <a:ext cx="4971429" cy="561905"/>
              </a:xfrm>
              <a:prstGeom prst="rect">
                <a:avLst/>
              </a:prstGeom>
            </xdr:spPr>
          </xdr:pic>
          <xdr:sp macro="" textlink="">
            <xdr:nvSpPr>
              <xdr:cNvPr id="46" name="TextBox 45" hidden="1">
                <a:extLst>
                  <a:ext uri="{FF2B5EF4-FFF2-40B4-BE49-F238E27FC236}">
                    <a16:creationId xmlns:a16="http://schemas.microsoft.com/office/drawing/2014/main" id="{00000000-0008-0000-0500-00002E000000}"/>
                  </a:ext>
                </a:extLst>
              </xdr:cNvPr>
              <xdr:cNvSpPr txBox="1"/>
            </xdr:nvSpPr>
            <xdr:spPr>
              <a:xfrm>
                <a:off x="3457575" y="33470850"/>
                <a:ext cx="9553575" cy="628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0">
                    <a:solidFill>
                      <a:schemeClr val="dk1"/>
                    </a:solidFill>
                    <a:effectLst/>
                    <a:latin typeface="Arial" panose="020B0604020202020204" pitchFamily="34" charset="0"/>
                    <a:ea typeface="+mn-ea"/>
                    <a:cs typeface="Arial" panose="020B0604020202020204" pitchFamily="34" charset="0"/>
                  </a:rPr>
                  <a:t>Note:</a:t>
                </a:r>
                <a:r>
                  <a:rPr lang="en-US" sz="1200" b="0" i="0" baseline="0">
                    <a:solidFill>
                      <a:schemeClr val="dk1"/>
                    </a:solidFill>
                    <a:effectLst/>
                    <a:latin typeface="Arial" panose="020B0604020202020204" pitchFamily="34" charset="0"/>
                    <a:ea typeface="+mn-ea"/>
                    <a:cs typeface="Arial" panose="020B0604020202020204" pitchFamily="34" charset="0"/>
                  </a:rPr>
                  <a:t> These are general examples and how masks should be entered will also depend on how the simulation is set up. Other inputs to  consider include the ages entered on the Simulation Control tab and the concentration data on the Media tab. </a:t>
                </a:r>
                <a:endParaRPr lang="en-US" sz="1200" b="0" i="0">
                  <a:latin typeface="Arial" panose="020B0604020202020204" pitchFamily="34" charset="0"/>
                  <a:cs typeface="Arial" panose="020B0604020202020204" pitchFamily="34" charset="0"/>
                </a:endParaRPr>
              </a:p>
            </xdr:txBody>
          </xdr:sp>
        </xdr:grpSp>
        <xdr:pic macro="[0]!Sheet21.Masking_Close">
          <xdr:nvPicPr>
            <xdr:cNvPr id="27" name="Graphic 26" descr="Badge Cross with solid fill" hidden="1">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077701" y="26336624"/>
              <a:ext cx="428625" cy="428625"/>
            </a:xfrm>
            <a:prstGeom prst="rect">
              <a:avLst/>
            </a:prstGeom>
          </xdr:spPr>
        </xdr:pic>
      </xdr:grpSp>
    </xdr:grpSp>
    <xdr:clientData/>
  </xdr:twoCellAnchor>
  <xdr:twoCellAnchor>
    <xdr:from>
      <xdr:col>1</xdr:col>
      <xdr:colOff>116832</xdr:colOff>
      <xdr:row>3</xdr:row>
      <xdr:rowOff>49391</xdr:rowOff>
    </xdr:from>
    <xdr:to>
      <xdr:col>2</xdr:col>
      <xdr:colOff>866661</xdr:colOff>
      <xdr:row>3</xdr:row>
      <xdr:rowOff>611856</xdr:rowOff>
    </xdr:to>
    <xdr:grpSp>
      <xdr:nvGrpSpPr>
        <xdr:cNvPr id="15" name="Group 14" descr="Help button for setting up masks">
          <a:extLst>
            <a:ext uri="{FF2B5EF4-FFF2-40B4-BE49-F238E27FC236}">
              <a16:creationId xmlns:a16="http://schemas.microsoft.com/office/drawing/2014/main" id="{00000000-0008-0000-0500-00000F000000}"/>
            </a:ext>
          </a:extLst>
        </xdr:cNvPr>
        <xdr:cNvGrpSpPr/>
      </xdr:nvGrpSpPr>
      <xdr:grpSpPr>
        <a:xfrm>
          <a:off x="185624" y="594433"/>
          <a:ext cx="1236662" cy="562465"/>
          <a:chOff x="15344775" y="109008"/>
          <a:chExt cx="1210733" cy="570442"/>
        </a:xfrm>
      </xdr:grpSpPr>
      <xdr:sp macro="[0]!Sheet21.Masking_Help" textlink="">
        <xdr:nvSpPr>
          <xdr:cNvPr id="69" name="Rectangle 68">
            <a:extLst>
              <a:ext uri="{FF2B5EF4-FFF2-40B4-BE49-F238E27FC236}">
                <a16:creationId xmlns:a16="http://schemas.microsoft.com/office/drawing/2014/main" id="{00000000-0008-0000-0500-000045000000}"/>
              </a:ext>
            </a:extLst>
          </xdr:cNvPr>
          <xdr:cNvSpPr/>
        </xdr:nvSpPr>
        <xdr:spPr>
          <a:xfrm>
            <a:off x="15344775" y="109008"/>
            <a:ext cx="1210733" cy="570442"/>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2">
                    <a:lumMod val="50000"/>
                  </a:schemeClr>
                </a:solidFill>
              </a:rPr>
              <a:t>Masking Help</a:t>
            </a:r>
          </a:p>
        </xdr:txBody>
      </xdr:sp>
      <xdr:pic macro="[0]!Sheet21.Masking_Help">
        <xdr:nvPicPr>
          <xdr:cNvPr id="14" name="Graphic 13" descr="Question Mark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840075" y="171450"/>
            <a:ext cx="276225" cy="276225"/>
          </a:xfrm>
          <a:prstGeom prst="rect">
            <a:avLst/>
          </a:prstGeom>
        </xdr:spPr>
      </xdr:pic>
    </xdr:grpSp>
    <xdr:clientData/>
  </xdr:twoCellAnchor>
  <xdr:twoCellAnchor>
    <xdr:from>
      <xdr:col>2</xdr:col>
      <xdr:colOff>894082</xdr:colOff>
      <xdr:row>3</xdr:row>
      <xdr:rowOff>49391</xdr:rowOff>
    </xdr:from>
    <xdr:to>
      <xdr:col>3</xdr:col>
      <xdr:colOff>430497</xdr:colOff>
      <xdr:row>3</xdr:row>
      <xdr:rowOff>611856</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449707" y="594433"/>
          <a:ext cx="1092165" cy="562465"/>
          <a:chOff x="16603261" y="101892"/>
          <a:chExt cx="1015964" cy="571990"/>
        </a:xfrm>
      </xdr:grpSpPr>
      <xdr:sp macro="[0]!Sheet21.ClearAll" textlink="">
        <xdr:nvSpPr>
          <xdr:cNvPr id="7" name="Rectangle 6">
            <a:extLst>
              <a:ext uri="{FF2B5EF4-FFF2-40B4-BE49-F238E27FC236}">
                <a16:creationId xmlns:a16="http://schemas.microsoft.com/office/drawing/2014/main" id="{00000000-0008-0000-0500-000007000000}"/>
              </a:ext>
            </a:extLst>
          </xdr:cNvPr>
          <xdr:cNvSpPr/>
        </xdr:nvSpPr>
        <xdr:spPr>
          <a:xfrm>
            <a:off x="16603261" y="101892"/>
            <a:ext cx="1015964" cy="571990"/>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2">
                    <a:lumMod val="50000"/>
                  </a:schemeClr>
                </a:solidFill>
              </a:rPr>
              <a:t>Reset</a:t>
            </a:r>
          </a:p>
        </xdr:txBody>
      </xdr:sp>
      <xdr:pic macro="[0]!Growth_Defualt">
        <xdr:nvPicPr>
          <xdr:cNvPr id="68" name="Graphic 67" descr="Line arrow: Rotate left with solid fill">
            <a:extLst>
              <a:ext uri="{FF2B5EF4-FFF2-40B4-BE49-F238E27FC236}">
                <a16:creationId xmlns:a16="http://schemas.microsoft.com/office/drawing/2014/main" id="{00000000-0008-0000-0500-00004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906875" y="123825"/>
            <a:ext cx="417695" cy="380788"/>
          </a:xfrm>
          <a:prstGeom prst="rect">
            <a:avLst/>
          </a:prstGeom>
        </xdr:spPr>
      </xdr:pic>
    </xdr:grpSp>
    <xdr:clientData/>
  </xdr:twoCellAnchor>
  <xdr:twoCellAnchor>
    <xdr:from>
      <xdr:col>1</xdr:col>
      <xdr:colOff>120308</xdr:colOff>
      <xdr:row>9</xdr:row>
      <xdr:rowOff>260701</xdr:rowOff>
    </xdr:from>
    <xdr:to>
      <xdr:col>2</xdr:col>
      <xdr:colOff>1090324</xdr:colOff>
      <xdr:row>9</xdr:row>
      <xdr:rowOff>507589</xdr:rowOff>
    </xdr:to>
    <xdr:sp macro="[0]!SoilDefault" textlink="">
      <xdr:nvSpPr>
        <xdr:cNvPr id="94" name="Rectangle 93">
          <a:extLst>
            <a:ext uri="{FF2B5EF4-FFF2-40B4-BE49-F238E27FC236}">
              <a16:creationId xmlns:a16="http://schemas.microsoft.com/office/drawing/2014/main" id="{00000000-0008-0000-0500-00005E000000}"/>
            </a:ext>
          </a:extLst>
        </xdr:cNvPr>
        <xdr:cNvSpPr/>
      </xdr:nvSpPr>
      <xdr:spPr>
        <a:xfrm>
          <a:off x="183209" y="2947470"/>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Reset Soil</a:t>
          </a:r>
        </a:p>
      </xdr:txBody>
    </xdr:sp>
    <xdr:clientData/>
  </xdr:twoCellAnchor>
  <xdr:twoCellAnchor>
    <xdr:from>
      <xdr:col>4</xdr:col>
      <xdr:colOff>80873</xdr:colOff>
      <xdr:row>36</xdr:row>
      <xdr:rowOff>269575</xdr:rowOff>
    </xdr:from>
    <xdr:to>
      <xdr:col>5</xdr:col>
      <xdr:colOff>251148</xdr:colOff>
      <xdr:row>36</xdr:row>
      <xdr:rowOff>516463</xdr:rowOff>
    </xdr:to>
    <xdr:sp macro="[0]!DustDefault" textlink="">
      <xdr:nvSpPr>
        <xdr:cNvPr id="9" name="Rectangle 8">
          <a:extLst>
            <a:ext uri="{FF2B5EF4-FFF2-40B4-BE49-F238E27FC236}">
              <a16:creationId xmlns:a16="http://schemas.microsoft.com/office/drawing/2014/main" id="{00000000-0008-0000-0500-000009000000}"/>
            </a:ext>
          </a:extLst>
        </xdr:cNvPr>
        <xdr:cNvSpPr/>
      </xdr:nvSpPr>
      <xdr:spPr>
        <a:xfrm>
          <a:off x="3109104" y="7952476"/>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Reset Dust</a:t>
          </a:r>
        </a:p>
      </xdr:txBody>
    </xdr:sp>
    <xdr:clientData/>
  </xdr:twoCellAnchor>
  <xdr:twoCellAnchor>
    <xdr:from>
      <xdr:col>2</xdr:col>
      <xdr:colOff>1141203</xdr:colOff>
      <xdr:row>90</xdr:row>
      <xdr:rowOff>269575</xdr:rowOff>
    </xdr:from>
    <xdr:to>
      <xdr:col>4</xdr:col>
      <xdr:colOff>80417</xdr:colOff>
      <xdr:row>90</xdr:row>
      <xdr:rowOff>516463</xdr:rowOff>
    </xdr:to>
    <xdr:sp macro="[0]!AirDefault" textlink="">
      <xdr:nvSpPr>
        <xdr:cNvPr id="11" name="Rectangle 10">
          <a:extLst>
            <a:ext uri="{FF2B5EF4-FFF2-40B4-BE49-F238E27FC236}">
              <a16:creationId xmlns:a16="http://schemas.microsoft.com/office/drawing/2014/main" id="{00000000-0008-0000-0500-00000B000000}"/>
            </a:ext>
          </a:extLst>
        </xdr:cNvPr>
        <xdr:cNvSpPr/>
      </xdr:nvSpPr>
      <xdr:spPr>
        <a:xfrm>
          <a:off x="1671368" y="18232287"/>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Reset Air</a:t>
          </a:r>
        </a:p>
      </xdr:txBody>
    </xdr:sp>
    <xdr:clientData/>
  </xdr:twoCellAnchor>
  <xdr:twoCellAnchor>
    <xdr:from>
      <xdr:col>2</xdr:col>
      <xdr:colOff>1123231</xdr:colOff>
      <xdr:row>63</xdr:row>
      <xdr:rowOff>269576</xdr:rowOff>
    </xdr:from>
    <xdr:to>
      <xdr:col>4</xdr:col>
      <xdr:colOff>62445</xdr:colOff>
      <xdr:row>63</xdr:row>
      <xdr:rowOff>516464</xdr:rowOff>
    </xdr:to>
    <xdr:sp macro="[0]!WaterDefault" textlink="">
      <xdr:nvSpPr>
        <xdr:cNvPr id="24" name="Rectangle 23">
          <a:extLst>
            <a:ext uri="{FF2B5EF4-FFF2-40B4-BE49-F238E27FC236}">
              <a16:creationId xmlns:a16="http://schemas.microsoft.com/office/drawing/2014/main" id="{00000000-0008-0000-0500-000018000000}"/>
            </a:ext>
          </a:extLst>
        </xdr:cNvPr>
        <xdr:cNvSpPr/>
      </xdr:nvSpPr>
      <xdr:spPr>
        <a:xfrm>
          <a:off x="1653396" y="13281085"/>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Reset Water</a:t>
          </a:r>
        </a:p>
      </xdr:txBody>
    </xdr:sp>
    <xdr:clientData/>
  </xdr:twoCellAnchor>
  <xdr:twoCellAnchor>
    <xdr:from>
      <xdr:col>2</xdr:col>
      <xdr:colOff>1186132</xdr:colOff>
      <xdr:row>117</xdr:row>
      <xdr:rowOff>251604</xdr:rowOff>
    </xdr:from>
    <xdr:to>
      <xdr:col>4</xdr:col>
      <xdr:colOff>125346</xdr:colOff>
      <xdr:row>117</xdr:row>
      <xdr:rowOff>498492</xdr:rowOff>
    </xdr:to>
    <xdr:sp macro="[0]!FoodDefault" textlink="">
      <xdr:nvSpPr>
        <xdr:cNvPr id="31" name="Rectangle 30">
          <a:extLst>
            <a:ext uri="{FF2B5EF4-FFF2-40B4-BE49-F238E27FC236}">
              <a16:creationId xmlns:a16="http://schemas.microsoft.com/office/drawing/2014/main" id="{00000000-0008-0000-0500-00001F000000}"/>
            </a:ext>
          </a:extLst>
        </xdr:cNvPr>
        <xdr:cNvSpPr/>
      </xdr:nvSpPr>
      <xdr:spPr>
        <a:xfrm>
          <a:off x="1716297" y="23201462"/>
          <a:ext cx="1437280" cy="24688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2">
                  <a:lumMod val="50000"/>
                </a:schemeClr>
              </a:solidFill>
            </a:rPr>
            <a:t>Reset Food</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926044</xdr:colOff>
      <xdr:row>28</xdr:row>
      <xdr:rowOff>134059</xdr:rowOff>
    </xdr:from>
    <xdr:to>
      <xdr:col>2</xdr:col>
      <xdr:colOff>2115424</xdr:colOff>
      <xdr:row>32</xdr:row>
      <xdr:rowOff>12350</xdr:rowOff>
    </xdr:to>
    <xdr:sp macro="[0]!LTC2Media_Click" textlink="">
      <xdr:nvSpPr>
        <xdr:cNvPr id="2" name="Rectangle 1">
          <a:extLst>
            <a:ext uri="{FF2B5EF4-FFF2-40B4-BE49-F238E27FC236}">
              <a16:creationId xmlns:a16="http://schemas.microsoft.com/office/drawing/2014/main" id="{BB26FC59-F21E-41D9-B397-C7BBF6716AB0}"/>
            </a:ext>
          </a:extLst>
        </xdr:cNvPr>
        <xdr:cNvSpPr/>
      </xdr:nvSpPr>
      <xdr:spPr>
        <a:xfrm>
          <a:off x="1513419" y="4377976"/>
          <a:ext cx="1189380" cy="513291"/>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2">
                  <a:lumMod val="50000"/>
                </a:schemeClr>
              </a:solidFill>
            </a:rPr>
            <a:t>Done</a:t>
          </a:r>
          <a:r>
            <a:rPr lang="en-US" sz="1200" b="1" baseline="0">
              <a:solidFill>
                <a:schemeClr val="accent2">
                  <a:lumMod val="50000"/>
                </a:schemeClr>
              </a:solidFill>
            </a:rPr>
            <a:t> </a:t>
          </a:r>
        </a:p>
        <a:p>
          <a:pPr algn="ctr"/>
          <a:r>
            <a:rPr lang="en-US" sz="1100" b="1" i="1">
              <a:solidFill>
                <a:schemeClr val="accent2">
                  <a:lumMod val="50000"/>
                </a:schemeClr>
              </a:solidFill>
            </a:rPr>
            <a:t>Return to Media</a:t>
          </a:r>
        </a:p>
      </xdr:txBody>
    </xdr:sp>
    <xdr:clientData/>
  </xdr:twoCellAnchor>
  <xdr:oneCellAnchor>
    <xdr:from>
      <xdr:col>3</xdr:col>
      <xdr:colOff>627944</xdr:colOff>
      <xdr:row>31</xdr:row>
      <xdr:rowOff>18345</xdr:rowOff>
    </xdr:from>
    <xdr:ext cx="4803431" cy="15651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EF1C75B3-AC2B-403A-95C6-261C9EA25523}"/>
                </a:ext>
              </a:extLst>
            </xdr:cNvPr>
            <xdr:cNvSpPr txBox="1"/>
          </xdr:nvSpPr>
          <xdr:spPr>
            <a:xfrm>
              <a:off x="4321527" y="4738512"/>
              <a:ext cx="4803431"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000" b="1" i="1">
                        <a:solidFill>
                          <a:schemeClr val="tx1"/>
                        </a:solidFill>
                        <a:latin typeface="Cambria Math" panose="02040503050406030204" pitchFamily="18" charset="0"/>
                      </a:rPr>
                      <m:t>𝑷𝒃</m:t>
                    </m:r>
                    <m:r>
                      <a:rPr lang="en-US" sz="1000" b="1" i="1">
                        <a:solidFill>
                          <a:schemeClr val="tx1"/>
                        </a:solidFill>
                        <a:latin typeface="Cambria Math" panose="02040503050406030204" pitchFamily="18" charset="0"/>
                      </a:rPr>
                      <m:t> </m:t>
                    </m:r>
                    <m:r>
                      <a:rPr lang="en-US" sz="1000" b="1" i="1">
                        <a:solidFill>
                          <a:schemeClr val="tx1"/>
                        </a:solidFill>
                        <a:latin typeface="Cambria Math" panose="02040503050406030204" pitchFamily="18" charset="0"/>
                      </a:rPr>
                      <m:t>𝒅𝒖𝒔𝒕</m:t>
                    </m:r>
                    <m:r>
                      <a:rPr lang="en-US" sz="1000" b="1" i="1">
                        <a:solidFill>
                          <a:schemeClr val="tx1"/>
                        </a:solidFill>
                        <a:latin typeface="Cambria Math" panose="02040503050406030204" pitchFamily="18" charset="0"/>
                      </a:rPr>
                      <m:t> </m:t>
                    </m:r>
                    <m:r>
                      <a:rPr lang="en-US" sz="1000" b="1" i="1">
                        <a:solidFill>
                          <a:schemeClr val="tx1"/>
                        </a:solidFill>
                        <a:latin typeface="Cambria Math" panose="02040503050406030204" pitchFamily="18" charset="0"/>
                      </a:rPr>
                      <m:t>𝒄𝒐𝒏𝒄𝒆𝒏𝒕𝒓𝒂𝒕𝒊𝒐𝒏</m:t>
                    </m:r>
                    <m:r>
                      <a:rPr lang="en-US" sz="1000" b="1" i="1">
                        <a:solidFill>
                          <a:schemeClr val="tx1"/>
                        </a:solidFill>
                        <a:latin typeface="Cambria Math" panose="02040503050406030204" pitchFamily="18" charset="0"/>
                      </a:rPr>
                      <m:t>=</m:t>
                    </m:r>
                    <m:r>
                      <a:rPr lang="en-US" sz="1000" b="1" i="1">
                        <a:solidFill>
                          <a:schemeClr val="tx1"/>
                        </a:solidFill>
                        <a:latin typeface="Cambria Math" panose="02040503050406030204" pitchFamily="18" charset="0"/>
                      </a:rPr>
                      <m:t>𝑬𝑿𝑷</m:t>
                    </m:r>
                    <m:d>
                      <m:dPr>
                        <m:begChr m:val="{"/>
                        <m:endChr m:val="}"/>
                        <m:ctrlPr>
                          <a:rPr lang="en-US" sz="1000" b="1" i="1">
                            <a:solidFill>
                              <a:schemeClr val="tx1"/>
                            </a:solidFill>
                            <a:latin typeface="Cambria Math" panose="02040503050406030204" pitchFamily="18" charset="0"/>
                          </a:rPr>
                        </m:ctrlPr>
                      </m:dPr>
                      <m:e>
                        <m:r>
                          <a:rPr lang="en-US" sz="1000" b="1" i="1">
                            <a:solidFill>
                              <a:schemeClr val="tx1"/>
                            </a:solidFill>
                            <a:latin typeface="Cambria Math" panose="02040503050406030204" pitchFamily="18" charset="0"/>
                          </a:rPr>
                          <m:t>𝟓</m:t>
                        </m:r>
                        <m:r>
                          <a:rPr lang="en-US" sz="1000" b="1" i="1">
                            <a:solidFill>
                              <a:schemeClr val="tx1"/>
                            </a:solidFill>
                            <a:latin typeface="Cambria Math" panose="02040503050406030204" pitchFamily="18" charset="0"/>
                          </a:rPr>
                          <m:t>.</m:t>
                        </m:r>
                        <m:r>
                          <a:rPr lang="en-US" sz="1000" b="1" i="1">
                            <a:solidFill>
                              <a:schemeClr val="tx1"/>
                            </a:solidFill>
                            <a:latin typeface="Cambria Math" panose="02040503050406030204" pitchFamily="18" charset="0"/>
                          </a:rPr>
                          <m:t>𝟐𝟗𝟏</m:t>
                        </m:r>
                        <m:r>
                          <a:rPr lang="en-US" sz="1000" b="1" i="1">
                            <a:solidFill>
                              <a:schemeClr val="tx1"/>
                            </a:solidFill>
                            <a:latin typeface="Cambria Math" panose="02040503050406030204" pitchFamily="18" charset="0"/>
                          </a:rPr>
                          <m:t>+</m:t>
                        </m:r>
                        <m:r>
                          <a:rPr lang="en-US" sz="1000" b="1" i="1">
                            <a:solidFill>
                              <a:schemeClr val="tx1"/>
                            </a:solidFill>
                            <a:latin typeface="Cambria Math" panose="02040503050406030204" pitchFamily="18" charset="0"/>
                          </a:rPr>
                          <m:t>𝟎</m:t>
                        </m:r>
                        <m:r>
                          <a:rPr lang="en-US" sz="1000" b="1" i="1">
                            <a:solidFill>
                              <a:schemeClr val="tx1"/>
                            </a:solidFill>
                            <a:latin typeface="Cambria Math" panose="02040503050406030204" pitchFamily="18" charset="0"/>
                          </a:rPr>
                          <m:t>.</m:t>
                        </m:r>
                        <m:r>
                          <a:rPr lang="en-US" sz="1000" b="1" i="1">
                            <a:solidFill>
                              <a:schemeClr val="tx1"/>
                            </a:solidFill>
                            <a:latin typeface="Cambria Math" panose="02040503050406030204" pitchFamily="18" charset="0"/>
                          </a:rPr>
                          <m:t>𝟒𝟏𝟑</m:t>
                        </m:r>
                        <m:r>
                          <a:rPr lang="en-US" sz="1000" b="1" i="1">
                            <a:solidFill>
                              <a:schemeClr val="tx1"/>
                            </a:solidFill>
                            <a:latin typeface="Cambria Math" panose="02040503050406030204" pitchFamily="18" charset="0"/>
                            <a:ea typeface="Cambria Math" panose="02040503050406030204" pitchFamily="18" charset="0"/>
                          </a:rPr>
                          <m:t>×</m:t>
                        </m:r>
                        <m:d>
                          <m:dPr>
                            <m:begChr m:val="["/>
                            <m:endChr m:val="]"/>
                            <m:ctrlPr>
                              <a:rPr lang="en-US" sz="1000" b="1" i="1">
                                <a:solidFill>
                                  <a:schemeClr val="tx1"/>
                                </a:solidFill>
                                <a:latin typeface="Cambria Math" panose="02040503050406030204" pitchFamily="18" charset="0"/>
                                <a:ea typeface="Cambria Math" panose="02040503050406030204" pitchFamily="18" charset="0"/>
                              </a:rPr>
                            </m:ctrlPr>
                          </m:dPr>
                          <m:e>
                            <m:func>
                              <m:funcPr>
                                <m:ctrlPr>
                                  <a:rPr lang="en-US" sz="1000" b="1" i="1">
                                    <a:solidFill>
                                      <a:schemeClr val="tx1"/>
                                    </a:solidFill>
                                    <a:latin typeface="Cambria Math" panose="02040503050406030204" pitchFamily="18" charset="0"/>
                                    <a:ea typeface="Cambria Math" panose="02040503050406030204" pitchFamily="18" charset="0"/>
                                  </a:rPr>
                                </m:ctrlPr>
                              </m:funcPr>
                              <m:fName>
                                <m:r>
                                  <a:rPr lang="en-US" sz="1000" b="1" i="0">
                                    <a:solidFill>
                                      <a:schemeClr val="tx1"/>
                                    </a:solidFill>
                                    <a:latin typeface="Cambria Math" panose="02040503050406030204" pitchFamily="18" charset="0"/>
                                    <a:ea typeface="Cambria Math" panose="02040503050406030204" pitchFamily="18" charset="0"/>
                                  </a:rPr>
                                  <m:t>𝐥𝐧</m:t>
                                </m:r>
                              </m:fName>
                              <m:e>
                                <m:d>
                                  <m:dPr>
                                    <m:ctrlPr>
                                      <a:rPr lang="en-US" sz="1000" b="1" i="1">
                                        <a:solidFill>
                                          <a:schemeClr val="tx1"/>
                                        </a:solidFill>
                                        <a:latin typeface="Cambria Math" panose="02040503050406030204" pitchFamily="18" charset="0"/>
                                        <a:ea typeface="Cambria Math" panose="02040503050406030204" pitchFamily="18" charset="0"/>
                                      </a:rPr>
                                    </m:ctrlPr>
                                  </m:dPr>
                                  <m:e>
                                    <m:r>
                                      <a:rPr lang="en-US" sz="1000" b="1" i="1">
                                        <a:solidFill>
                                          <a:schemeClr val="tx1"/>
                                        </a:solidFill>
                                        <a:latin typeface="Cambria Math" panose="02040503050406030204" pitchFamily="18" charset="0"/>
                                        <a:ea typeface="Cambria Math" panose="02040503050406030204" pitchFamily="18" charset="0"/>
                                      </a:rPr>
                                      <m:t>𝑷𝒃</m:t>
                                    </m:r>
                                    <m:r>
                                      <a:rPr lang="en-US" sz="1000" b="1" i="1">
                                        <a:solidFill>
                                          <a:schemeClr val="tx1"/>
                                        </a:solidFill>
                                        <a:latin typeface="Cambria Math" panose="02040503050406030204" pitchFamily="18" charset="0"/>
                                        <a:ea typeface="Cambria Math" panose="02040503050406030204" pitchFamily="18" charset="0"/>
                                      </a:rPr>
                                      <m:t> </m:t>
                                    </m:r>
                                    <m:r>
                                      <a:rPr lang="en-US" sz="1000" b="1" i="1">
                                        <a:solidFill>
                                          <a:schemeClr val="tx1"/>
                                        </a:solidFill>
                                        <a:latin typeface="Cambria Math" panose="02040503050406030204" pitchFamily="18" charset="0"/>
                                        <a:ea typeface="Cambria Math" panose="02040503050406030204" pitchFamily="18" charset="0"/>
                                      </a:rPr>
                                      <m:t>𝒅𝒖𝒔𝒕</m:t>
                                    </m:r>
                                    <m:r>
                                      <a:rPr lang="en-US" sz="1000" b="1" i="1">
                                        <a:solidFill>
                                          <a:schemeClr val="tx1"/>
                                        </a:solidFill>
                                        <a:latin typeface="Cambria Math" panose="02040503050406030204" pitchFamily="18" charset="0"/>
                                        <a:ea typeface="Cambria Math" panose="02040503050406030204" pitchFamily="18" charset="0"/>
                                      </a:rPr>
                                      <m:t> </m:t>
                                    </m:r>
                                    <m:r>
                                      <a:rPr lang="en-US" sz="1000" b="1" i="1">
                                        <a:solidFill>
                                          <a:schemeClr val="tx1"/>
                                        </a:solidFill>
                                        <a:latin typeface="Cambria Math" panose="02040503050406030204" pitchFamily="18" charset="0"/>
                                        <a:ea typeface="Cambria Math" panose="02040503050406030204" pitchFamily="18" charset="0"/>
                                      </a:rPr>
                                      <m:t>𝒍𝒐𝒂𝒅𝒊𝒏𝒈</m:t>
                                    </m:r>
                                  </m:e>
                                </m:d>
                                <m:r>
                                  <a:rPr lang="en-US" sz="1000" b="1" i="1">
                                    <a:solidFill>
                                      <a:schemeClr val="tx1"/>
                                    </a:solidFill>
                                    <a:latin typeface="Cambria Math" panose="02040503050406030204" pitchFamily="18" charset="0"/>
                                    <a:ea typeface="Cambria Math" panose="02040503050406030204" pitchFamily="18" charset="0"/>
                                  </a:rPr>
                                  <m:t>−</m:t>
                                </m:r>
                                <m:r>
                                  <a:rPr lang="en-US" sz="1000" b="1" i="1">
                                    <a:solidFill>
                                      <a:schemeClr val="tx1"/>
                                    </a:solidFill>
                                    <a:latin typeface="Cambria Math" panose="02040503050406030204" pitchFamily="18" charset="0"/>
                                    <a:ea typeface="Cambria Math" panose="02040503050406030204" pitchFamily="18" charset="0"/>
                                  </a:rPr>
                                  <m:t>𝟏</m:t>
                                </m:r>
                                <m:r>
                                  <a:rPr lang="en-US" sz="1000" b="1" i="1">
                                    <a:solidFill>
                                      <a:schemeClr val="tx1"/>
                                    </a:solidFill>
                                    <a:latin typeface="Cambria Math" panose="02040503050406030204" pitchFamily="18" charset="0"/>
                                    <a:ea typeface="Cambria Math" panose="02040503050406030204" pitchFamily="18" charset="0"/>
                                  </a:rPr>
                                  <m:t>.</m:t>
                                </m:r>
                                <m:r>
                                  <a:rPr lang="en-US" sz="1000" b="1" i="1">
                                    <a:solidFill>
                                      <a:schemeClr val="tx1"/>
                                    </a:solidFill>
                                    <a:latin typeface="Cambria Math" panose="02040503050406030204" pitchFamily="18" charset="0"/>
                                    <a:ea typeface="Cambria Math" panose="02040503050406030204" pitchFamily="18" charset="0"/>
                                  </a:rPr>
                                  <m:t>𝟐𝟕𝟐</m:t>
                                </m:r>
                              </m:e>
                            </m:func>
                          </m:e>
                        </m:d>
                      </m:e>
                    </m:d>
                  </m:oMath>
                </m:oMathPara>
              </a14:m>
              <a:endParaRPr lang="en-US" sz="1100" b="1">
                <a:solidFill>
                  <a:schemeClr val="tx1"/>
                </a:solidFill>
              </a:endParaRPr>
            </a:p>
          </xdr:txBody>
        </xdr:sp>
      </mc:Choice>
      <mc:Fallback xmlns="">
        <xdr:sp macro="" textlink="">
          <xdr:nvSpPr>
            <xdr:cNvPr id="4" name="TextBox 3">
              <a:extLst>
                <a:ext uri="{FF2B5EF4-FFF2-40B4-BE49-F238E27FC236}">
                  <a16:creationId xmlns:a16="http://schemas.microsoft.com/office/drawing/2014/main" id="{EF1C75B3-AC2B-403A-95C6-261C9EA25523}"/>
                </a:ext>
              </a:extLst>
            </xdr:cNvPr>
            <xdr:cNvSpPr txBox="1"/>
          </xdr:nvSpPr>
          <xdr:spPr>
            <a:xfrm>
              <a:off x="4321527" y="4738512"/>
              <a:ext cx="4803431" cy="156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000" b="1" i="0">
                  <a:solidFill>
                    <a:schemeClr val="tx1"/>
                  </a:solidFill>
                  <a:latin typeface="Cambria Math" panose="02040503050406030204" pitchFamily="18" charset="0"/>
                </a:rPr>
                <a:t>𝑷𝒃 𝒅𝒖𝒔𝒕 𝒄𝒐𝒏𝒄𝒆𝒏𝒕𝒓𝒂𝒕𝒊𝒐𝒏=𝑬𝑿𝑷{𝟓.𝟐𝟗𝟏+𝟎.𝟒𝟏𝟑</a:t>
              </a:r>
              <a:r>
                <a:rPr lang="en-US" sz="1000" b="1" i="0">
                  <a:solidFill>
                    <a:schemeClr val="tx1"/>
                  </a:solidFill>
                  <a:latin typeface="Cambria Math" panose="02040503050406030204" pitchFamily="18" charset="0"/>
                  <a:ea typeface="Cambria Math" panose="02040503050406030204" pitchFamily="18" charset="0"/>
                </a:rPr>
                <a:t>×[𝐥𝐧⁡〖(𝑷𝒃 𝒅𝒖𝒔𝒕 𝒍𝒐𝒂𝒅𝒊𝒏𝒈)−𝟏.𝟐𝟕𝟐〗 ]}</a:t>
              </a:r>
              <a:endParaRPr lang="en-US" sz="1100" b="1">
                <a:solidFill>
                  <a:schemeClr val="tx1"/>
                </a:solidFill>
              </a:endParaRPr>
            </a:p>
          </xdr:txBody>
        </xdr:sp>
      </mc:Fallback>
    </mc:AlternateContent>
    <xdr:clientData/>
  </xdr:oneCellAnchor>
</xdr:wsDr>
</file>

<file path=xl/drawings/drawing7.xml><?xml version="1.0" encoding="utf-8"?>
<xdr:wsDr xmlns:xdr="http://schemas.openxmlformats.org/drawingml/2006/spreadsheetDrawing" xmlns:a="http://schemas.openxmlformats.org/drawingml/2006/main">
  <xdr:twoCellAnchor>
    <xdr:from>
      <xdr:col>7</xdr:col>
      <xdr:colOff>3059546</xdr:colOff>
      <xdr:row>1</xdr:row>
      <xdr:rowOff>25398</xdr:rowOff>
    </xdr:from>
    <xdr:to>
      <xdr:col>8</xdr:col>
      <xdr:colOff>28865</xdr:colOff>
      <xdr:row>3</xdr:row>
      <xdr:rowOff>155863</xdr:rowOff>
    </xdr:to>
    <xdr:grpSp>
      <xdr:nvGrpSpPr>
        <xdr:cNvPr id="2" name="Group 1" descr="Done button">
          <a:extLst>
            <a:ext uri="{FF2B5EF4-FFF2-40B4-BE49-F238E27FC236}">
              <a16:creationId xmlns:a16="http://schemas.microsoft.com/office/drawing/2014/main" id="{00000000-0008-0000-0600-000002000000}"/>
            </a:ext>
          </a:extLst>
        </xdr:cNvPr>
        <xdr:cNvGrpSpPr/>
      </xdr:nvGrpSpPr>
      <xdr:grpSpPr>
        <a:xfrm>
          <a:off x="6644410" y="106216"/>
          <a:ext cx="1027546" cy="603829"/>
          <a:chOff x="10049741" y="106508"/>
          <a:chExt cx="1015712" cy="578798"/>
        </a:xfrm>
      </xdr:grpSpPr>
      <xdr:sp macro="[0]!Sheet6.Lung2Home_Click" textlink="">
        <xdr:nvSpPr>
          <xdr:cNvPr id="3" name="Rectangle 2">
            <a:extLst>
              <a:ext uri="{FF2B5EF4-FFF2-40B4-BE49-F238E27FC236}">
                <a16:creationId xmlns:a16="http://schemas.microsoft.com/office/drawing/2014/main" id="{00000000-0008-0000-0600-000003000000}"/>
              </a:ext>
            </a:extLst>
          </xdr:cNvPr>
          <xdr:cNvSpPr/>
        </xdr:nvSpPr>
        <xdr:spPr>
          <a:xfrm>
            <a:off x="10049741" y="106508"/>
            <a:ext cx="1015712" cy="578798"/>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2">
                    <a:lumMod val="50000"/>
                  </a:schemeClr>
                </a:solidFill>
              </a:rPr>
              <a:t>Done</a:t>
            </a:r>
          </a:p>
        </xdr:txBody>
      </xdr:sp>
      <xdr:pic macro="[0]!Sheet6.Lung2Home_Click">
        <xdr:nvPicPr>
          <xdr:cNvPr id="4" name="Graphic 3" descr="House outline">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85839" y="132361"/>
            <a:ext cx="342156" cy="348343"/>
          </a:xfrm>
          <a:prstGeom prst="rect">
            <a:avLst/>
          </a:prstGeom>
        </xdr:spPr>
      </xdr:pic>
    </xdr:grpSp>
    <xdr:clientData/>
  </xdr:twoCellAnchor>
  <xdr:twoCellAnchor editAs="absolute">
    <xdr:from>
      <xdr:col>6</xdr:col>
      <xdr:colOff>109361</xdr:colOff>
      <xdr:row>1</xdr:row>
      <xdr:rowOff>15441</xdr:rowOff>
    </xdr:from>
    <xdr:to>
      <xdr:col>7</xdr:col>
      <xdr:colOff>536862</xdr:colOff>
      <xdr:row>3</xdr:row>
      <xdr:rowOff>150090</xdr:rowOff>
    </xdr:to>
    <xdr:grpSp>
      <xdr:nvGrpSpPr>
        <xdr:cNvPr id="8" name="Group 7" descr="Reset button">
          <a:extLst>
            <a:ext uri="{FF2B5EF4-FFF2-40B4-BE49-F238E27FC236}">
              <a16:creationId xmlns:a16="http://schemas.microsoft.com/office/drawing/2014/main" id="{00000000-0008-0000-0600-000008000000}"/>
            </a:ext>
          </a:extLst>
        </xdr:cNvPr>
        <xdr:cNvGrpSpPr/>
      </xdr:nvGrpSpPr>
      <xdr:grpSpPr>
        <a:xfrm>
          <a:off x="3076543" y="96259"/>
          <a:ext cx="1045183" cy="608013"/>
          <a:chOff x="16202026" y="361950"/>
          <a:chExt cx="1104900" cy="581025"/>
        </a:xfrm>
      </xdr:grpSpPr>
      <xdr:sp macro="[0]!Lung_Default" textlink="">
        <xdr:nvSpPr>
          <xdr:cNvPr id="9" name="Rectangle 8">
            <a:extLst>
              <a:ext uri="{FF2B5EF4-FFF2-40B4-BE49-F238E27FC236}">
                <a16:creationId xmlns:a16="http://schemas.microsoft.com/office/drawing/2014/main" id="{00000000-0008-0000-0600-000009000000}"/>
              </a:ext>
            </a:extLst>
          </xdr:cNvPr>
          <xdr:cNvSpPr/>
        </xdr:nvSpPr>
        <xdr:spPr>
          <a:xfrm>
            <a:off x="16202026" y="361950"/>
            <a:ext cx="1104900" cy="581025"/>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2">
                    <a:lumMod val="50000"/>
                  </a:schemeClr>
                </a:solidFill>
              </a:rPr>
              <a:t>Reset</a:t>
            </a:r>
          </a:p>
        </xdr:txBody>
      </xdr:sp>
      <xdr:pic macro="[0]!Lung_Default">
        <xdr:nvPicPr>
          <xdr:cNvPr id="10" name="Graphic 9" descr="Line arrow: Rotate left with solid fill">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6554450" y="361950"/>
            <a:ext cx="371475" cy="371475"/>
          </a:xfrm>
          <a:prstGeom prst="rect">
            <a:avLst/>
          </a:prstGeom>
        </xdr:spPr>
      </xdr:pic>
    </xdr:grpSp>
    <xdr:clientData/>
  </xdr:twoCellAnchor>
  <xdr:twoCellAnchor>
    <xdr:from>
      <xdr:col>7</xdr:col>
      <xdr:colOff>1847273</xdr:colOff>
      <xdr:row>1</xdr:row>
      <xdr:rowOff>23091</xdr:rowOff>
    </xdr:from>
    <xdr:to>
      <xdr:col>7</xdr:col>
      <xdr:colOff>2990272</xdr:colOff>
      <xdr:row>3</xdr:row>
      <xdr:rowOff>150090</xdr:rowOff>
    </xdr:to>
    <xdr:grpSp>
      <xdr:nvGrpSpPr>
        <xdr:cNvPr id="5" name="Group 4" descr="Clear data button">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600-000008000000}"/>
            </a:ext>
          </a:extLst>
        </xdr:cNvPr>
        <xdr:cNvGrpSpPr/>
      </xdr:nvGrpSpPr>
      <xdr:grpSpPr>
        <a:xfrm>
          <a:off x="5432137" y="103909"/>
          <a:ext cx="1142999" cy="600363"/>
          <a:chOff x="19842518" y="1524000"/>
          <a:chExt cx="974898" cy="539750"/>
        </a:xfrm>
      </xdr:grpSpPr>
      <xdr:sp macro="[0]!Sheet6.Lung_Clear" textlink="">
        <xdr:nvSpPr>
          <xdr:cNvPr id="6" name="Rectangle 5">
            <a:extLst>
              <a:ext uri="{FF2B5EF4-FFF2-40B4-BE49-F238E27FC236}">
                <a16:creationId xmlns:a16="http://schemas.microsoft.com/office/drawing/2014/main" id="{00000000-0008-0000-0600-000006000000}"/>
              </a:ext>
            </a:extLst>
          </xdr:cNvPr>
          <xdr:cNvSpPr/>
        </xdr:nvSpPr>
        <xdr:spPr>
          <a:xfrm>
            <a:off x="19842518" y="1524000"/>
            <a:ext cx="974898" cy="539750"/>
          </a:xfrm>
          <a:prstGeom prst="rect">
            <a:avLst/>
          </a:prstGeom>
          <a:solidFill>
            <a:schemeClr val="bg1">
              <a:lumMod val="9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chemeClr val="accent2">
                    <a:lumMod val="50000"/>
                  </a:schemeClr>
                </a:solidFill>
              </a:rPr>
              <a:t>Clear All</a:t>
            </a:r>
          </a:p>
        </xdr:txBody>
      </xdr:sp>
      <xdr:pic macro="[0]!Sheet6.Lung_Clear">
        <xdr:nvPicPr>
          <xdr:cNvPr id="7" name="Graphic 6" descr="Close with solid fill">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193001" y="1583973"/>
            <a:ext cx="264584" cy="264584"/>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286828</xdr:colOff>
      <xdr:row>5</xdr:row>
      <xdr:rowOff>76256</xdr:rowOff>
    </xdr:from>
    <xdr:to>
      <xdr:col>4</xdr:col>
      <xdr:colOff>138593</xdr:colOff>
      <xdr:row>7</xdr:row>
      <xdr:rowOff>108006</xdr:rowOff>
    </xdr:to>
    <xdr:sp macro="[0]!GeneralRunInfo" textlink="">
      <xdr:nvSpPr>
        <xdr:cNvPr id="2" name="Rectangle 1">
          <a:extLst>
            <a:ext uri="{FF2B5EF4-FFF2-40B4-BE49-F238E27FC236}">
              <a16:creationId xmlns:a16="http://schemas.microsoft.com/office/drawing/2014/main" id="{C9313778-15FA-4370-AD5C-18F7ACE924CB}"/>
            </a:ext>
          </a:extLst>
        </xdr:cNvPr>
        <xdr:cNvSpPr/>
      </xdr:nvSpPr>
      <xdr:spPr>
        <a:xfrm>
          <a:off x="615534" y="946580"/>
          <a:ext cx="2444059" cy="4127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a:latin typeface="Arial" panose="020B0604020202020204" pitchFamily="34" charset="0"/>
              <a:cs typeface="Arial" panose="020B0604020202020204" pitchFamily="34" charset="0"/>
            </a:rPr>
            <a:t>General</a:t>
          </a:r>
          <a:r>
            <a:rPr lang="en-US" sz="1000" baseline="0">
              <a:latin typeface="Arial" panose="020B0604020202020204" pitchFamily="34" charset="0"/>
              <a:cs typeface="Arial" panose="020B0604020202020204" pitchFamily="34" charset="0"/>
            </a:rPr>
            <a:t> Run Information</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288739</xdr:colOff>
      <xdr:row>8</xdr:row>
      <xdr:rowOff>2976</xdr:rowOff>
    </xdr:from>
    <xdr:to>
      <xdr:col>4</xdr:col>
      <xdr:colOff>146418</xdr:colOff>
      <xdr:row>10</xdr:row>
      <xdr:rowOff>47428</xdr:rowOff>
    </xdr:to>
    <xdr:sp macro="[0]!AllowableConcentration" textlink="">
      <xdr:nvSpPr>
        <xdr:cNvPr id="3" name="Rectangle 2">
          <a:extLst>
            <a:ext uri="{FF2B5EF4-FFF2-40B4-BE49-F238E27FC236}">
              <a16:creationId xmlns:a16="http://schemas.microsoft.com/office/drawing/2014/main" id="{AE6E9E18-5404-4161-B743-6FCCC424259F}"/>
            </a:ext>
          </a:extLst>
        </xdr:cNvPr>
        <xdr:cNvSpPr/>
      </xdr:nvSpPr>
      <xdr:spPr>
        <a:xfrm>
          <a:off x="622114" y="1449044"/>
          <a:ext cx="2459736" cy="425452"/>
        </a:xfrm>
        <a:prstGeom prst="rect">
          <a:avLst/>
        </a:prstGeom>
        <a:solidFill>
          <a:schemeClr val="accent2">
            <a:lumMod val="50000"/>
          </a:schemeClr>
        </a:solidFill>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a:latin typeface="Arial" panose="020B0604020202020204" pitchFamily="34" charset="0"/>
              <a:cs typeface="Arial" panose="020B0604020202020204" pitchFamily="34" charset="0"/>
            </a:rPr>
            <a:t>Allowable Concentration</a:t>
          </a:r>
        </a:p>
      </xdr:txBody>
    </xdr:sp>
    <xdr:clientData/>
  </xdr:twoCellAnchor>
  <xdr:twoCellAnchor>
    <xdr:from>
      <xdr:col>1</xdr:col>
      <xdr:colOff>19050</xdr:colOff>
      <xdr:row>4</xdr:row>
      <xdr:rowOff>8359</xdr:rowOff>
    </xdr:from>
    <xdr:to>
      <xdr:col>4</xdr:col>
      <xdr:colOff>314326</xdr:colOff>
      <xdr:row>5</xdr:row>
      <xdr:rowOff>19439</xdr:rowOff>
    </xdr:to>
    <xdr:sp macro="" textlink="">
      <xdr:nvSpPr>
        <xdr:cNvPr id="6" name="TextBox 5">
          <a:extLst>
            <a:ext uri="{FF2B5EF4-FFF2-40B4-BE49-F238E27FC236}">
              <a16:creationId xmlns:a16="http://schemas.microsoft.com/office/drawing/2014/main" id="{9B94C1AF-233E-4806-9026-6BAF271B79CA}"/>
            </a:ext>
          </a:extLst>
        </xdr:cNvPr>
        <xdr:cNvSpPr txBox="1"/>
      </xdr:nvSpPr>
      <xdr:spPr>
        <a:xfrm>
          <a:off x="352425" y="697334"/>
          <a:ext cx="2892426" cy="1984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Arial" panose="020B0604020202020204" pitchFamily="34" charset="0"/>
              <a:cs typeface="Arial" panose="020B0604020202020204" pitchFamily="34" charset="0"/>
            </a:rPr>
            <a:t>Please select</a:t>
          </a:r>
          <a:r>
            <a:rPr lang="en-US" sz="1000" baseline="0">
              <a:latin typeface="Arial" panose="020B0604020202020204" pitchFamily="34" charset="0"/>
              <a:cs typeface="Arial" panose="020B0604020202020204" pitchFamily="34" charset="0"/>
            </a:rPr>
            <a:t> the outputs of interest:</a:t>
          </a:r>
          <a:endParaRPr lang="en-US" sz="1000">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286828</xdr:colOff>
      <xdr:row>5</xdr:row>
      <xdr:rowOff>76256</xdr:rowOff>
    </xdr:from>
    <xdr:to>
      <xdr:col>4</xdr:col>
      <xdr:colOff>138593</xdr:colOff>
      <xdr:row>7</xdr:row>
      <xdr:rowOff>108006</xdr:rowOff>
    </xdr:to>
    <xdr:sp macro="[0]!GeneralRunInfo" textlink="">
      <xdr:nvSpPr>
        <xdr:cNvPr id="2" name="Rectangle 1">
          <a:extLst>
            <a:ext uri="{FF2B5EF4-FFF2-40B4-BE49-F238E27FC236}">
              <a16:creationId xmlns:a16="http://schemas.microsoft.com/office/drawing/2014/main" id="{0A66FBC3-9566-4E8B-8BB2-338C7A398649}"/>
            </a:ext>
          </a:extLst>
        </xdr:cNvPr>
        <xdr:cNvSpPr/>
      </xdr:nvSpPr>
      <xdr:spPr>
        <a:xfrm>
          <a:off x="617028" y="946206"/>
          <a:ext cx="2442565" cy="4127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a:latin typeface="Arial" panose="020B0604020202020204" pitchFamily="34" charset="0"/>
              <a:cs typeface="Arial" panose="020B0604020202020204" pitchFamily="34" charset="0"/>
            </a:rPr>
            <a:t>General</a:t>
          </a:r>
          <a:r>
            <a:rPr lang="en-US" sz="1000" baseline="0">
              <a:latin typeface="Arial" panose="020B0604020202020204" pitchFamily="34" charset="0"/>
              <a:cs typeface="Arial" panose="020B0604020202020204" pitchFamily="34" charset="0"/>
            </a:rPr>
            <a:t> Run Information</a:t>
          </a:r>
          <a:endParaRPr lang="en-US" sz="1000">
            <a:latin typeface="Arial" panose="020B0604020202020204" pitchFamily="34" charset="0"/>
            <a:cs typeface="Arial" panose="020B0604020202020204" pitchFamily="34" charset="0"/>
          </a:endParaRPr>
        </a:p>
      </xdr:txBody>
    </xdr:sp>
    <xdr:clientData/>
  </xdr:twoCellAnchor>
  <xdr:twoCellAnchor>
    <xdr:from>
      <xdr:col>1</xdr:col>
      <xdr:colOff>288739</xdr:colOff>
      <xdr:row>8</xdr:row>
      <xdr:rowOff>2976</xdr:rowOff>
    </xdr:from>
    <xdr:to>
      <xdr:col>4</xdr:col>
      <xdr:colOff>146418</xdr:colOff>
      <xdr:row>10</xdr:row>
      <xdr:rowOff>47428</xdr:rowOff>
    </xdr:to>
    <xdr:sp macro="[0]!AllowableConcentration" textlink="">
      <xdr:nvSpPr>
        <xdr:cNvPr id="3" name="Rectangle 2">
          <a:extLst>
            <a:ext uri="{FF2B5EF4-FFF2-40B4-BE49-F238E27FC236}">
              <a16:creationId xmlns:a16="http://schemas.microsoft.com/office/drawing/2014/main" id="{2711910A-6C7C-42E5-9F79-616DE1CB130C}"/>
            </a:ext>
          </a:extLst>
        </xdr:cNvPr>
        <xdr:cNvSpPr/>
      </xdr:nvSpPr>
      <xdr:spPr>
        <a:xfrm>
          <a:off x="618939" y="1444426"/>
          <a:ext cx="2448479" cy="425452"/>
        </a:xfrm>
        <a:prstGeom prst="rect">
          <a:avLst/>
        </a:prstGeom>
        <a:solidFill>
          <a:schemeClr val="accent2">
            <a:lumMod val="50000"/>
          </a:schemeClr>
        </a:solidFill>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000">
              <a:latin typeface="Arial" panose="020B0604020202020204" pitchFamily="34" charset="0"/>
              <a:cs typeface="Arial" panose="020B0604020202020204" pitchFamily="34" charset="0"/>
            </a:rPr>
            <a:t>Allowable Concentration</a:t>
          </a:r>
        </a:p>
      </xdr:txBody>
    </xdr:sp>
    <xdr:clientData/>
  </xdr:twoCellAnchor>
  <xdr:twoCellAnchor>
    <xdr:from>
      <xdr:col>1</xdr:col>
      <xdr:colOff>19050</xdr:colOff>
      <xdr:row>4</xdr:row>
      <xdr:rowOff>8359</xdr:rowOff>
    </xdr:from>
    <xdr:to>
      <xdr:col>4</xdr:col>
      <xdr:colOff>314326</xdr:colOff>
      <xdr:row>5</xdr:row>
      <xdr:rowOff>19439</xdr:rowOff>
    </xdr:to>
    <xdr:sp macro="" textlink="">
      <xdr:nvSpPr>
        <xdr:cNvPr id="4" name="TextBox 3">
          <a:extLst>
            <a:ext uri="{FF2B5EF4-FFF2-40B4-BE49-F238E27FC236}">
              <a16:creationId xmlns:a16="http://schemas.microsoft.com/office/drawing/2014/main" id="{256133CC-8D41-4301-9362-6D804016FFDE}"/>
            </a:ext>
          </a:extLst>
        </xdr:cNvPr>
        <xdr:cNvSpPr txBox="1"/>
      </xdr:nvSpPr>
      <xdr:spPr>
        <a:xfrm>
          <a:off x="349250" y="687809"/>
          <a:ext cx="2886076" cy="201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a:latin typeface="Arial" panose="020B0604020202020204" pitchFamily="34" charset="0"/>
              <a:cs typeface="Arial" panose="020B0604020202020204" pitchFamily="34" charset="0"/>
            </a:rPr>
            <a:t>Please select</a:t>
          </a:r>
          <a:r>
            <a:rPr lang="en-US" sz="1000" baseline="0">
              <a:latin typeface="Arial" panose="020B0604020202020204" pitchFamily="34" charset="0"/>
              <a:cs typeface="Arial" panose="020B0604020202020204" pitchFamily="34" charset="0"/>
            </a:rPr>
            <a:t> the outputs of interest:</a:t>
          </a:r>
          <a:endParaRPr lang="en-US" sz="1000">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cfonline.sharepoint.com/Users/55943/Documents/Test%20Fortran%20Connection/Test%20Run/AALM_101321_Demo_Lu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imulation Control"/>
      <sheetName val="Media"/>
      <sheetName val="Lung"/>
      <sheetName val="Growth Params"/>
      <sheetName val="Time Ind Phys Params"/>
      <sheetName val="Time Dep Phys Params"/>
      <sheetName val="Output"/>
      <sheetName val="Fortran input file"/>
      <sheetName val="Lookup"/>
      <sheetName val="Allow Concen"/>
      <sheetName val="Allow Concen-mod"/>
      <sheetName val="Allow Concen (2)"/>
      <sheetName val="Options"/>
      <sheetName val="ExploreData"/>
      <sheetName val="Demo_Sim_Output"/>
      <sheetName val="Graph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0074-8D5C-4601-9226-AF7A839B2937}">
  <sheetPr codeName="Sheet19">
    <tabColor rgb="FF002060"/>
  </sheetPr>
  <dimension ref="A1:AE248"/>
  <sheetViews>
    <sheetView showGridLines="0" tabSelected="1" zoomScaleNormal="100" workbookViewId="0">
      <selection activeCell="L14" sqref="L14"/>
    </sheetView>
  </sheetViews>
  <sheetFormatPr defaultColWidth="8.7265625" defaultRowHeight="12.5" x14ac:dyDescent="0.25"/>
  <cols>
    <col min="1" max="1" width="1.453125" style="2" customWidth="1"/>
    <col min="2" max="2" width="6.26953125" style="2" customWidth="1"/>
    <col min="3" max="3" width="3.54296875" style="2" customWidth="1"/>
    <col min="4" max="4" width="28.1796875" style="2" customWidth="1"/>
    <col min="5" max="5" width="27" style="2" customWidth="1"/>
    <col min="6" max="6" width="10.54296875" style="2" customWidth="1"/>
    <col min="7" max="7" width="13.26953125" style="2" customWidth="1"/>
    <col min="8" max="8" width="6.1796875" style="2" customWidth="1"/>
    <col min="9" max="9" width="5.26953125" style="2" customWidth="1"/>
    <col min="10" max="10" width="11.54296875" style="2" customWidth="1"/>
    <col min="11" max="11" width="11" style="2" customWidth="1"/>
    <col min="12" max="12" width="13.7265625" style="2" customWidth="1"/>
    <col min="13" max="13" width="9.26953125" style="2" customWidth="1"/>
    <col min="14" max="14" width="6.26953125" style="2" customWidth="1"/>
    <col min="15" max="15" width="8.7265625" style="209"/>
    <col min="16" max="16" width="11" style="209" customWidth="1"/>
    <col min="17" max="17" width="10.26953125" style="209" customWidth="1"/>
    <col min="18" max="18" width="8.7265625" style="209"/>
    <col min="19" max="19" width="10.453125" style="209" customWidth="1"/>
    <col min="20" max="21" width="8.7265625" style="209"/>
    <col min="22" max="16384" width="8.7265625" style="2"/>
  </cols>
  <sheetData>
    <row r="1" spans="2:31" ht="6" customHeight="1" thickBot="1" x14ac:dyDescent="0.3"/>
    <row r="2" spans="2:31" ht="51" customHeight="1" thickBot="1" x14ac:dyDescent="0.3">
      <c r="B2" s="392" t="s">
        <v>0</v>
      </c>
      <c r="C2" s="393"/>
      <c r="D2" s="393"/>
      <c r="E2" s="393"/>
      <c r="F2" s="393"/>
      <c r="G2" s="393"/>
      <c r="H2" s="393"/>
      <c r="I2" s="393"/>
      <c r="J2" s="393"/>
      <c r="K2" s="393"/>
      <c r="L2" s="393"/>
      <c r="M2" s="393"/>
      <c r="N2" s="394"/>
      <c r="V2" s="3"/>
      <c r="W2" s="3"/>
      <c r="X2" s="3"/>
      <c r="Y2" s="3"/>
      <c r="Z2" s="3"/>
    </row>
    <row r="3" spans="2:31" ht="29.25" customHeight="1" x14ac:dyDescent="0.5">
      <c r="B3" s="30"/>
      <c r="C3" s="106" t="s">
        <v>1</v>
      </c>
      <c r="D3" s="19"/>
      <c r="E3" s="19"/>
      <c r="F3" s="391"/>
      <c r="G3" s="391"/>
      <c r="H3" s="391"/>
      <c r="I3" s="391"/>
      <c r="J3" s="391"/>
      <c r="K3" s="391"/>
      <c r="L3" s="391"/>
      <c r="M3" s="391"/>
      <c r="N3" s="31"/>
      <c r="V3" s="3"/>
      <c r="W3" s="3"/>
      <c r="X3" s="3"/>
      <c r="Y3" s="3"/>
      <c r="Z3" s="3"/>
    </row>
    <row r="4" spans="2:31" ht="4.5" customHeight="1" x14ac:dyDescent="0.25">
      <c r="B4" s="30"/>
      <c r="C4" s="19"/>
      <c r="D4" s="19"/>
      <c r="E4" s="19"/>
      <c r="F4" s="19"/>
      <c r="G4" s="19"/>
      <c r="H4" s="19"/>
      <c r="I4" s="19"/>
      <c r="J4" s="19"/>
      <c r="K4" s="19"/>
      <c r="L4" s="19"/>
      <c r="M4" s="19"/>
      <c r="N4" s="31"/>
    </row>
    <row r="5" spans="2:31" ht="3" customHeight="1" x14ac:dyDescent="0.25">
      <c r="B5" s="30"/>
      <c r="C5" s="19"/>
      <c r="D5" s="19"/>
      <c r="E5" s="19"/>
      <c r="F5" s="19"/>
      <c r="G5" s="19"/>
      <c r="H5" s="19"/>
      <c r="I5" s="19"/>
      <c r="J5" s="19"/>
      <c r="K5" s="19"/>
      <c r="L5" s="19"/>
      <c r="M5" s="19"/>
      <c r="N5" s="31"/>
      <c r="O5" s="210"/>
    </row>
    <row r="6" spans="2:31" ht="27" customHeight="1" x14ac:dyDescent="0.25">
      <c r="B6" s="30"/>
      <c r="C6" s="19"/>
      <c r="D6" s="32" t="s">
        <v>2</v>
      </c>
      <c r="E6" s="81" t="s">
        <v>400</v>
      </c>
      <c r="F6" s="19"/>
      <c r="G6" s="19"/>
      <c r="H6" s="19"/>
      <c r="I6" s="19"/>
      <c r="J6" s="19"/>
      <c r="K6" s="19"/>
      <c r="L6" s="19"/>
      <c r="M6" s="19"/>
      <c r="N6" s="31"/>
    </row>
    <row r="7" spans="2:31" ht="14.5" customHeight="1" thickBot="1" x14ac:dyDescent="0.3">
      <c r="B7" s="30"/>
      <c r="C7" s="19"/>
      <c r="D7" s="33"/>
      <c r="E7" s="19"/>
      <c r="F7" s="19"/>
      <c r="G7" s="19"/>
      <c r="H7" s="19"/>
      <c r="I7" s="19"/>
      <c r="J7" s="19"/>
      <c r="K7" s="19"/>
      <c r="L7" s="19"/>
      <c r="M7" s="19"/>
      <c r="N7" s="31"/>
    </row>
    <row r="8" spans="2:31" s="6" customFormat="1" ht="16.149999999999999" customHeight="1" thickBot="1" x14ac:dyDescent="0.3">
      <c r="B8" s="34"/>
      <c r="C8" s="56" t="s">
        <v>3</v>
      </c>
      <c r="D8" s="57"/>
      <c r="E8" s="58"/>
      <c r="F8" s="59"/>
      <c r="G8" s="60"/>
      <c r="H8" s="335"/>
      <c r="I8" s="60"/>
      <c r="J8" s="60"/>
      <c r="K8" s="60"/>
      <c r="L8" s="60"/>
      <c r="M8" s="61"/>
      <c r="N8" s="35"/>
      <c r="O8" s="209"/>
      <c r="P8" s="209"/>
      <c r="Q8" s="209"/>
      <c r="R8" s="209"/>
      <c r="S8" s="209"/>
      <c r="T8" s="211"/>
      <c r="U8" s="211"/>
      <c r="V8" s="207"/>
    </row>
    <row r="9" spans="2:31" s="6" customFormat="1" ht="8.15" customHeight="1" x14ac:dyDescent="0.25">
      <c r="B9" s="34"/>
      <c r="C9" s="41"/>
      <c r="M9" s="212"/>
      <c r="N9" s="35"/>
      <c r="O9" s="209"/>
      <c r="P9" s="209"/>
      <c r="Q9" s="209"/>
      <c r="R9" s="209"/>
      <c r="S9" s="209"/>
      <c r="T9" s="211"/>
      <c r="U9" s="211"/>
      <c r="V9" s="207"/>
    </row>
    <row r="10" spans="2:31" ht="21.5" hidden="1" customHeight="1" x14ac:dyDescent="0.25">
      <c r="B10" s="30"/>
      <c r="C10" s="54"/>
      <c r="D10" s="17" t="s">
        <v>4</v>
      </c>
      <c r="E10" s="1">
        <v>100</v>
      </c>
      <c r="H10" s="8"/>
      <c r="I10" s="8"/>
      <c r="J10" s="8"/>
      <c r="K10" s="8"/>
      <c r="M10" s="212"/>
      <c r="N10" s="35"/>
      <c r="V10" s="208"/>
    </row>
    <row r="11" spans="2:31" ht="22.9" hidden="1" customHeight="1" x14ac:dyDescent="0.25">
      <c r="B11" s="30"/>
      <c r="C11" s="54"/>
      <c r="D11" s="15" t="s">
        <v>5</v>
      </c>
      <c r="E11" s="1">
        <v>100</v>
      </c>
      <c r="G11"/>
      <c r="H11" s="254"/>
      <c r="I11" s="254"/>
      <c r="J11" s="254"/>
      <c r="K11" s="254"/>
      <c r="L11"/>
      <c r="M11" s="212"/>
      <c r="N11" s="35"/>
      <c r="O11" s="210"/>
      <c r="P11" s="210"/>
      <c r="Q11" s="210"/>
      <c r="R11" s="210"/>
      <c r="S11" s="210"/>
      <c r="T11" s="210"/>
      <c r="U11" s="210"/>
      <c r="V11" s="334"/>
      <c r="W11"/>
      <c r="X11"/>
      <c r="Y11"/>
      <c r="AE11" s="53"/>
    </row>
    <row r="12" spans="2:31" ht="22.9" hidden="1" customHeight="1" x14ac:dyDescent="0.25">
      <c r="B12" s="30"/>
      <c r="C12" s="54"/>
      <c r="D12" s="27" t="s">
        <v>6</v>
      </c>
      <c r="E12" s="12">
        <v>0</v>
      </c>
      <c r="G12"/>
      <c r="H12" s="254"/>
      <c r="I12" s="254"/>
      <c r="J12" s="254"/>
      <c r="K12" s="254"/>
      <c r="L12"/>
      <c r="M12" s="212"/>
      <c r="N12" s="35"/>
      <c r="O12" s="210"/>
      <c r="P12" s="210"/>
      <c r="Q12" s="210"/>
      <c r="R12" s="210"/>
      <c r="S12" s="210"/>
      <c r="T12" s="210"/>
      <c r="U12" s="210"/>
      <c r="V12" s="334"/>
      <c r="W12"/>
      <c r="X12"/>
      <c r="Y12"/>
    </row>
    <row r="13" spans="2:31" ht="22.9" customHeight="1" x14ac:dyDescent="0.25">
      <c r="B13" s="30"/>
      <c r="C13" s="54"/>
      <c r="D13" s="27" t="s">
        <v>7</v>
      </c>
      <c r="E13" s="1">
        <v>90</v>
      </c>
      <c r="G13"/>
      <c r="H13" s="254"/>
      <c r="I13" s="254"/>
      <c r="J13" s="254"/>
      <c r="K13" s="254"/>
      <c r="L13"/>
      <c r="M13" s="212"/>
      <c r="N13" s="35"/>
      <c r="O13" s="210"/>
      <c r="P13" s="210"/>
      <c r="Q13" s="210"/>
      <c r="R13" s="210"/>
      <c r="S13" s="210"/>
      <c r="T13" s="210"/>
      <c r="U13" s="210"/>
      <c r="V13" s="334"/>
      <c r="W13"/>
      <c r="X13"/>
      <c r="Y13"/>
    </row>
    <row r="14" spans="2:31" ht="22.9" customHeight="1" x14ac:dyDescent="0.25">
      <c r="B14" s="30"/>
      <c r="C14" s="54"/>
      <c r="D14" s="27" t="s">
        <v>8</v>
      </c>
      <c r="E14" s="1" t="s">
        <v>9</v>
      </c>
      <c r="G14"/>
      <c r="H14" s="254"/>
      <c r="I14" s="254"/>
      <c r="K14" s="254"/>
      <c r="L14"/>
      <c r="M14" s="212"/>
      <c r="N14" s="35"/>
      <c r="O14" s="210"/>
      <c r="P14" s="210"/>
      <c r="Q14" s="210"/>
      <c r="R14" s="210"/>
      <c r="S14" s="210"/>
      <c r="T14" s="210"/>
      <c r="U14" s="210"/>
      <c r="V14" s="334"/>
      <c r="W14"/>
      <c r="X14"/>
      <c r="Y14"/>
    </row>
    <row r="15" spans="2:31" ht="8.15" customHeight="1" thickBot="1" x14ac:dyDescent="0.3">
      <c r="B15" s="30"/>
      <c r="C15" s="55"/>
      <c r="D15" s="43"/>
      <c r="E15" s="43"/>
      <c r="F15" s="42"/>
      <c r="G15" s="42"/>
      <c r="H15" s="44"/>
      <c r="I15" s="44"/>
      <c r="J15" s="44"/>
      <c r="K15" s="44"/>
      <c r="L15" s="42"/>
      <c r="M15" s="336"/>
      <c r="N15" s="35"/>
      <c r="V15" s="208"/>
    </row>
    <row r="16" spans="2:31" ht="16.149999999999999" customHeight="1" thickBot="1" x14ac:dyDescent="0.3">
      <c r="B16" s="30"/>
      <c r="C16" s="80"/>
      <c r="D16" s="26"/>
      <c r="E16" s="19"/>
      <c r="F16" s="19"/>
      <c r="G16" s="19"/>
      <c r="H16" s="36"/>
      <c r="I16" s="36"/>
      <c r="J16" s="36"/>
      <c r="K16" s="36"/>
      <c r="L16" s="19"/>
      <c r="M16" s="19"/>
      <c r="N16" s="35"/>
      <c r="V16" s="208"/>
    </row>
    <row r="17" spans="1:21" s="6" customFormat="1" ht="16.899999999999999" customHeight="1" thickBot="1" x14ac:dyDescent="0.3">
      <c r="B17" s="34"/>
      <c r="C17" s="67" t="s">
        <v>10</v>
      </c>
      <c r="D17" s="68"/>
      <c r="E17" s="69"/>
      <c r="F17" s="69"/>
      <c r="G17" s="69"/>
      <c r="H17" s="69"/>
      <c r="I17" s="69"/>
      <c r="J17" s="69"/>
      <c r="K17" s="69"/>
      <c r="L17" s="69"/>
      <c r="M17" s="70"/>
      <c r="N17" s="35"/>
      <c r="O17" s="209"/>
      <c r="P17" s="209"/>
      <c r="Q17" s="209"/>
      <c r="R17" s="209"/>
      <c r="S17" s="209"/>
      <c r="T17" s="211"/>
      <c r="U17" s="211"/>
    </row>
    <row r="18" spans="1:21" s="6" customFormat="1" ht="8.15" customHeight="1" x14ac:dyDescent="0.25">
      <c r="B18" s="34"/>
      <c r="C18" s="62"/>
      <c r="M18" s="63"/>
      <c r="N18" s="35"/>
      <c r="O18" s="209"/>
      <c r="P18" s="209"/>
      <c r="Q18" s="209"/>
      <c r="R18" s="209"/>
      <c r="S18" s="209"/>
      <c r="T18" s="211"/>
      <c r="U18" s="211"/>
    </row>
    <row r="19" spans="1:21" ht="21" customHeight="1" x14ac:dyDescent="0.25">
      <c r="B19" s="30"/>
      <c r="C19" s="64"/>
      <c r="D19" s="15" t="s">
        <v>11</v>
      </c>
      <c r="E19" s="10" t="s">
        <v>12</v>
      </c>
      <c r="M19" s="45"/>
      <c r="N19" s="31"/>
    </row>
    <row r="20" spans="1:21" ht="21.75" customHeight="1" x14ac:dyDescent="0.25">
      <c r="B20" s="30"/>
      <c r="C20" s="65"/>
      <c r="D20" s="15" t="s">
        <v>13</v>
      </c>
      <c r="E20" s="11" t="s">
        <v>12</v>
      </c>
      <c r="M20" s="45"/>
      <c r="N20" s="31"/>
    </row>
    <row r="21" spans="1:21" ht="8.15" customHeight="1" thickBot="1" x14ac:dyDescent="0.3">
      <c r="B21" s="30"/>
      <c r="C21" s="66"/>
      <c r="D21" s="46"/>
      <c r="E21" s="46"/>
      <c r="F21" s="47"/>
      <c r="G21" s="47"/>
      <c r="H21" s="47"/>
      <c r="I21" s="47"/>
      <c r="J21" s="47"/>
      <c r="K21" s="47"/>
      <c r="L21" s="47"/>
      <c r="M21" s="48"/>
      <c r="N21" s="31"/>
    </row>
    <row r="22" spans="1:21" ht="16.149999999999999" customHeight="1" thickBot="1" x14ac:dyDescent="0.3">
      <c r="B22" s="30"/>
      <c r="C22" s="80"/>
      <c r="D22" s="25"/>
      <c r="E22" s="37"/>
      <c r="F22" s="19"/>
      <c r="G22" s="19"/>
      <c r="H22" s="19"/>
      <c r="I22" s="19"/>
      <c r="J22" s="19"/>
      <c r="K22" s="19"/>
      <c r="L22" s="19"/>
      <c r="M22" s="19"/>
      <c r="N22" s="31"/>
    </row>
    <row r="23" spans="1:21" s="6" customFormat="1" ht="15" customHeight="1" thickBot="1" x14ac:dyDescent="0.3">
      <c r="B23" s="34"/>
      <c r="C23" s="73" t="s">
        <v>14</v>
      </c>
      <c r="D23" s="74"/>
      <c r="E23" s="75"/>
      <c r="F23" s="76"/>
      <c r="G23" s="76"/>
      <c r="H23" s="76"/>
      <c r="I23" s="76"/>
      <c r="J23" s="77"/>
      <c r="K23" s="77"/>
      <c r="L23" s="77"/>
      <c r="M23" s="78"/>
      <c r="N23" s="35"/>
      <c r="O23" s="209"/>
      <c r="P23" s="209"/>
      <c r="Q23" s="209"/>
      <c r="R23" s="209"/>
      <c r="S23" s="209"/>
      <c r="T23" s="211"/>
      <c r="U23" s="211"/>
    </row>
    <row r="24" spans="1:21" s="6" customFormat="1" ht="8.15" customHeight="1" x14ac:dyDescent="0.25">
      <c r="A24" s="2"/>
      <c r="B24" s="34"/>
      <c r="C24" s="216"/>
      <c r="D24" s="217"/>
      <c r="E24" s="217"/>
      <c r="F24" s="217"/>
      <c r="G24" s="217"/>
      <c r="H24" s="217"/>
      <c r="I24" s="217"/>
      <c r="J24" s="217"/>
      <c r="K24" s="217"/>
      <c r="L24" s="217"/>
      <c r="M24" s="218"/>
      <c r="N24" s="35"/>
      <c r="O24" s="209"/>
      <c r="P24" s="209"/>
      <c r="Q24" s="209"/>
      <c r="R24" s="209"/>
      <c r="S24" s="209"/>
      <c r="T24" s="211"/>
      <c r="U24" s="211"/>
    </row>
    <row r="25" spans="1:21" ht="57.65" customHeight="1" x14ac:dyDescent="0.25">
      <c r="B25" s="30"/>
      <c r="C25" s="71"/>
      <c r="D25" s="28"/>
      <c r="E25" s="9" t="s">
        <v>15</v>
      </c>
      <c r="F25" s="9" t="s">
        <v>16</v>
      </c>
      <c r="G25" s="9" t="s">
        <v>17</v>
      </c>
      <c r="M25" s="52"/>
      <c r="N25" s="31"/>
    </row>
    <row r="26" spans="1:21" ht="20.5" customHeight="1" x14ac:dyDescent="0.25">
      <c r="B26" s="30"/>
      <c r="C26" s="71"/>
      <c r="D26" s="29" t="s">
        <v>18</v>
      </c>
      <c r="E26" s="1" t="s">
        <v>19</v>
      </c>
      <c r="F26" s="12">
        <v>0</v>
      </c>
      <c r="G26" s="12">
        <v>0</v>
      </c>
      <c r="M26" s="52"/>
      <c r="N26" s="31"/>
    </row>
    <row r="27" spans="1:21" ht="20.5" customHeight="1" x14ac:dyDescent="0.25">
      <c r="B27" s="30"/>
      <c r="C27" s="71"/>
      <c r="D27" s="29" t="s">
        <v>20</v>
      </c>
      <c r="E27" s="1" t="s">
        <v>19</v>
      </c>
      <c r="F27" s="12">
        <v>0</v>
      </c>
      <c r="G27" s="12">
        <v>0</v>
      </c>
      <c r="M27" s="52"/>
      <c r="N27" s="31"/>
    </row>
    <row r="28" spans="1:21" ht="20.5" customHeight="1" x14ac:dyDescent="0.25">
      <c r="B28" s="30"/>
      <c r="C28" s="71"/>
      <c r="D28" s="29" t="s">
        <v>21</v>
      </c>
      <c r="E28" s="1" t="s">
        <v>19</v>
      </c>
      <c r="F28" s="12">
        <v>0</v>
      </c>
      <c r="G28" s="12">
        <v>0</v>
      </c>
      <c r="H28" s="7"/>
      <c r="I28" s="7"/>
      <c r="J28" s="7"/>
      <c r="K28" s="7"/>
      <c r="L28" s="7"/>
      <c r="M28" s="52"/>
      <c r="N28" s="31"/>
    </row>
    <row r="29" spans="1:21" ht="20.5" customHeight="1" x14ac:dyDescent="0.25">
      <c r="B29" s="30"/>
      <c r="C29" s="71"/>
      <c r="D29" s="29" t="s">
        <v>22</v>
      </c>
      <c r="E29" s="1" t="s">
        <v>19</v>
      </c>
      <c r="F29" s="12">
        <v>0</v>
      </c>
      <c r="G29" s="12">
        <v>0</v>
      </c>
      <c r="H29" s="7"/>
      <c r="I29" s="7"/>
      <c r="J29" s="7"/>
      <c r="K29" s="7"/>
      <c r="L29" s="7"/>
      <c r="M29" s="52"/>
      <c r="N29" s="31"/>
    </row>
    <row r="30" spans="1:21" ht="19.149999999999999" customHeight="1" x14ac:dyDescent="0.25">
      <c r="B30" s="30"/>
      <c r="C30" s="71"/>
      <c r="D30" s="29" t="s">
        <v>23</v>
      </c>
      <c r="E30" s="1" t="s">
        <v>19</v>
      </c>
      <c r="F30" s="12">
        <v>0</v>
      </c>
      <c r="G30" s="12">
        <v>0</v>
      </c>
      <c r="H30" s="7"/>
      <c r="I30" s="7"/>
      <c r="J30" s="7"/>
      <c r="K30" s="7"/>
      <c r="M30" s="52"/>
      <c r="N30" s="31"/>
    </row>
    <row r="31" spans="1:21" ht="20.5" customHeight="1" x14ac:dyDescent="0.25">
      <c r="B31" s="30"/>
      <c r="C31" s="71"/>
      <c r="D31" s="29" t="s">
        <v>24</v>
      </c>
      <c r="E31" s="1" t="s">
        <v>19</v>
      </c>
      <c r="F31" s="12">
        <v>0</v>
      </c>
      <c r="G31" s="12">
        <v>0</v>
      </c>
      <c r="M31" s="52"/>
      <c r="N31" s="31"/>
    </row>
    <row r="32" spans="1:21" ht="16.149999999999999" customHeight="1" x14ac:dyDescent="0.25">
      <c r="B32" s="30"/>
      <c r="C32" s="71"/>
      <c r="D32" s="4"/>
      <c r="M32" s="52"/>
      <c r="N32" s="31"/>
    </row>
    <row r="33" spans="2:14" ht="24.75" customHeight="1" x14ac:dyDescent="0.25">
      <c r="B33" s="30"/>
      <c r="C33" s="71"/>
      <c r="D33" s="27" t="s">
        <v>25</v>
      </c>
      <c r="E33" s="5" t="s">
        <v>392</v>
      </c>
      <c r="G33" s="223"/>
      <c r="M33" s="52"/>
      <c r="N33" s="31"/>
    </row>
    <row r="34" spans="2:14" ht="21" customHeight="1" x14ac:dyDescent="0.25">
      <c r="B34" s="30"/>
      <c r="C34" s="71"/>
      <c r="D34" s="29" t="s">
        <v>26</v>
      </c>
      <c r="E34" s="12" t="s">
        <v>395</v>
      </c>
      <c r="M34" s="52"/>
      <c r="N34" s="31"/>
    </row>
    <row r="35" spans="2:14" ht="21" customHeight="1" x14ac:dyDescent="0.25">
      <c r="B35" s="30"/>
      <c r="C35" s="71"/>
      <c r="D35" s="29" t="s">
        <v>27</v>
      </c>
      <c r="E35" s="12" t="s">
        <v>402</v>
      </c>
      <c r="M35" s="52"/>
      <c r="N35" s="31"/>
    </row>
    <row r="36" spans="2:14" ht="25.5" customHeight="1" thickBot="1" x14ac:dyDescent="0.3">
      <c r="B36" s="30"/>
      <c r="C36" s="72"/>
      <c r="D36" s="49"/>
      <c r="E36" s="49"/>
      <c r="F36" s="50"/>
      <c r="G36" s="50"/>
      <c r="H36" s="50"/>
      <c r="I36" s="50"/>
      <c r="J36" s="50"/>
      <c r="K36" s="50"/>
      <c r="L36" s="50"/>
      <c r="M36" s="51"/>
      <c r="N36" s="31"/>
    </row>
    <row r="37" spans="2:14" x14ac:dyDescent="0.25">
      <c r="B37" s="30"/>
      <c r="C37" s="19"/>
      <c r="D37" s="19"/>
      <c r="E37" s="38"/>
      <c r="F37" s="19"/>
      <c r="G37" s="19"/>
      <c r="H37" s="38"/>
      <c r="I37" s="19"/>
      <c r="J37" s="38"/>
      <c r="K37" s="19"/>
      <c r="L37" s="19"/>
      <c r="M37" s="19"/>
      <c r="N37" s="31"/>
    </row>
    <row r="38" spans="2:14" x14ac:dyDescent="0.25">
      <c r="B38" s="30"/>
      <c r="C38" s="19"/>
      <c r="D38" s="19"/>
      <c r="E38" s="38"/>
      <c r="F38" s="19"/>
      <c r="G38" s="19"/>
      <c r="H38" s="38"/>
      <c r="I38" s="19"/>
      <c r="J38" s="38"/>
      <c r="K38" s="19"/>
      <c r="L38" s="19"/>
      <c r="M38" s="19"/>
      <c r="N38" s="31"/>
    </row>
    <row r="39" spans="2:14" x14ac:dyDescent="0.25">
      <c r="B39" s="30"/>
      <c r="C39" s="19"/>
      <c r="D39" s="19"/>
      <c r="E39" s="38"/>
      <c r="F39" s="19"/>
      <c r="G39" s="19"/>
      <c r="H39" s="38"/>
      <c r="I39" s="19"/>
      <c r="J39" s="38"/>
      <c r="K39" s="19"/>
      <c r="L39" s="19"/>
      <c r="M39" s="19"/>
      <c r="N39" s="31"/>
    </row>
    <row r="40" spans="2:14" x14ac:dyDescent="0.25">
      <c r="B40" s="30"/>
      <c r="C40" s="19"/>
      <c r="D40" s="19"/>
      <c r="E40" s="19"/>
      <c r="F40" s="19"/>
      <c r="G40" s="19"/>
      <c r="H40" s="36"/>
      <c r="I40" s="36"/>
      <c r="J40" s="36"/>
      <c r="K40" s="36"/>
      <c r="L40" s="19"/>
      <c r="M40" s="19"/>
      <c r="N40" s="31"/>
    </row>
    <row r="41" spans="2:14" x14ac:dyDescent="0.25">
      <c r="B41" s="30"/>
      <c r="C41" s="19"/>
      <c r="D41" s="19"/>
      <c r="E41" s="19"/>
      <c r="F41" s="19"/>
      <c r="G41" s="19"/>
      <c r="H41" s="36"/>
      <c r="I41" s="36"/>
      <c r="J41" s="36"/>
      <c r="K41" s="36"/>
      <c r="L41" s="19"/>
      <c r="M41" s="19"/>
      <c r="N41" s="31"/>
    </row>
    <row r="42" spans="2:14" x14ac:dyDescent="0.25">
      <c r="B42" s="30"/>
      <c r="C42" s="19"/>
      <c r="D42" s="19"/>
      <c r="E42" s="38"/>
      <c r="F42" s="19"/>
      <c r="G42" s="36"/>
      <c r="H42" s="36"/>
      <c r="I42" s="36"/>
      <c r="J42" s="36"/>
      <c r="K42" s="36"/>
      <c r="L42" s="19"/>
      <c r="M42" s="19"/>
      <c r="N42" s="31"/>
    </row>
    <row r="43" spans="2:14" ht="13" thickBot="1" x14ac:dyDescent="0.3">
      <c r="B43" s="79"/>
      <c r="C43" s="39"/>
      <c r="D43" s="39"/>
      <c r="E43" s="39"/>
      <c r="F43" s="39"/>
      <c r="G43" s="39"/>
      <c r="H43" s="39"/>
      <c r="I43" s="39"/>
      <c r="J43" s="39"/>
      <c r="K43" s="39"/>
      <c r="L43" s="39"/>
      <c r="M43" s="39"/>
      <c r="N43" s="40"/>
    </row>
    <row r="44" spans="2:14" x14ac:dyDescent="0.25">
      <c r="E44" s="4"/>
      <c r="H44" s="4"/>
      <c r="J44" s="4"/>
    </row>
    <row r="45" spans="2:14" x14ac:dyDescent="0.25">
      <c r="E45" s="4"/>
      <c r="H45" s="4"/>
      <c r="J45" s="4"/>
    </row>
    <row r="46" spans="2:14" x14ac:dyDescent="0.25">
      <c r="E46" s="4"/>
      <c r="H46" s="4"/>
      <c r="J46" s="4"/>
    </row>
    <row r="47" spans="2:14" x14ac:dyDescent="0.25">
      <c r="E47" s="4"/>
      <c r="H47" s="4"/>
      <c r="J47" s="4"/>
    </row>
    <row r="48" spans="2:14" x14ac:dyDescent="0.25">
      <c r="E48" s="4"/>
      <c r="H48" s="4"/>
      <c r="J48" s="4"/>
    </row>
    <row r="49" spans="5:10" x14ac:dyDescent="0.25">
      <c r="E49" s="4"/>
      <c r="H49" s="4"/>
      <c r="J49" s="4"/>
    </row>
    <row r="50" spans="5:10" x14ac:dyDescent="0.25">
      <c r="E50" s="4"/>
      <c r="H50" s="4"/>
      <c r="J50" s="4"/>
    </row>
    <row r="51" spans="5:10" x14ac:dyDescent="0.25">
      <c r="E51" s="4"/>
      <c r="H51" s="4"/>
      <c r="J51" s="4"/>
    </row>
    <row r="52" spans="5:10" x14ac:dyDescent="0.25">
      <c r="E52" s="4"/>
      <c r="H52" s="4"/>
      <c r="J52" s="4"/>
    </row>
    <row r="53" spans="5:10" x14ac:dyDescent="0.25">
      <c r="E53" s="4"/>
      <c r="H53" s="4"/>
      <c r="J53" s="4"/>
    </row>
    <row r="54" spans="5:10" x14ac:dyDescent="0.25">
      <c r="E54" s="4"/>
      <c r="H54" s="4"/>
      <c r="J54" s="4"/>
    </row>
    <row r="55" spans="5:10" x14ac:dyDescent="0.25">
      <c r="E55" s="4"/>
      <c r="H55" s="4"/>
      <c r="J55" s="4"/>
    </row>
    <row r="56" spans="5:10" x14ac:dyDescent="0.25">
      <c r="E56" s="4"/>
      <c r="H56" s="4"/>
      <c r="J56" s="4"/>
    </row>
    <row r="57" spans="5:10" x14ac:dyDescent="0.25">
      <c r="E57" s="4"/>
      <c r="H57" s="4"/>
      <c r="J57" s="4"/>
    </row>
    <row r="58" spans="5:10" x14ac:dyDescent="0.25">
      <c r="E58" s="4"/>
      <c r="H58" s="4"/>
      <c r="J58" s="4"/>
    </row>
    <row r="59" spans="5:10" x14ac:dyDescent="0.25">
      <c r="E59" s="4"/>
      <c r="H59" s="4"/>
      <c r="J59" s="4"/>
    </row>
    <row r="60" spans="5:10" x14ac:dyDescent="0.25">
      <c r="E60" s="4"/>
      <c r="H60" s="4"/>
      <c r="J60" s="4"/>
    </row>
    <row r="61" spans="5:10" x14ac:dyDescent="0.25">
      <c r="E61" s="4"/>
      <c r="H61" s="4"/>
      <c r="J61" s="4"/>
    </row>
    <row r="62" spans="5:10" x14ac:dyDescent="0.25">
      <c r="E62" s="4"/>
      <c r="H62" s="4"/>
      <c r="J62" s="4"/>
    </row>
    <row r="63" spans="5:10" x14ac:dyDescent="0.25">
      <c r="E63" s="4"/>
      <c r="H63" s="4"/>
      <c r="J63" s="4"/>
    </row>
    <row r="64" spans="5:10" x14ac:dyDescent="0.25">
      <c r="E64" s="4"/>
      <c r="H64" s="4"/>
      <c r="J64" s="4"/>
    </row>
    <row r="65" spans="5:25" x14ac:dyDescent="0.25">
      <c r="E65" s="4"/>
      <c r="G65"/>
      <c r="H65" s="256"/>
      <c r="I65"/>
      <c r="J65" s="256"/>
      <c r="K65"/>
      <c r="L65"/>
      <c r="M65"/>
      <c r="N65"/>
      <c r="O65" s="210"/>
      <c r="P65" s="210"/>
      <c r="Q65" s="210"/>
      <c r="R65" s="210"/>
      <c r="S65" s="210"/>
      <c r="T65" s="210"/>
      <c r="U65" s="210"/>
      <c r="V65"/>
      <c r="W65"/>
      <c r="X65"/>
      <c r="Y65"/>
    </row>
    <row r="66" spans="5:25" x14ac:dyDescent="0.25">
      <c r="E66" s="4"/>
      <c r="G66"/>
      <c r="H66" s="256"/>
      <c r="I66"/>
      <c r="J66" s="256"/>
      <c r="K66"/>
      <c r="L66"/>
      <c r="M66"/>
      <c r="N66"/>
      <c r="O66" s="210"/>
      <c r="P66" s="210"/>
      <c r="Q66" s="210"/>
      <c r="R66" s="210"/>
      <c r="S66" s="210"/>
      <c r="T66" s="210"/>
      <c r="U66" s="210"/>
      <c r="V66"/>
      <c r="W66"/>
      <c r="X66"/>
      <c r="Y66"/>
    </row>
    <row r="67" spans="5:25" x14ac:dyDescent="0.25">
      <c r="E67" s="4"/>
      <c r="G67"/>
      <c r="H67" s="256"/>
      <c r="I67"/>
      <c r="J67" s="256"/>
      <c r="K67"/>
      <c r="L67"/>
      <c r="M67"/>
      <c r="N67"/>
      <c r="O67" s="210"/>
      <c r="P67" s="210"/>
      <c r="Q67" s="210"/>
      <c r="R67" s="210"/>
      <c r="S67" s="210"/>
      <c r="T67" s="210"/>
      <c r="U67" s="210"/>
      <c r="V67"/>
      <c r="W67"/>
      <c r="X67"/>
      <c r="Y67"/>
    </row>
    <row r="68" spans="5:25" x14ac:dyDescent="0.25">
      <c r="E68" s="4"/>
      <c r="G68"/>
      <c r="H68" s="256"/>
      <c r="I68"/>
      <c r="J68" s="256"/>
      <c r="K68"/>
      <c r="L68"/>
      <c r="M68"/>
      <c r="N68"/>
      <c r="O68" s="210"/>
      <c r="P68" s="210"/>
      <c r="Q68" s="210"/>
      <c r="R68" s="210"/>
      <c r="S68" s="210"/>
      <c r="T68" s="210"/>
      <c r="U68" s="210"/>
      <c r="V68"/>
      <c r="W68"/>
      <c r="X68"/>
      <c r="Y68"/>
    </row>
    <row r="69" spans="5:25" x14ac:dyDescent="0.25">
      <c r="E69" s="4"/>
      <c r="H69" s="4"/>
      <c r="J69" s="4"/>
    </row>
    <row r="70" spans="5:25" x14ac:dyDescent="0.25">
      <c r="E70" s="4"/>
      <c r="H70" s="4"/>
      <c r="J70" s="4"/>
    </row>
    <row r="71" spans="5:25" x14ac:dyDescent="0.25">
      <c r="E71" s="4"/>
      <c r="H71" s="4"/>
      <c r="J71" s="4"/>
    </row>
    <row r="72" spans="5:25" x14ac:dyDescent="0.25">
      <c r="E72" s="4"/>
      <c r="H72" s="4"/>
      <c r="J72" s="4"/>
    </row>
    <row r="73" spans="5:25" x14ac:dyDescent="0.25">
      <c r="E73" s="4"/>
      <c r="H73" s="4"/>
      <c r="J73" s="4"/>
    </row>
    <row r="74" spans="5:25" x14ac:dyDescent="0.25">
      <c r="E74" s="4"/>
      <c r="H74" s="4"/>
      <c r="J74" s="4"/>
    </row>
    <row r="75" spans="5:25" x14ac:dyDescent="0.25">
      <c r="E75" s="4"/>
      <c r="H75" s="4"/>
      <c r="J75" s="4"/>
    </row>
    <row r="76" spans="5:25" x14ac:dyDescent="0.25">
      <c r="E76" s="4"/>
      <c r="H76" s="4"/>
      <c r="J76" s="4"/>
    </row>
    <row r="77" spans="5:25" x14ac:dyDescent="0.25">
      <c r="E77" s="4"/>
      <c r="H77" s="4"/>
      <c r="J77" s="4"/>
    </row>
    <row r="78" spans="5:25" x14ac:dyDescent="0.25">
      <c r="E78" s="4"/>
      <c r="H78" s="4"/>
      <c r="J78" s="4"/>
    </row>
    <row r="79" spans="5:25" x14ac:dyDescent="0.25">
      <c r="E79" s="4"/>
      <c r="H79" s="4"/>
      <c r="J79" s="4"/>
    </row>
    <row r="80" spans="5:25" x14ac:dyDescent="0.25">
      <c r="E80" s="4"/>
      <c r="H80" s="4"/>
      <c r="J80" s="4"/>
    </row>
    <row r="81" spans="5:10" x14ac:dyDescent="0.25">
      <c r="E81" s="4"/>
      <c r="H81" s="4"/>
      <c r="J81" s="4"/>
    </row>
    <row r="82" spans="5:10" x14ac:dyDescent="0.25">
      <c r="E82" s="4"/>
      <c r="H82" s="4"/>
      <c r="J82" s="4"/>
    </row>
    <row r="83" spans="5:10" x14ac:dyDescent="0.25">
      <c r="E83" s="4"/>
      <c r="H83" s="4"/>
      <c r="J83" s="4"/>
    </row>
    <row r="84" spans="5:10" x14ac:dyDescent="0.25">
      <c r="E84" s="4"/>
      <c r="H84" s="4"/>
      <c r="J84" s="4"/>
    </row>
    <row r="85" spans="5:10" x14ac:dyDescent="0.25">
      <c r="E85" s="4"/>
      <c r="H85" s="4"/>
      <c r="J85" s="4"/>
    </row>
    <row r="86" spans="5:10" x14ac:dyDescent="0.25">
      <c r="E86" s="4"/>
      <c r="H86" s="4"/>
      <c r="J86" s="4"/>
    </row>
    <row r="87" spans="5:10" x14ac:dyDescent="0.25">
      <c r="E87" s="4"/>
      <c r="H87" s="4"/>
      <c r="J87" s="4"/>
    </row>
    <row r="88" spans="5:10" x14ac:dyDescent="0.25">
      <c r="E88" s="4"/>
      <c r="H88" s="4"/>
      <c r="J88" s="4"/>
    </row>
    <row r="89" spans="5:10" x14ac:dyDescent="0.25">
      <c r="E89" s="4"/>
      <c r="H89" s="4"/>
      <c r="J89" s="4"/>
    </row>
    <row r="90" spans="5:10" x14ac:dyDescent="0.25">
      <c r="E90" s="4"/>
      <c r="H90" s="4"/>
      <c r="J90" s="4"/>
    </row>
    <row r="91" spans="5:10" x14ac:dyDescent="0.25">
      <c r="E91" s="4"/>
      <c r="H91" s="4"/>
      <c r="J91" s="4"/>
    </row>
    <row r="92" spans="5:10" x14ac:dyDescent="0.25">
      <c r="E92" s="4"/>
      <c r="H92" s="4"/>
      <c r="J92" s="4"/>
    </row>
    <row r="93" spans="5:10" x14ac:dyDescent="0.25">
      <c r="E93" s="4"/>
      <c r="H93" s="4"/>
      <c r="J93" s="4"/>
    </row>
    <row r="94" spans="5:10" x14ac:dyDescent="0.25">
      <c r="E94" s="4"/>
      <c r="H94" s="4"/>
      <c r="J94" s="4"/>
    </row>
    <row r="95" spans="5:10" x14ac:dyDescent="0.25">
      <c r="E95" s="4"/>
      <c r="H95" s="4"/>
      <c r="J95" s="4"/>
    </row>
    <row r="96" spans="5:10" x14ac:dyDescent="0.25">
      <c r="E96" s="4"/>
      <c r="H96" s="4"/>
      <c r="J96" s="4"/>
    </row>
    <row r="97" spans="5:10" x14ac:dyDescent="0.25">
      <c r="E97" s="4"/>
      <c r="H97" s="4"/>
      <c r="J97" s="4"/>
    </row>
    <row r="98" spans="5:10" x14ac:dyDescent="0.25">
      <c r="E98" s="4"/>
      <c r="H98" s="4"/>
      <c r="J98" s="4"/>
    </row>
    <row r="99" spans="5:10" x14ac:dyDescent="0.25">
      <c r="E99" s="4"/>
      <c r="H99" s="4"/>
      <c r="J99" s="4"/>
    </row>
    <row r="100" spans="5:10" x14ac:dyDescent="0.25">
      <c r="E100" s="4"/>
      <c r="H100" s="4"/>
      <c r="J100" s="4"/>
    </row>
    <row r="101" spans="5:10" x14ac:dyDescent="0.25">
      <c r="E101" s="4"/>
      <c r="H101" s="4"/>
      <c r="J101" s="4"/>
    </row>
    <row r="102" spans="5:10" x14ac:dyDescent="0.25">
      <c r="E102" s="4"/>
      <c r="H102" s="4"/>
      <c r="J102" s="4"/>
    </row>
    <row r="103" spans="5:10" x14ac:dyDescent="0.25">
      <c r="E103" s="4"/>
      <c r="H103" s="4"/>
      <c r="J103" s="4"/>
    </row>
    <row r="104" spans="5:10" x14ac:dyDescent="0.25">
      <c r="E104" s="4"/>
      <c r="H104" s="4"/>
      <c r="J104" s="4"/>
    </row>
    <row r="105" spans="5:10" x14ac:dyDescent="0.25">
      <c r="E105" s="4"/>
      <c r="H105" s="4"/>
      <c r="J105" s="4"/>
    </row>
    <row r="106" spans="5:10" x14ac:dyDescent="0.25">
      <c r="E106" s="4"/>
      <c r="H106" s="4"/>
      <c r="J106" s="4"/>
    </row>
    <row r="107" spans="5:10" x14ac:dyDescent="0.25">
      <c r="E107" s="4"/>
      <c r="H107" s="4"/>
      <c r="J107" s="4"/>
    </row>
    <row r="108" spans="5:10" x14ac:dyDescent="0.25">
      <c r="E108" s="4"/>
      <c r="H108" s="4"/>
      <c r="J108" s="4"/>
    </row>
    <row r="109" spans="5:10" x14ac:dyDescent="0.25">
      <c r="E109" s="4"/>
      <c r="H109" s="4"/>
      <c r="J109" s="4"/>
    </row>
    <row r="110" spans="5:10" x14ac:dyDescent="0.25">
      <c r="E110" s="4"/>
      <c r="H110" s="4"/>
      <c r="J110" s="4"/>
    </row>
    <row r="111" spans="5:10" x14ac:dyDescent="0.25">
      <c r="E111" s="4"/>
      <c r="H111" s="4"/>
      <c r="J111" s="4"/>
    </row>
    <row r="112" spans="5:10" x14ac:dyDescent="0.25">
      <c r="E112" s="4"/>
      <c r="H112" s="4"/>
      <c r="J112" s="4"/>
    </row>
    <row r="113" spans="5:10" x14ac:dyDescent="0.25">
      <c r="E113" s="4"/>
      <c r="H113" s="4"/>
      <c r="J113" s="4"/>
    </row>
    <row r="114" spans="5:10" x14ac:dyDescent="0.25">
      <c r="E114" s="4"/>
      <c r="H114" s="4"/>
      <c r="J114" s="4"/>
    </row>
    <row r="115" spans="5:10" x14ac:dyDescent="0.25">
      <c r="E115" s="4"/>
      <c r="H115" s="4"/>
      <c r="J115" s="4"/>
    </row>
    <row r="116" spans="5:10" x14ac:dyDescent="0.25">
      <c r="E116" s="4"/>
      <c r="H116" s="4"/>
      <c r="J116" s="4"/>
    </row>
    <row r="117" spans="5:10" x14ac:dyDescent="0.25">
      <c r="E117" s="4"/>
      <c r="H117" s="4"/>
      <c r="J117" s="4"/>
    </row>
    <row r="118" spans="5:10" x14ac:dyDescent="0.25">
      <c r="E118" s="4"/>
      <c r="H118" s="4"/>
      <c r="J118" s="4"/>
    </row>
    <row r="119" spans="5:10" x14ac:dyDescent="0.25">
      <c r="E119" s="4"/>
      <c r="H119" s="4"/>
      <c r="J119" s="4"/>
    </row>
    <row r="120" spans="5:10" x14ac:dyDescent="0.25">
      <c r="E120" s="4"/>
      <c r="H120" s="4"/>
      <c r="J120" s="4"/>
    </row>
    <row r="121" spans="5:10" x14ac:dyDescent="0.25">
      <c r="E121" s="4"/>
      <c r="H121" s="4"/>
      <c r="J121" s="4"/>
    </row>
    <row r="122" spans="5:10" x14ac:dyDescent="0.25">
      <c r="E122" s="4"/>
      <c r="H122" s="4"/>
      <c r="J122" s="4"/>
    </row>
    <row r="123" spans="5:10" x14ac:dyDescent="0.25">
      <c r="E123" s="4"/>
      <c r="H123" s="4"/>
      <c r="J123" s="4"/>
    </row>
    <row r="124" spans="5:10" x14ac:dyDescent="0.25">
      <c r="E124" s="4"/>
      <c r="H124" s="4"/>
      <c r="J124" s="4"/>
    </row>
    <row r="125" spans="5:10" x14ac:dyDescent="0.25">
      <c r="E125" s="4"/>
      <c r="H125" s="4"/>
      <c r="J125" s="4"/>
    </row>
    <row r="126" spans="5:10" x14ac:dyDescent="0.25">
      <c r="E126" s="4"/>
      <c r="H126" s="4"/>
      <c r="J126" s="4"/>
    </row>
    <row r="127" spans="5:10" x14ac:dyDescent="0.25">
      <c r="E127" s="4"/>
      <c r="H127" s="4"/>
      <c r="J127" s="4"/>
    </row>
    <row r="128" spans="5:10" x14ac:dyDescent="0.25">
      <c r="E128" s="4"/>
      <c r="H128" s="4"/>
      <c r="J128" s="4"/>
    </row>
    <row r="129" spans="5:25" x14ac:dyDescent="0.25">
      <c r="E129" s="4"/>
      <c r="H129" s="4"/>
      <c r="J129" s="4"/>
    </row>
    <row r="130" spans="5:25" x14ac:dyDescent="0.25">
      <c r="E130" s="4"/>
      <c r="H130" s="4"/>
      <c r="J130" s="4"/>
    </row>
    <row r="131" spans="5:25" x14ac:dyDescent="0.25">
      <c r="E131" s="4"/>
      <c r="H131" s="4"/>
      <c r="J131" s="4"/>
    </row>
    <row r="132" spans="5:25" x14ac:dyDescent="0.25">
      <c r="E132" s="4"/>
      <c r="H132" s="4"/>
      <c r="J132" s="4"/>
    </row>
    <row r="133" spans="5:25" x14ac:dyDescent="0.25">
      <c r="E133" s="4"/>
      <c r="H133" s="4"/>
      <c r="J133" s="4"/>
    </row>
    <row r="134" spans="5:25" x14ac:dyDescent="0.25">
      <c r="E134" s="4"/>
      <c r="H134" s="4"/>
      <c r="J134" s="4"/>
    </row>
    <row r="135" spans="5:25" x14ac:dyDescent="0.25">
      <c r="E135" s="4"/>
      <c r="H135" s="4"/>
      <c r="J135" s="4"/>
    </row>
    <row r="136" spans="5:25" x14ac:dyDescent="0.25">
      <c r="E136" s="4"/>
      <c r="H136" s="4"/>
      <c r="J136" s="4"/>
    </row>
    <row r="137" spans="5:25" x14ac:dyDescent="0.25">
      <c r="E137" s="4"/>
      <c r="H137" s="4"/>
      <c r="J137" s="4"/>
    </row>
    <row r="138" spans="5:25" x14ac:dyDescent="0.25">
      <c r="E138" s="4"/>
      <c r="H138" s="4"/>
      <c r="J138" s="4"/>
    </row>
    <row r="139" spans="5:25" x14ac:dyDescent="0.25">
      <c r="E139" s="4"/>
      <c r="H139" s="4"/>
      <c r="J139" s="4"/>
    </row>
    <row r="140" spans="5:25" x14ac:dyDescent="0.25">
      <c r="E140" s="4"/>
      <c r="G140"/>
      <c r="H140" s="256"/>
      <c r="I140"/>
      <c r="J140" s="256"/>
      <c r="K140"/>
      <c r="L140"/>
      <c r="M140"/>
      <c r="N140"/>
      <c r="O140" s="210"/>
      <c r="P140" s="210"/>
      <c r="Q140" s="210"/>
      <c r="R140" s="210"/>
      <c r="S140" s="210"/>
      <c r="T140" s="210"/>
      <c r="U140" s="210"/>
      <c r="V140"/>
      <c r="W140"/>
      <c r="X140"/>
      <c r="Y140"/>
    </row>
    <row r="141" spans="5:25" x14ac:dyDescent="0.25">
      <c r="E141" s="4"/>
      <c r="G141"/>
      <c r="H141" s="256"/>
      <c r="I141"/>
      <c r="J141" s="256"/>
      <c r="K141"/>
      <c r="L141"/>
      <c r="M141"/>
      <c r="N141"/>
      <c r="O141" s="210"/>
      <c r="P141" s="210"/>
      <c r="Q141" s="210"/>
      <c r="R141" s="210"/>
      <c r="S141" s="210"/>
      <c r="T141" s="210"/>
      <c r="U141" s="210"/>
      <c r="V141"/>
      <c r="W141"/>
      <c r="X141"/>
      <c r="Y141"/>
    </row>
    <row r="142" spans="5:25" x14ac:dyDescent="0.25">
      <c r="E142" s="4"/>
      <c r="G142"/>
      <c r="H142" s="256"/>
      <c r="I142"/>
      <c r="J142" s="256"/>
      <c r="K142"/>
      <c r="L142"/>
      <c r="M142"/>
      <c r="N142"/>
      <c r="O142" s="210"/>
      <c r="P142" s="210"/>
      <c r="Q142" s="210"/>
      <c r="R142" s="210"/>
      <c r="S142" s="210"/>
      <c r="T142" s="210"/>
      <c r="U142" s="210"/>
      <c r="V142"/>
      <c r="W142"/>
      <c r="X142"/>
      <c r="Y142"/>
    </row>
    <row r="143" spans="5:25" x14ac:dyDescent="0.25">
      <c r="E143" s="4"/>
      <c r="G143"/>
      <c r="H143" s="256"/>
      <c r="I143"/>
      <c r="J143" s="256"/>
      <c r="K143"/>
      <c r="L143"/>
      <c r="M143"/>
      <c r="N143"/>
      <c r="O143" s="210"/>
      <c r="P143" s="210"/>
      <c r="Q143" s="210"/>
      <c r="R143" s="210"/>
      <c r="S143" s="210"/>
      <c r="T143" s="210"/>
      <c r="U143" s="210"/>
      <c r="V143"/>
      <c r="W143"/>
      <c r="X143"/>
      <c r="Y143"/>
    </row>
    <row r="144" spans="5:25" x14ac:dyDescent="0.25">
      <c r="E144" s="4"/>
      <c r="H144" s="4"/>
      <c r="J144" s="4"/>
    </row>
    <row r="145" spans="5:10" x14ac:dyDescent="0.25">
      <c r="E145" s="4"/>
      <c r="H145" s="4"/>
      <c r="J145" s="4"/>
    </row>
    <row r="146" spans="5:10" x14ac:dyDescent="0.25">
      <c r="E146" s="4"/>
      <c r="H146" s="4"/>
      <c r="J146" s="4"/>
    </row>
    <row r="147" spans="5:10" x14ac:dyDescent="0.25">
      <c r="E147" s="4"/>
      <c r="H147" s="4"/>
      <c r="J147" s="4"/>
    </row>
    <row r="148" spans="5:10" x14ac:dyDescent="0.25">
      <c r="E148" s="4"/>
      <c r="H148" s="4"/>
      <c r="J148" s="4"/>
    </row>
    <row r="149" spans="5:10" x14ac:dyDescent="0.25">
      <c r="E149" s="4"/>
      <c r="H149" s="4"/>
      <c r="J149" s="4"/>
    </row>
    <row r="150" spans="5:10" x14ac:dyDescent="0.25">
      <c r="E150" s="4"/>
      <c r="H150" s="4"/>
      <c r="J150" s="4"/>
    </row>
    <row r="151" spans="5:10" x14ac:dyDescent="0.25">
      <c r="E151" s="4"/>
      <c r="H151" s="4"/>
      <c r="J151" s="4"/>
    </row>
    <row r="152" spans="5:10" x14ac:dyDescent="0.25">
      <c r="E152" s="4"/>
      <c r="H152" s="4"/>
      <c r="J152" s="4"/>
    </row>
    <row r="153" spans="5:10" x14ac:dyDescent="0.25">
      <c r="E153" s="4"/>
      <c r="H153" s="4"/>
      <c r="J153" s="4"/>
    </row>
    <row r="154" spans="5:10" x14ac:dyDescent="0.25">
      <c r="E154" s="4"/>
      <c r="H154" s="4"/>
      <c r="J154" s="4"/>
    </row>
    <row r="155" spans="5:10" x14ac:dyDescent="0.25">
      <c r="E155" s="4"/>
      <c r="H155" s="4"/>
      <c r="J155" s="4"/>
    </row>
    <row r="156" spans="5:10" x14ac:dyDescent="0.25">
      <c r="E156" s="4"/>
      <c r="H156" s="4"/>
      <c r="J156" s="4"/>
    </row>
    <row r="157" spans="5:10" x14ac:dyDescent="0.25">
      <c r="E157" s="4"/>
      <c r="H157" s="4"/>
      <c r="J157" s="4"/>
    </row>
    <row r="158" spans="5:10" x14ac:dyDescent="0.25">
      <c r="E158" s="4"/>
      <c r="H158" s="4"/>
      <c r="J158" s="4"/>
    </row>
    <row r="159" spans="5:10" x14ac:dyDescent="0.25">
      <c r="E159" s="4"/>
      <c r="H159" s="4"/>
      <c r="J159" s="4"/>
    </row>
    <row r="160" spans="5:10" x14ac:dyDescent="0.25">
      <c r="E160" s="4"/>
      <c r="H160" s="4"/>
      <c r="J160" s="4"/>
    </row>
    <row r="161" spans="5:10" x14ac:dyDescent="0.25">
      <c r="E161" s="4"/>
      <c r="H161" s="4"/>
      <c r="J161" s="4"/>
    </row>
    <row r="162" spans="5:10" x14ac:dyDescent="0.25">
      <c r="E162" s="4"/>
      <c r="H162" s="4"/>
      <c r="J162" s="4"/>
    </row>
    <row r="163" spans="5:10" x14ac:dyDescent="0.25">
      <c r="E163" s="4"/>
      <c r="H163" s="4"/>
      <c r="J163" s="4"/>
    </row>
    <row r="164" spans="5:10" x14ac:dyDescent="0.25">
      <c r="E164" s="4"/>
      <c r="H164" s="4"/>
      <c r="J164" s="4"/>
    </row>
    <row r="165" spans="5:10" x14ac:dyDescent="0.25">
      <c r="E165" s="4"/>
      <c r="H165" s="4"/>
      <c r="J165" s="4"/>
    </row>
    <row r="166" spans="5:10" x14ac:dyDescent="0.25">
      <c r="E166" s="4"/>
      <c r="H166" s="4"/>
      <c r="J166" s="4"/>
    </row>
    <row r="167" spans="5:10" x14ac:dyDescent="0.25">
      <c r="E167" s="4"/>
      <c r="H167" s="4"/>
      <c r="J167" s="4"/>
    </row>
    <row r="168" spans="5:10" x14ac:dyDescent="0.25">
      <c r="E168" s="4"/>
      <c r="H168" s="4"/>
      <c r="J168" s="4"/>
    </row>
    <row r="169" spans="5:10" x14ac:dyDescent="0.25">
      <c r="E169" s="4"/>
      <c r="H169" s="4"/>
      <c r="J169" s="4"/>
    </row>
    <row r="170" spans="5:10" x14ac:dyDescent="0.25">
      <c r="E170" s="4"/>
      <c r="H170" s="4"/>
      <c r="J170" s="4"/>
    </row>
    <row r="171" spans="5:10" x14ac:dyDescent="0.25">
      <c r="E171" s="4"/>
      <c r="H171" s="4"/>
      <c r="J171" s="4"/>
    </row>
    <row r="172" spans="5:10" x14ac:dyDescent="0.25">
      <c r="E172" s="4"/>
      <c r="H172" s="4"/>
      <c r="J172" s="4"/>
    </row>
    <row r="173" spans="5:10" x14ac:dyDescent="0.25">
      <c r="E173" s="4"/>
      <c r="H173" s="4"/>
      <c r="J173" s="4"/>
    </row>
    <row r="174" spans="5:10" x14ac:dyDescent="0.25">
      <c r="E174" s="4"/>
      <c r="H174" s="4"/>
      <c r="J174" s="4"/>
    </row>
    <row r="175" spans="5:10" x14ac:dyDescent="0.25">
      <c r="E175" s="4"/>
      <c r="H175" s="4"/>
      <c r="J175" s="4"/>
    </row>
    <row r="176" spans="5:10" x14ac:dyDescent="0.25">
      <c r="E176" s="4"/>
      <c r="H176" s="4"/>
      <c r="J176" s="4"/>
    </row>
    <row r="177" spans="5:10" x14ac:dyDescent="0.25">
      <c r="E177" s="4"/>
      <c r="H177" s="4"/>
      <c r="J177" s="4"/>
    </row>
    <row r="178" spans="5:10" x14ac:dyDescent="0.25">
      <c r="E178" s="4"/>
      <c r="H178" s="4"/>
      <c r="J178" s="4"/>
    </row>
    <row r="179" spans="5:10" x14ac:dyDescent="0.25">
      <c r="E179" s="4"/>
      <c r="H179" s="4"/>
      <c r="J179" s="4"/>
    </row>
    <row r="180" spans="5:10" x14ac:dyDescent="0.25">
      <c r="E180" s="4"/>
      <c r="H180" s="4"/>
      <c r="J180" s="4"/>
    </row>
    <row r="181" spans="5:10" x14ac:dyDescent="0.25">
      <c r="E181" s="4"/>
      <c r="H181" s="4"/>
      <c r="J181" s="4"/>
    </row>
    <row r="182" spans="5:10" x14ac:dyDescent="0.25">
      <c r="E182" s="4"/>
      <c r="H182" s="4"/>
      <c r="J182" s="4"/>
    </row>
    <row r="183" spans="5:10" x14ac:dyDescent="0.25">
      <c r="E183" s="4"/>
      <c r="H183" s="4"/>
      <c r="J183" s="4"/>
    </row>
    <row r="184" spans="5:10" x14ac:dyDescent="0.25">
      <c r="E184" s="4"/>
      <c r="H184" s="4"/>
      <c r="J184" s="4"/>
    </row>
    <row r="185" spans="5:10" x14ac:dyDescent="0.25">
      <c r="E185" s="4"/>
      <c r="H185" s="4"/>
      <c r="J185" s="4"/>
    </row>
    <row r="186" spans="5:10" x14ac:dyDescent="0.25">
      <c r="E186" s="4"/>
      <c r="H186" s="4"/>
      <c r="J186" s="4"/>
    </row>
    <row r="187" spans="5:10" x14ac:dyDescent="0.25">
      <c r="E187" s="4"/>
      <c r="H187" s="4"/>
      <c r="J187" s="4"/>
    </row>
    <row r="188" spans="5:10" x14ac:dyDescent="0.25">
      <c r="E188" s="4"/>
      <c r="H188" s="4"/>
      <c r="J188" s="4"/>
    </row>
    <row r="189" spans="5:10" x14ac:dyDescent="0.25">
      <c r="E189" s="4"/>
      <c r="H189" s="4"/>
      <c r="J189" s="4"/>
    </row>
    <row r="190" spans="5:10" x14ac:dyDescent="0.25">
      <c r="E190" s="4"/>
      <c r="H190" s="4"/>
      <c r="J190" s="4"/>
    </row>
    <row r="191" spans="5:10" x14ac:dyDescent="0.25">
      <c r="E191" s="4"/>
      <c r="H191" s="4"/>
      <c r="J191" s="4"/>
    </row>
    <row r="192" spans="5:10" x14ac:dyDescent="0.25">
      <c r="E192" s="4"/>
      <c r="H192" s="4"/>
      <c r="J192" s="4"/>
    </row>
    <row r="193" spans="5:10" x14ac:dyDescent="0.25">
      <c r="E193" s="4"/>
      <c r="H193" s="4"/>
      <c r="J193" s="4"/>
    </row>
    <row r="194" spans="5:10" x14ac:dyDescent="0.25">
      <c r="E194" s="4"/>
      <c r="H194" s="4"/>
      <c r="J194" s="4"/>
    </row>
    <row r="195" spans="5:10" x14ac:dyDescent="0.25">
      <c r="E195" s="4"/>
      <c r="H195" s="4"/>
      <c r="J195" s="4"/>
    </row>
    <row r="196" spans="5:10" x14ac:dyDescent="0.25">
      <c r="E196" s="4"/>
      <c r="H196" s="4"/>
      <c r="J196" s="4"/>
    </row>
    <row r="197" spans="5:10" x14ac:dyDescent="0.25">
      <c r="E197" s="4"/>
      <c r="H197" s="4"/>
      <c r="J197" s="4"/>
    </row>
    <row r="198" spans="5:10" x14ac:dyDescent="0.25">
      <c r="E198" s="4"/>
      <c r="H198" s="4"/>
      <c r="J198" s="4"/>
    </row>
    <row r="199" spans="5:10" x14ac:dyDescent="0.25">
      <c r="E199" s="4"/>
      <c r="H199" s="4"/>
      <c r="J199" s="4"/>
    </row>
    <row r="200" spans="5:10" x14ac:dyDescent="0.25">
      <c r="E200" s="4"/>
      <c r="H200" s="4"/>
      <c r="J200" s="4"/>
    </row>
    <row r="201" spans="5:10" x14ac:dyDescent="0.25">
      <c r="E201" s="4"/>
      <c r="H201" s="4"/>
      <c r="J201" s="4"/>
    </row>
    <row r="202" spans="5:10" x14ac:dyDescent="0.25">
      <c r="E202" s="4"/>
      <c r="H202" s="4"/>
      <c r="J202" s="4"/>
    </row>
    <row r="203" spans="5:10" x14ac:dyDescent="0.25">
      <c r="E203" s="4"/>
      <c r="H203" s="4"/>
      <c r="J203" s="4"/>
    </row>
    <row r="204" spans="5:10" x14ac:dyDescent="0.25">
      <c r="E204" s="4"/>
      <c r="H204" s="4"/>
      <c r="J204" s="4"/>
    </row>
    <row r="205" spans="5:10" x14ac:dyDescent="0.25">
      <c r="E205" s="4"/>
      <c r="H205" s="4"/>
      <c r="J205" s="4"/>
    </row>
    <row r="206" spans="5:10" x14ac:dyDescent="0.25">
      <c r="E206" s="4"/>
      <c r="H206" s="4"/>
      <c r="J206" s="4"/>
    </row>
    <row r="207" spans="5:10" x14ac:dyDescent="0.25">
      <c r="E207" s="4"/>
      <c r="H207" s="4"/>
      <c r="J207" s="4"/>
    </row>
    <row r="208" spans="5:10" x14ac:dyDescent="0.25">
      <c r="E208" s="4"/>
      <c r="H208" s="4"/>
      <c r="J208" s="4"/>
    </row>
    <row r="209" spans="5:10" x14ac:dyDescent="0.25">
      <c r="E209" s="4"/>
      <c r="H209" s="4"/>
      <c r="J209" s="4"/>
    </row>
    <row r="210" spans="5:10" x14ac:dyDescent="0.25">
      <c r="E210" s="4"/>
      <c r="H210" s="4"/>
      <c r="J210" s="4"/>
    </row>
    <row r="211" spans="5:10" x14ac:dyDescent="0.25">
      <c r="E211" s="4"/>
      <c r="H211" s="4"/>
      <c r="J211" s="4"/>
    </row>
    <row r="212" spans="5:10" x14ac:dyDescent="0.25">
      <c r="E212" s="4"/>
      <c r="H212" s="4"/>
      <c r="J212" s="4"/>
    </row>
    <row r="213" spans="5:10" x14ac:dyDescent="0.25">
      <c r="E213" s="4"/>
      <c r="H213" s="4"/>
      <c r="J213" s="4"/>
    </row>
    <row r="214" spans="5:10" x14ac:dyDescent="0.25">
      <c r="E214" s="4"/>
      <c r="H214" s="4"/>
      <c r="J214" s="4"/>
    </row>
    <row r="215" spans="5:10" x14ac:dyDescent="0.25">
      <c r="E215" s="4"/>
      <c r="H215" s="4"/>
      <c r="J215" s="4"/>
    </row>
    <row r="216" spans="5:10" x14ac:dyDescent="0.25">
      <c r="E216" s="4"/>
      <c r="H216" s="4"/>
      <c r="J216" s="4"/>
    </row>
    <row r="217" spans="5:10" x14ac:dyDescent="0.25">
      <c r="E217" s="4"/>
      <c r="H217" s="4"/>
      <c r="J217" s="4"/>
    </row>
    <row r="218" spans="5:10" x14ac:dyDescent="0.25">
      <c r="E218" s="4"/>
      <c r="H218" s="4"/>
      <c r="J218" s="4"/>
    </row>
    <row r="219" spans="5:10" x14ac:dyDescent="0.25">
      <c r="E219" s="4"/>
      <c r="H219" s="4"/>
      <c r="J219" s="4"/>
    </row>
    <row r="220" spans="5:10" x14ac:dyDescent="0.25">
      <c r="E220" s="4"/>
      <c r="H220" s="4"/>
      <c r="J220" s="4"/>
    </row>
    <row r="221" spans="5:10" x14ac:dyDescent="0.25">
      <c r="E221" s="4"/>
      <c r="H221" s="4"/>
      <c r="J221" s="4"/>
    </row>
    <row r="222" spans="5:10" x14ac:dyDescent="0.25">
      <c r="E222" s="4"/>
      <c r="H222" s="4"/>
      <c r="J222" s="4"/>
    </row>
    <row r="223" spans="5:10" x14ac:dyDescent="0.25">
      <c r="E223" s="4"/>
      <c r="H223" s="4"/>
      <c r="J223" s="4"/>
    </row>
    <row r="224" spans="5:10" x14ac:dyDescent="0.25">
      <c r="E224" s="4"/>
      <c r="H224" s="4"/>
      <c r="J224" s="4"/>
    </row>
    <row r="225" spans="5:10" x14ac:dyDescent="0.25">
      <c r="E225" s="4"/>
      <c r="H225" s="4"/>
      <c r="J225" s="4"/>
    </row>
    <row r="226" spans="5:10" x14ac:dyDescent="0.25">
      <c r="E226" s="4"/>
      <c r="H226" s="4"/>
      <c r="J226" s="4"/>
    </row>
    <row r="227" spans="5:10" x14ac:dyDescent="0.25">
      <c r="E227" s="4"/>
      <c r="H227" s="4"/>
      <c r="J227" s="4"/>
    </row>
    <row r="228" spans="5:10" x14ac:dyDescent="0.25">
      <c r="E228" s="4"/>
      <c r="H228" s="4"/>
      <c r="J228" s="4"/>
    </row>
    <row r="229" spans="5:10" x14ac:dyDescent="0.25">
      <c r="E229" s="4"/>
      <c r="H229" s="4"/>
      <c r="J229" s="4"/>
    </row>
    <row r="230" spans="5:10" x14ac:dyDescent="0.25">
      <c r="E230" s="4"/>
      <c r="H230" s="4"/>
      <c r="J230" s="4"/>
    </row>
    <row r="231" spans="5:10" x14ac:dyDescent="0.25">
      <c r="E231" s="4"/>
      <c r="H231" s="4"/>
      <c r="J231" s="4"/>
    </row>
    <row r="232" spans="5:10" x14ac:dyDescent="0.25">
      <c r="E232" s="4"/>
      <c r="H232" s="4"/>
      <c r="J232" s="4"/>
    </row>
    <row r="233" spans="5:10" x14ac:dyDescent="0.25">
      <c r="E233" s="4"/>
      <c r="H233" s="4"/>
      <c r="J233" s="4"/>
    </row>
    <row r="234" spans="5:10" x14ac:dyDescent="0.25">
      <c r="E234" s="4"/>
      <c r="H234" s="4"/>
      <c r="J234" s="4"/>
    </row>
    <row r="235" spans="5:10" x14ac:dyDescent="0.25">
      <c r="E235" s="4"/>
      <c r="H235" s="4"/>
      <c r="J235" s="4"/>
    </row>
    <row r="236" spans="5:10" x14ac:dyDescent="0.25">
      <c r="E236" s="4"/>
      <c r="H236" s="4"/>
      <c r="J236" s="4"/>
    </row>
    <row r="237" spans="5:10" x14ac:dyDescent="0.25">
      <c r="E237" s="4"/>
      <c r="H237" s="4"/>
      <c r="J237" s="4"/>
    </row>
    <row r="238" spans="5:10" x14ac:dyDescent="0.25">
      <c r="E238" s="4"/>
      <c r="H238" s="4"/>
      <c r="J238" s="4"/>
    </row>
    <row r="239" spans="5:10" x14ac:dyDescent="0.25">
      <c r="E239" s="4"/>
      <c r="H239" s="4"/>
      <c r="J239" s="4"/>
    </row>
    <row r="240" spans="5:10" x14ac:dyDescent="0.25">
      <c r="E240" s="4"/>
      <c r="H240" s="4"/>
      <c r="J240" s="4"/>
    </row>
    <row r="241" spans="5:10" x14ac:dyDescent="0.25">
      <c r="E241" s="4"/>
      <c r="H241" s="4"/>
      <c r="J241" s="4"/>
    </row>
    <row r="242" spans="5:10" x14ac:dyDescent="0.25">
      <c r="E242" s="4"/>
      <c r="H242" s="4"/>
      <c r="J242" s="4"/>
    </row>
    <row r="243" spans="5:10" x14ac:dyDescent="0.25">
      <c r="E243" s="4"/>
      <c r="H243" s="4"/>
      <c r="J243" s="4"/>
    </row>
    <row r="244" spans="5:10" x14ac:dyDescent="0.25">
      <c r="E244" s="4"/>
      <c r="H244" s="4"/>
      <c r="J244" s="4"/>
    </row>
    <row r="245" spans="5:10" x14ac:dyDescent="0.25">
      <c r="E245" s="4"/>
      <c r="H245" s="4"/>
      <c r="J245" s="4"/>
    </row>
    <row r="246" spans="5:10" x14ac:dyDescent="0.25">
      <c r="E246" s="4"/>
      <c r="H246" s="4"/>
      <c r="J246" s="4"/>
    </row>
    <row r="247" spans="5:10" x14ac:dyDescent="0.25">
      <c r="E247" s="4"/>
      <c r="H247" s="4"/>
      <c r="J247" s="4"/>
    </row>
    <row r="248" spans="5:10" x14ac:dyDescent="0.25">
      <c r="E248" s="4"/>
      <c r="H248" s="4"/>
      <c r="J248" s="4"/>
    </row>
  </sheetData>
  <mergeCells count="2">
    <mergeCell ref="F3:M3"/>
    <mergeCell ref="B2:N2"/>
  </mergeCells>
  <dataValidations count="12">
    <dataValidation type="list" allowBlank="1" showInputMessage="1" showErrorMessage="1" sqref="E14" xr:uid="{D7ACF147-1409-44EF-8F47-2C98B2F52440}">
      <formula1>"Male,Female"</formula1>
    </dataValidation>
    <dataValidation type="decimal" allowBlank="1" showErrorMessage="1" error="Value must be &gt;=0 and &lt;=90 years" sqref="E13" xr:uid="{08C0D7B9-C8F7-4C46-806E-5BA241AD42C4}">
      <formula1>0</formula1>
      <formula2>90</formula2>
    </dataValidation>
    <dataValidation type="list" errorStyle="information" allowBlank="1" showInputMessage="1" showErrorMessage="1" sqref="E33" xr:uid="{F10076CB-7D24-42E0-B336-4E83AA9E5872}">
      <formula1>"Forward, Solve for Allowable Concentration"</formula1>
    </dataValidation>
    <dataValidation type="list" allowBlank="1" showInputMessage="1" showErrorMessage="1" sqref="E34" xr:uid="{C3969767-12EF-48DC-8C63-9B3773FF5D17}">
      <formula1>"Stepwise, Interpolated"</formula1>
    </dataValidation>
    <dataValidation type="whole" errorStyle="information" operator="greaterThan" allowBlank="1" showInputMessage="1" showErrorMessage="1" sqref="E10:E14" xr:uid="{70640304-7C8E-472F-A111-53127580E221}">
      <formula1>0</formula1>
    </dataValidation>
    <dataValidation type="list" allowBlank="1" showInputMessage="1" showErrorMessage="1" sqref="E19:E20 E22" xr:uid="{BCC935AA-03A9-4A57-B2E9-E9D1DF440CAE}">
      <formula1>"Yes, 'No (default)"</formula1>
    </dataValidation>
    <dataValidation type="list" errorStyle="information" allowBlank="1" showInputMessage="1" showErrorMessage="1" sqref="E26:E31" xr:uid="{0E6D1F22-2AB3-46E4-82F0-FFCB760389D2}">
      <formula1>"Yes,No"</formula1>
    </dataValidation>
    <dataValidation type="list" allowBlank="1" showInputMessage="1" showErrorMessage="1" sqref="F26:F31" xr:uid="{68261E2A-4FB9-43D8-992A-C3C78286A212}">
      <formula1>"0, 1, 2, 3"</formula1>
    </dataValidation>
    <dataValidation type="list" allowBlank="1" showInputMessage="1" showErrorMessage="1" sqref="G26:G31" xr:uid="{AEBFE78A-AD73-4C1D-9E81-F5927C4BA5AB}">
      <formula1>"0, 1, 2, 3, 4, 5, 6, 7, 8, 9"</formula1>
    </dataValidation>
    <dataValidation type="custom" allowBlank="1" showInputMessage="1" showErrorMessage="1" sqref="K6" xr:uid="{27D35C25-7EB8-43C8-A190-4C8E7C8223F9}">
      <formula1>"ISNUMBER(SUMPRODUCT(SEARCH(MID(A1,ROW(INDIRECT(""1:""&amp;LEN(A1))),1),""0123456789abcdefghijklmnopqrstuvwxyzABCDEFGHIJKLMNOPQRSTUVWXYZ"")))"</formula1>
    </dataValidation>
    <dataValidation type="custom" allowBlank="1" showInputMessage="1" showErrorMessage="1" errorTitle="Simulation Name" error="Simulation Name includes a Microsoft Reserved Character or is too long. Please remove the special character or shorten the name to less than 20 characters to proceed.  " sqref="E6" xr:uid="{42D33FC6-1F92-4BBE-827D-DE0DF916A7D0}">
      <formula1>AND(ISNUMBER(SUMPRODUCT(SEARCH(MID(E6,ROW(INDIRECT("1:"&amp;LEN(SimName))),1),"0123456789abcdefghijklmnopqrstuvwxyzABCDEFGHIJKLMNOPQRSTUVWXYZ_"))),LEN(SimName)&lt;20)</formula1>
    </dataValidation>
    <dataValidation type="list" allowBlank="1" showInputMessage="1" showErrorMessage="1" sqref="E35" xr:uid="{E8AF7101-CDAA-4DF9-A2DE-9C2DDCBB4DE5}">
      <formula1>"Linear RBC, Non-linear RBC"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_32bit">
              <controlPr defaultSize="0" autoFill="0" autoLine="0" autoPict="0" macro="[0]!Button_32bit_Click">
                <anchor moveWithCells="1">
                  <from>
                    <xdr:col>5</xdr:col>
                    <xdr:colOff>520700</xdr:colOff>
                    <xdr:row>4</xdr:row>
                    <xdr:rowOff>31750</xdr:rowOff>
                  </from>
                  <to>
                    <xdr:col>6</xdr:col>
                    <xdr:colOff>901700</xdr:colOff>
                    <xdr:row>5</xdr:row>
                    <xdr:rowOff>177800</xdr:rowOff>
                  </to>
                </anchor>
              </controlPr>
            </control>
          </mc:Choice>
        </mc:AlternateContent>
        <mc:AlternateContent xmlns:mc="http://schemas.openxmlformats.org/markup-compatibility/2006">
          <mc:Choice Requires="x14">
            <control shapeId="1029" r:id="rId5" name="Button_64bit">
              <controlPr defaultSize="0" autoFill="0" autoLine="0" autoPict="0">
                <anchor moveWithCells="1">
                  <from>
                    <xdr:col>5</xdr:col>
                    <xdr:colOff>520700</xdr:colOff>
                    <xdr:row>5</xdr:row>
                    <xdr:rowOff>139700</xdr:rowOff>
                  </from>
                  <to>
                    <xdr:col>7</xdr:col>
                    <xdr:colOff>203200</xdr:colOff>
                    <xdr:row>5</xdr:row>
                    <xdr:rowOff>323850</xdr:rowOff>
                  </to>
                </anchor>
              </controlPr>
            </control>
          </mc:Choice>
        </mc:AlternateContent>
        <mc:AlternateContent xmlns:mc="http://schemas.openxmlformats.org/markup-compatibility/2006">
          <mc:Choice Requires="x14">
            <control shapeId="1034" r:id="rId6" name="Check Box 10">
              <controlPr defaultSize="0" autoFill="0" autoLine="0" autoPict="0" macro="[0]!Sheet19.Simulation_Time" altText="Check box to alter advanced time options">
                <anchor moveWithCells="1">
                  <from>
                    <xdr:col>12</xdr:col>
                    <xdr:colOff>381000</xdr:colOff>
                    <xdr:row>6</xdr:row>
                    <xdr:rowOff>152400</xdr:rowOff>
                  </from>
                  <to>
                    <xdr:col>13</xdr:col>
                    <xdr:colOff>19050</xdr:colOff>
                    <xdr:row>8</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5E7FC-F791-41FB-8038-DAB05D3373B9}">
  <sheetPr codeName="Sheet3">
    <tabColor theme="6"/>
  </sheetPr>
  <dimension ref="A2:N127"/>
  <sheetViews>
    <sheetView topLeftCell="A86" workbookViewId="0">
      <selection activeCell="J102" sqref="J102"/>
    </sheetView>
  </sheetViews>
  <sheetFormatPr defaultRowHeight="12.5" x14ac:dyDescent="0.25"/>
  <cols>
    <col min="2" max="2" width="18.54296875" customWidth="1"/>
    <col min="6" max="6" width="8.7265625" customWidth="1"/>
  </cols>
  <sheetData>
    <row r="2" spans="1:5" x14ac:dyDescent="0.25">
      <c r="A2" t="s">
        <v>28</v>
      </c>
      <c r="B2" t="s">
        <v>414</v>
      </c>
    </row>
    <row r="3" spans="1:5" x14ac:dyDescent="0.25">
      <c r="A3" t="s">
        <v>29</v>
      </c>
      <c r="B3" t="s">
        <v>30</v>
      </c>
      <c r="C3">
        <v>2</v>
      </c>
      <c r="D3">
        <v>0</v>
      </c>
      <c r="E3">
        <v>2555</v>
      </c>
    </row>
    <row r="4" spans="1:5" x14ac:dyDescent="0.25">
      <c r="A4" t="s">
        <v>29</v>
      </c>
      <c r="B4" t="s">
        <v>31</v>
      </c>
      <c r="C4">
        <v>1</v>
      </c>
      <c r="D4">
        <v>100</v>
      </c>
    </row>
    <row r="5" spans="1:5" x14ac:dyDescent="0.25">
      <c r="A5" t="s">
        <v>29</v>
      </c>
      <c r="B5" t="s">
        <v>32</v>
      </c>
      <c r="C5">
        <v>1</v>
      </c>
      <c r="D5">
        <v>100</v>
      </c>
    </row>
    <row r="6" spans="1:5" x14ac:dyDescent="0.25">
      <c r="A6" t="s">
        <v>29</v>
      </c>
      <c r="B6" t="s">
        <v>33</v>
      </c>
      <c r="C6">
        <v>1</v>
      </c>
      <c r="D6">
        <v>1</v>
      </c>
    </row>
    <row r="7" spans="1:5" x14ac:dyDescent="0.25">
      <c r="A7" t="s">
        <v>29</v>
      </c>
      <c r="B7" t="s">
        <v>34</v>
      </c>
      <c r="C7">
        <v>1</v>
      </c>
      <c r="D7">
        <v>1</v>
      </c>
    </row>
    <row r="8" spans="1:5" x14ac:dyDescent="0.25">
      <c r="A8" t="s">
        <v>29</v>
      </c>
      <c r="B8" t="s">
        <v>35</v>
      </c>
      <c r="C8">
        <v>1</v>
      </c>
      <c r="D8">
        <v>0</v>
      </c>
    </row>
    <row r="9" spans="1:5" x14ac:dyDescent="0.25">
      <c r="A9" t="s">
        <v>29</v>
      </c>
      <c r="B9" t="s">
        <v>36</v>
      </c>
      <c r="C9">
        <v>1</v>
      </c>
      <c r="D9">
        <v>0</v>
      </c>
    </row>
    <row r="10" spans="1:5" x14ac:dyDescent="0.25">
      <c r="A10" t="s">
        <v>37</v>
      </c>
      <c r="B10" t="s">
        <v>38</v>
      </c>
      <c r="C10">
        <v>1</v>
      </c>
      <c r="D10">
        <v>0</v>
      </c>
    </row>
    <row r="11" spans="1:5" x14ac:dyDescent="0.25">
      <c r="A11" t="s">
        <v>37</v>
      </c>
      <c r="B11" t="s">
        <v>39</v>
      </c>
      <c r="C11">
        <v>1</v>
      </c>
      <c r="D11">
        <v>3.3</v>
      </c>
    </row>
    <row r="12" spans="1:5" x14ac:dyDescent="0.25">
      <c r="A12" t="s">
        <v>37</v>
      </c>
      <c r="B12" t="s">
        <v>40</v>
      </c>
      <c r="C12">
        <v>1</v>
      </c>
      <c r="D12">
        <v>22.5</v>
      </c>
    </row>
    <row r="13" spans="1:5" x14ac:dyDescent="0.25">
      <c r="A13" t="s">
        <v>37</v>
      </c>
      <c r="B13" t="s">
        <v>41</v>
      </c>
      <c r="C13">
        <v>1</v>
      </c>
      <c r="D13">
        <v>3</v>
      </c>
    </row>
    <row r="14" spans="1:5" x14ac:dyDescent="0.25">
      <c r="A14" t="s">
        <v>37</v>
      </c>
      <c r="B14" t="s">
        <v>42</v>
      </c>
      <c r="C14">
        <v>1</v>
      </c>
      <c r="D14">
        <v>42</v>
      </c>
    </row>
    <row r="15" spans="1:5" x14ac:dyDescent="0.25">
      <c r="A15" t="s">
        <v>37</v>
      </c>
      <c r="B15" t="s">
        <v>43</v>
      </c>
      <c r="C15">
        <v>1</v>
      </c>
      <c r="D15">
        <v>600</v>
      </c>
    </row>
    <row r="16" spans="1:5" x14ac:dyDescent="0.25">
      <c r="A16" t="s">
        <v>37</v>
      </c>
      <c r="B16" t="s">
        <v>44</v>
      </c>
      <c r="C16">
        <v>1</v>
      </c>
      <c r="D16">
        <v>1.3599999999999999E-2</v>
      </c>
    </row>
    <row r="17" spans="1:4" x14ac:dyDescent="0.25">
      <c r="A17" t="s">
        <v>37</v>
      </c>
      <c r="B17" t="s">
        <v>45</v>
      </c>
      <c r="C17">
        <v>1</v>
      </c>
      <c r="D17">
        <v>0.85</v>
      </c>
    </row>
    <row r="18" spans="1:4" x14ac:dyDescent="0.25">
      <c r="A18" t="s">
        <v>46</v>
      </c>
      <c r="B18" t="s">
        <v>47</v>
      </c>
      <c r="C18">
        <v>1</v>
      </c>
      <c r="D18">
        <v>0.52</v>
      </c>
    </row>
    <row r="19" spans="1:4" x14ac:dyDescent="0.25">
      <c r="A19" t="s">
        <v>46</v>
      </c>
      <c r="B19" t="s">
        <v>48</v>
      </c>
      <c r="C19">
        <v>1</v>
      </c>
      <c r="D19">
        <v>0.435</v>
      </c>
    </row>
    <row r="20" spans="1:4" x14ac:dyDescent="0.25">
      <c r="A20" t="s">
        <v>46</v>
      </c>
      <c r="B20" t="s">
        <v>49</v>
      </c>
      <c r="C20">
        <v>1</v>
      </c>
      <c r="D20">
        <v>2800</v>
      </c>
    </row>
    <row r="21" spans="1:4" x14ac:dyDescent="0.25">
      <c r="A21" t="s">
        <v>46</v>
      </c>
      <c r="B21" t="s">
        <v>50</v>
      </c>
      <c r="C21">
        <v>1</v>
      </c>
      <c r="D21">
        <v>0.62</v>
      </c>
    </row>
    <row r="22" spans="1:4" x14ac:dyDescent="0.25">
      <c r="A22" t="s">
        <v>46</v>
      </c>
      <c r="B22" t="s">
        <v>51</v>
      </c>
      <c r="C22">
        <v>1</v>
      </c>
      <c r="D22">
        <v>0.32</v>
      </c>
    </row>
    <row r="23" spans="1:4" x14ac:dyDescent="0.25">
      <c r="A23" t="s">
        <v>46</v>
      </c>
      <c r="B23" t="s">
        <v>52</v>
      </c>
      <c r="C23">
        <v>1</v>
      </c>
      <c r="D23">
        <v>4.4999999999999998E-2</v>
      </c>
    </row>
    <row r="24" spans="1:4" x14ac:dyDescent="0.25">
      <c r="A24" t="s">
        <v>46</v>
      </c>
      <c r="B24" t="s">
        <v>53</v>
      </c>
      <c r="C24">
        <v>1</v>
      </c>
      <c r="D24">
        <v>0.85</v>
      </c>
    </row>
    <row r="25" spans="1:4" x14ac:dyDescent="0.25">
      <c r="A25" t="s">
        <v>46</v>
      </c>
      <c r="B25" t="s">
        <v>54</v>
      </c>
      <c r="C25">
        <v>1</v>
      </c>
      <c r="D25">
        <v>4000</v>
      </c>
    </row>
    <row r="26" spans="1:4" x14ac:dyDescent="0.25">
      <c r="A26" t="s">
        <v>46</v>
      </c>
      <c r="B26" t="s">
        <v>55</v>
      </c>
      <c r="C26">
        <v>1</v>
      </c>
      <c r="D26">
        <v>0.45</v>
      </c>
    </row>
    <row r="27" spans="1:4" x14ac:dyDescent="0.25">
      <c r="A27" t="s">
        <v>46</v>
      </c>
      <c r="B27" t="s">
        <v>56</v>
      </c>
      <c r="C27">
        <v>1</v>
      </c>
      <c r="D27">
        <v>0.1</v>
      </c>
    </row>
    <row r="28" spans="1:4" x14ac:dyDescent="0.25">
      <c r="A28" t="s">
        <v>46</v>
      </c>
      <c r="B28" t="s">
        <v>57</v>
      </c>
      <c r="C28">
        <v>1</v>
      </c>
      <c r="D28">
        <v>0.45</v>
      </c>
    </row>
    <row r="29" spans="1:4" x14ac:dyDescent="0.25">
      <c r="A29" t="s">
        <v>46</v>
      </c>
      <c r="B29" t="s">
        <v>58</v>
      </c>
      <c r="C29">
        <v>1</v>
      </c>
      <c r="D29">
        <v>5.5E-2</v>
      </c>
    </row>
    <row r="30" spans="1:4" x14ac:dyDescent="0.25">
      <c r="A30" t="s">
        <v>46</v>
      </c>
      <c r="B30" t="s">
        <v>59</v>
      </c>
      <c r="C30">
        <v>1</v>
      </c>
      <c r="D30">
        <v>1</v>
      </c>
    </row>
    <row r="31" spans="1:4" x14ac:dyDescent="0.25">
      <c r="A31" t="s">
        <v>46</v>
      </c>
      <c r="B31" t="s">
        <v>60</v>
      </c>
      <c r="C31">
        <v>1</v>
      </c>
      <c r="D31">
        <v>310</v>
      </c>
    </row>
    <row r="32" spans="1:4" x14ac:dyDescent="0.25">
      <c r="A32" t="s">
        <v>46</v>
      </c>
      <c r="B32" t="s">
        <v>61</v>
      </c>
      <c r="C32">
        <v>1</v>
      </c>
      <c r="D32">
        <v>30</v>
      </c>
    </row>
    <row r="33" spans="1:4" x14ac:dyDescent="0.25">
      <c r="A33" t="s">
        <v>46</v>
      </c>
      <c r="B33" t="s">
        <v>62</v>
      </c>
      <c r="C33">
        <v>1</v>
      </c>
      <c r="D33">
        <v>1.5</v>
      </c>
    </row>
    <row r="34" spans="1:4" x14ac:dyDescent="0.25">
      <c r="A34" t="s">
        <v>46</v>
      </c>
      <c r="B34" t="s">
        <v>63</v>
      </c>
      <c r="C34">
        <v>1</v>
      </c>
      <c r="D34">
        <v>7.0000000000000007E-2</v>
      </c>
    </row>
    <row r="35" spans="1:4" x14ac:dyDescent="0.25">
      <c r="A35" t="s">
        <v>46</v>
      </c>
      <c r="B35" t="s">
        <v>64</v>
      </c>
      <c r="C35">
        <v>1</v>
      </c>
      <c r="D35">
        <v>20</v>
      </c>
    </row>
    <row r="36" spans="1:4" x14ac:dyDescent="0.25">
      <c r="A36" t="s">
        <v>46</v>
      </c>
      <c r="B36" t="s">
        <v>65</v>
      </c>
      <c r="C36">
        <v>1</v>
      </c>
      <c r="D36">
        <v>22</v>
      </c>
    </row>
    <row r="37" spans="1:4" x14ac:dyDescent="0.25">
      <c r="A37" t="s">
        <v>46</v>
      </c>
      <c r="B37" t="s">
        <v>66</v>
      </c>
      <c r="C37">
        <v>1</v>
      </c>
      <c r="D37">
        <v>0.01</v>
      </c>
    </row>
    <row r="38" spans="1:4" x14ac:dyDescent="0.25">
      <c r="A38" t="s">
        <v>46</v>
      </c>
      <c r="B38" t="s">
        <v>67</v>
      </c>
      <c r="C38">
        <v>1</v>
      </c>
      <c r="D38">
        <v>0.13900000000000001</v>
      </c>
    </row>
    <row r="39" spans="1:4" x14ac:dyDescent="0.25">
      <c r="A39" t="s">
        <v>46</v>
      </c>
      <c r="B39" t="s">
        <v>68</v>
      </c>
      <c r="C39">
        <v>1</v>
      </c>
      <c r="D39">
        <v>1</v>
      </c>
    </row>
    <row r="40" spans="1:4" x14ac:dyDescent="0.25">
      <c r="A40" t="s">
        <v>46</v>
      </c>
      <c r="B40" t="s">
        <v>69</v>
      </c>
      <c r="C40">
        <v>1</v>
      </c>
      <c r="D40">
        <v>6.93E-2</v>
      </c>
    </row>
    <row r="41" spans="1:4" x14ac:dyDescent="0.25">
      <c r="A41" t="s">
        <v>46</v>
      </c>
      <c r="B41" t="s">
        <v>70</v>
      </c>
      <c r="C41">
        <v>1</v>
      </c>
      <c r="D41">
        <v>2000</v>
      </c>
    </row>
    <row r="42" spans="1:4" x14ac:dyDescent="0.25">
      <c r="A42" t="s">
        <v>46</v>
      </c>
      <c r="B42" t="s">
        <v>71</v>
      </c>
      <c r="C42">
        <v>1</v>
      </c>
      <c r="D42">
        <v>0.13900000000000001</v>
      </c>
    </row>
    <row r="43" spans="1:4" x14ac:dyDescent="0.25">
      <c r="A43" t="s">
        <v>46</v>
      </c>
      <c r="B43" t="s">
        <v>72</v>
      </c>
      <c r="C43">
        <v>1</v>
      </c>
      <c r="D43">
        <v>6</v>
      </c>
    </row>
    <row r="44" spans="1:4" x14ac:dyDescent="0.25">
      <c r="A44" t="s">
        <v>46</v>
      </c>
      <c r="B44" t="s">
        <v>73</v>
      </c>
      <c r="C44">
        <v>1</v>
      </c>
      <c r="D44">
        <v>2.0790000000000002</v>
      </c>
    </row>
    <row r="45" spans="1:4" x14ac:dyDescent="0.25">
      <c r="A45" t="s">
        <v>46</v>
      </c>
      <c r="B45" t="s">
        <v>74</v>
      </c>
      <c r="C45">
        <v>1</v>
      </c>
      <c r="D45">
        <v>6.9300000000000004E-3</v>
      </c>
    </row>
    <row r="46" spans="1:4" x14ac:dyDescent="0.25">
      <c r="A46" t="s">
        <v>46</v>
      </c>
      <c r="B46" t="s">
        <v>75</v>
      </c>
      <c r="C46">
        <v>1</v>
      </c>
      <c r="D46">
        <v>3.8000000000000002E-4</v>
      </c>
    </row>
    <row r="47" spans="1:4" x14ac:dyDescent="0.25">
      <c r="A47" t="s">
        <v>46</v>
      </c>
      <c r="B47" t="s">
        <v>76</v>
      </c>
      <c r="C47">
        <v>1</v>
      </c>
      <c r="D47">
        <v>24</v>
      </c>
    </row>
    <row r="48" spans="1:4" x14ac:dyDescent="0.25">
      <c r="A48" t="s">
        <v>46</v>
      </c>
      <c r="B48" t="s">
        <v>77</v>
      </c>
      <c r="C48">
        <v>1</v>
      </c>
      <c r="D48">
        <v>1.85</v>
      </c>
    </row>
    <row r="49" spans="1:4" x14ac:dyDescent="0.25">
      <c r="A49" t="s">
        <v>46</v>
      </c>
      <c r="B49" t="s">
        <v>78</v>
      </c>
      <c r="C49">
        <v>1</v>
      </c>
      <c r="D49">
        <v>0.4</v>
      </c>
    </row>
    <row r="50" spans="1:4" x14ac:dyDescent="0.25">
      <c r="A50" t="s">
        <v>46</v>
      </c>
      <c r="B50" t="s">
        <v>79</v>
      </c>
      <c r="C50">
        <v>1</v>
      </c>
      <c r="D50">
        <v>350</v>
      </c>
    </row>
    <row r="51" spans="1:4" x14ac:dyDescent="0.25">
      <c r="A51" t="s">
        <v>46</v>
      </c>
      <c r="B51" t="s">
        <v>80</v>
      </c>
      <c r="C51">
        <v>1</v>
      </c>
      <c r="D51">
        <v>3</v>
      </c>
    </row>
    <row r="52" spans="1:4" x14ac:dyDescent="0.25">
      <c r="A52" t="s">
        <v>46</v>
      </c>
      <c r="B52" t="s">
        <v>81</v>
      </c>
      <c r="C52">
        <v>1</v>
      </c>
      <c r="D52">
        <v>0.5</v>
      </c>
    </row>
    <row r="53" spans="1:4" x14ac:dyDescent="0.25">
      <c r="A53" t="s">
        <v>46</v>
      </c>
      <c r="B53" t="s">
        <v>82</v>
      </c>
      <c r="C53">
        <v>1</v>
      </c>
      <c r="D53">
        <v>0.08</v>
      </c>
    </row>
    <row r="54" spans="1:4" x14ac:dyDescent="0.25">
      <c r="A54" t="s">
        <v>46</v>
      </c>
      <c r="B54" t="s">
        <v>83</v>
      </c>
      <c r="C54">
        <v>1</v>
      </c>
      <c r="D54">
        <v>0.5</v>
      </c>
    </row>
    <row r="55" spans="1:4" x14ac:dyDescent="0.25">
      <c r="A55" t="s">
        <v>46</v>
      </c>
      <c r="B55" t="s">
        <v>84</v>
      </c>
      <c r="C55">
        <v>1</v>
      </c>
      <c r="D55">
        <v>6.0000000000000001E-3</v>
      </c>
    </row>
    <row r="56" spans="1:4" x14ac:dyDescent="0.25">
      <c r="A56" t="s">
        <v>46</v>
      </c>
      <c r="B56" t="s">
        <v>85</v>
      </c>
      <c r="C56">
        <v>1</v>
      </c>
      <c r="D56">
        <v>2.5000000000000001E-2</v>
      </c>
    </row>
    <row r="57" spans="1:4" x14ac:dyDescent="0.25">
      <c r="A57" t="s">
        <v>46</v>
      </c>
      <c r="B57" t="s">
        <v>86</v>
      </c>
      <c r="C57">
        <v>1</v>
      </c>
      <c r="D57">
        <v>4.0000000000000002E-4</v>
      </c>
    </row>
    <row r="58" spans="1:4" x14ac:dyDescent="0.25">
      <c r="A58" t="s">
        <v>46</v>
      </c>
      <c r="B58" t="s">
        <v>87</v>
      </c>
      <c r="C58">
        <v>1</v>
      </c>
      <c r="D58">
        <v>0.04</v>
      </c>
    </row>
    <row r="59" spans="1:4" x14ac:dyDescent="0.25">
      <c r="A59" t="s">
        <v>46</v>
      </c>
      <c r="B59" t="s">
        <v>88</v>
      </c>
      <c r="C59">
        <v>1</v>
      </c>
      <c r="D59">
        <v>4.0000000000000002E-4</v>
      </c>
    </row>
    <row r="60" spans="1:4" x14ac:dyDescent="0.25">
      <c r="A60" t="s">
        <v>46</v>
      </c>
      <c r="B60" t="s">
        <v>89</v>
      </c>
      <c r="C60">
        <v>1</v>
      </c>
      <c r="D60">
        <v>0.25</v>
      </c>
    </row>
    <row r="61" spans="1:4" x14ac:dyDescent="0.25">
      <c r="A61" t="s">
        <v>46</v>
      </c>
      <c r="B61" t="s">
        <v>90</v>
      </c>
      <c r="C61">
        <v>1</v>
      </c>
      <c r="D61">
        <v>3.5000000000000001E-3</v>
      </c>
    </row>
    <row r="62" spans="1:4" x14ac:dyDescent="0.25">
      <c r="A62" t="s">
        <v>46</v>
      </c>
      <c r="B62" t="s">
        <v>91</v>
      </c>
      <c r="C62">
        <v>1</v>
      </c>
      <c r="D62">
        <v>0</v>
      </c>
    </row>
    <row r="63" spans="1:4" x14ac:dyDescent="0.25">
      <c r="A63" t="s">
        <v>46</v>
      </c>
      <c r="B63" t="s">
        <v>92</v>
      </c>
      <c r="C63">
        <v>1</v>
      </c>
      <c r="D63">
        <v>3000</v>
      </c>
    </row>
    <row r="64" spans="1:4" x14ac:dyDescent="0.25">
      <c r="A64" t="s">
        <v>46</v>
      </c>
      <c r="B64" t="s">
        <v>93</v>
      </c>
      <c r="C64">
        <v>1</v>
      </c>
      <c r="D64">
        <v>6.7000000000000004E-2</v>
      </c>
    </row>
    <row r="65" spans="1:14" x14ac:dyDescent="0.25">
      <c r="A65" t="s">
        <v>46</v>
      </c>
      <c r="B65" t="s">
        <v>94</v>
      </c>
      <c r="C65">
        <v>1</v>
      </c>
      <c r="D65">
        <v>8.5000000000000006E-3</v>
      </c>
    </row>
    <row r="66" spans="1:14" x14ac:dyDescent="0.25">
      <c r="A66" t="s">
        <v>46</v>
      </c>
      <c r="B66" t="s">
        <v>95</v>
      </c>
      <c r="C66">
        <v>1</v>
      </c>
      <c r="D66">
        <v>2.5000000000000001E-2</v>
      </c>
    </row>
    <row r="67" spans="1:14" x14ac:dyDescent="0.25">
      <c r="A67" t="s">
        <v>46</v>
      </c>
      <c r="B67" t="s">
        <v>96</v>
      </c>
      <c r="C67">
        <v>1</v>
      </c>
      <c r="D67">
        <v>1.4999999999999999E-2</v>
      </c>
    </row>
    <row r="68" spans="1:14" x14ac:dyDescent="0.25">
      <c r="A68" t="s">
        <v>46</v>
      </c>
      <c r="B68" t="s">
        <v>97</v>
      </c>
      <c r="C68">
        <v>11</v>
      </c>
      <c r="D68">
        <v>0</v>
      </c>
      <c r="E68">
        <v>100.01</v>
      </c>
      <c r="F68">
        <v>365</v>
      </c>
      <c r="G68">
        <v>1825</v>
      </c>
      <c r="H68">
        <v>3650</v>
      </c>
      <c r="I68">
        <v>5475</v>
      </c>
      <c r="J68">
        <v>9125</v>
      </c>
      <c r="K68">
        <v>10950</v>
      </c>
      <c r="L68">
        <v>14600</v>
      </c>
      <c r="M68">
        <v>21900</v>
      </c>
      <c r="N68">
        <v>32850</v>
      </c>
    </row>
    <row r="69" spans="1:14" x14ac:dyDescent="0.25">
      <c r="A69" t="s">
        <v>46</v>
      </c>
      <c r="B69" t="s">
        <v>98</v>
      </c>
      <c r="C69">
        <v>11</v>
      </c>
      <c r="D69">
        <v>0.390967741935484</v>
      </c>
      <c r="E69">
        <v>0.388240525204816</v>
      </c>
      <c r="F69">
        <v>0.37673719799960598</v>
      </c>
      <c r="G69">
        <v>0.16708172896131801</v>
      </c>
      <c r="H69">
        <v>0.120380840705766</v>
      </c>
      <c r="I69">
        <v>0.120002569555911</v>
      </c>
      <c r="J69">
        <v>0.120000000116659</v>
      </c>
      <c r="K69">
        <v>0.12000000000078601</v>
      </c>
      <c r="L69">
        <v>0.12</v>
      </c>
      <c r="M69">
        <v>0.12</v>
      </c>
      <c r="N69">
        <v>0.12</v>
      </c>
    </row>
    <row r="70" spans="1:14" x14ac:dyDescent="0.25">
      <c r="A70" t="s">
        <v>46</v>
      </c>
      <c r="B70" t="s">
        <v>99</v>
      </c>
      <c r="C70">
        <v>11</v>
      </c>
      <c r="D70">
        <v>3</v>
      </c>
      <c r="E70">
        <v>5.5</v>
      </c>
      <c r="F70">
        <v>8</v>
      </c>
      <c r="G70">
        <v>17</v>
      </c>
      <c r="H70">
        <v>30</v>
      </c>
      <c r="I70">
        <v>50</v>
      </c>
      <c r="J70">
        <v>52</v>
      </c>
      <c r="K70">
        <v>52</v>
      </c>
      <c r="L70">
        <v>52</v>
      </c>
      <c r="M70">
        <v>52</v>
      </c>
      <c r="N70">
        <v>52</v>
      </c>
    </row>
    <row r="71" spans="1:14" x14ac:dyDescent="0.25">
      <c r="A71" t="s">
        <v>46</v>
      </c>
      <c r="B71" t="s">
        <v>100</v>
      </c>
      <c r="C71">
        <v>11</v>
      </c>
      <c r="D71">
        <v>0.6</v>
      </c>
      <c r="E71">
        <v>0.6</v>
      </c>
      <c r="F71">
        <v>0.6</v>
      </c>
      <c r="G71">
        <v>0.6</v>
      </c>
      <c r="H71">
        <v>0.6</v>
      </c>
      <c r="I71">
        <v>0.6</v>
      </c>
      <c r="J71">
        <v>0.6</v>
      </c>
      <c r="K71">
        <v>0.6</v>
      </c>
      <c r="L71">
        <v>0.6</v>
      </c>
      <c r="M71">
        <v>0.6</v>
      </c>
      <c r="N71">
        <v>0.6</v>
      </c>
    </row>
    <row r="72" spans="1:14" x14ac:dyDescent="0.25">
      <c r="A72" t="s">
        <v>46</v>
      </c>
      <c r="B72" t="s">
        <v>101</v>
      </c>
      <c r="C72">
        <v>11</v>
      </c>
      <c r="D72">
        <v>1.6666700000000001</v>
      </c>
      <c r="E72">
        <v>1.6666700000000001</v>
      </c>
      <c r="F72">
        <v>1.6666700000000001</v>
      </c>
      <c r="G72">
        <v>1.6666700000000001</v>
      </c>
      <c r="H72">
        <v>1.6666700000000001</v>
      </c>
      <c r="I72">
        <v>1.3333299999999999</v>
      </c>
      <c r="J72">
        <v>1</v>
      </c>
      <c r="K72">
        <v>1</v>
      </c>
      <c r="L72">
        <v>1</v>
      </c>
      <c r="M72">
        <v>1</v>
      </c>
      <c r="N72">
        <v>1</v>
      </c>
    </row>
    <row r="73" spans="1:14" x14ac:dyDescent="0.25">
      <c r="A73" t="s">
        <v>46</v>
      </c>
      <c r="B73" t="s">
        <v>102</v>
      </c>
      <c r="C73">
        <v>11</v>
      </c>
      <c r="D73">
        <v>12</v>
      </c>
      <c r="E73">
        <v>12</v>
      </c>
      <c r="F73">
        <v>15</v>
      </c>
      <c r="G73">
        <v>11</v>
      </c>
      <c r="H73">
        <v>8</v>
      </c>
      <c r="I73">
        <v>7</v>
      </c>
      <c r="J73">
        <v>7</v>
      </c>
      <c r="K73">
        <v>7</v>
      </c>
      <c r="L73">
        <v>7</v>
      </c>
      <c r="M73">
        <v>7</v>
      </c>
      <c r="N73">
        <v>7</v>
      </c>
    </row>
    <row r="74" spans="1:14" x14ac:dyDescent="0.25">
      <c r="A74" t="s">
        <v>46</v>
      </c>
      <c r="B74" t="s">
        <v>103</v>
      </c>
      <c r="C74">
        <v>11</v>
      </c>
      <c r="D74">
        <v>9.5E-4</v>
      </c>
      <c r="E74">
        <v>9.5E-4</v>
      </c>
      <c r="F74">
        <v>9.5E-4</v>
      </c>
      <c r="G74">
        <v>9.5E-4</v>
      </c>
      <c r="H74">
        <v>9.5E-4</v>
      </c>
      <c r="I74">
        <v>9.5E-4</v>
      </c>
      <c r="J74">
        <v>9.5E-4</v>
      </c>
      <c r="K74">
        <v>9.5E-4</v>
      </c>
      <c r="L74">
        <v>9.5E-4</v>
      </c>
      <c r="M74">
        <v>9.5E-4</v>
      </c>
      <c r="N74">
        <v>9.5E-4</v>
      </c>
    </row>
    <row r="75" spans="1:14" x14ac:dyDescent="0.25">
      <c r="A75" t="s">
        <v>46</v>
      </c>
      <c r="B75" t="s">
        <v>104</v>
      </c>
      <c r="C75">
        <v>11</v>
      </c>
      <c r="D75">
        <v>2.0400000000000001E-2</v>
      </c>
      <c r="E75">
        <v>1.644E-2</v>
      </c>
      <c r="F75">
        <v>5.7600000000000004E-3</v>
      </c>
      <c r="G75">
        <v>3.0799999999999998E-3</v>
      </c>
      <c r="H75">
        <v>1.7799999999999999E-3</v>
      </c>
      <c r="I75">
        <v>1.024E-3</v>
      </c>
      <c r="J75">
        <v>1.6440000000000001E-4</v>
      </c>
      <c r="K75">
        <v>1.6440000000000001E-4</v>
      </c>
      <c r="L75">
        <v>1.6440000000000001E-4</v>
      </c>
      <c r="M75">
        <v>1.6440000000000001E-4</v>
      </c>
      <c r="N75">
        <v>1.6440000000000001E-4</v>
      </c>
    </row>
    <row r="76" spans="1:14" x14ac:dyDescent="0.25">
      <c r="A76" t="s">
        <v>46</v>
      </c>
      <c r="B76" t="s">
        <v>105</v>
      </c>
      <c r="C76">
        <v>11</v>
      </c>
      <c r="D76">
        <v>0.35</v>
      </c>
      <c r="E76">
        <v>0.35</v>
      </c>
      <c r="F76">
        <v>0.35</v>
      </c>
      <c r="G76">
        <v>0.35</v>
      </c>
      <c r="H76">
        <v>0.35</v>
      </c>
      <c r="I76">
        <v>0.35</v>
      </c>
      <c r="J76">
        <v>0.5</v>
      </c>
      <c r="K76">
        <v>0.5</v>
      </c>
      <c r="L76">
        <v>0.5</v>
      </c>
      <c r="M76">
        <v>0.5</v>
      </c>
      <c r="N76">
        <v>0.5</v>
      </c>
    </row>
    <row r="77" spans="1:14" x14ac:dyDescent="0.25">
      <c r="A77" t="s">
        <v>46</v>
      </c>
      <c r="B77" t="s">
        <v>106</v>
      </c>
      <c r="C77">
        <v>11</v>
      </c>
      <c r="D77">
        <v>0.65</v>
      </c>
      <c r="E77">
        <v>0.65</v>
      </c>
      <c r="F77">
        <v>0.65</v>
      </c>
      <c r="G77">
        <v>0.65</v>
      </c>
      <c r="H77">
        <v>0.65</v>
      </c>
      <c r="I77">
        <v>0.65</v>
      </c>
      <c r="J77">
        <v>0.5</v>
      </c>
      <c r="K77">
        <v>0.5</v>
      </c>
      <c r="L77">
        <v>0.5</v>
      </c>
      <c r="M77">
        <v>0.5</v>
      </c>
      <c r="N77">
        <v>0.5</v>
      </c>
    </row>
    <row r="78" spans="1:14" x14ac:dyDescent="0.25">
      <c r="A78" t="s">
        <v>46</v>
      </c>
      <c r="B78" t="s">
        <v>107</v>
      </c>
      <c r="C78">
        <v>11</v>
      </c>
      <c r="D78">
        <v>2.3105000000000001E-2</v>
      </c>
      <c r="E78">
        <v>2.3105000000000001E-2</v>
      </c>
      <c r="F78">
        <v>2.3105000000000001E-2</v>
      </c>
      <c r="G78">
        <v>2.3105000000000001E-2</v>
      </c>
      <c r="H78">
        <v>2.3105000000000001E-2</v>
      </c>
      <c r="I78">
        <v>2.3105000000000001E-2</v>
      </c>
      <c r="J78">
        <v>2.3105000000000001E-2</v>
      </c>
      <c r="K78">
        <v>2.3105000000000001E-2</v>
      </c>
      <c r="L78">
        <v>2.3105000000000001E-2</v>
      </c>
      <c r="M78">
        <v>2.3105000000000001E-2</v>
      </c>
      <c r="N78">
        <v>2.3105000000000001E-2</v>
      </c>
    </row>
    <row r="79" spans="1:14" x14ac:dyDescent="0.25">
      <c r="A79" t="s">
        <v>46</v>
      </c>
      <c r="B79" t="s">
        <v>108</v>
      </c>
      <c r="C79">
        <v>11</v>
      </c>
      <c r="D79">
        <v>6.9300000000000004E-4</v>
      </c>
      <c r="E79">
        <v>6.9300000000000004E-4</v>
      </c>
      <c r="F79">
        <v>6.9300000000000004E-4</v>
      </c>
      <c r="G79">
        <v>6.9300000000000004E-4</v>
      </c>
      <c r="H79">
        <v>1.9000000000000001E-4</v>
      </c>
      <c r="I79">
        <v>1.9000000000000001E-4</v>
      </c>
      <c r="J79">
        <v>1.9000000000000001E-4</v>
      </c>
      <c r="K79">
        <v>9.5E-4</v>
      </c>
      <c r="L79">
        <v>1.9E-3</v>
      </c>
      <c r="M79">
        <v>1.9E-3</v>
      </c>
      <c r="N79">
        <v>1.9E-3</v>
      </c>
    </row>
    <row r="80" spans="1:14" x14ac:dyDescent="0.25">
      <c r="A80" t="s">
        <v>46</v>
      </c>
      <c r="B80" t="s">
        <v>109</v>
      </c>
      <c r="C80">
        <v>11</v>
      </c>
      <c r="D80">
        <v>6.9300000000000004E-4</v>
      </c>
      <c r="E80">
        <v>6.9300000000000004E-4</v>
      </c>
      <c r="F80">
        <v>6.9300000000000004E-4</v>
      </c>
      <c r="G80">
        <v>1.3860000000000001E-3</v>
      </c>
      <c r="H80">
        <v>5.6999999999999998E-4</v>
      </c>
      <c r="I80">
        <v>5.6999999999999998E-4</v>
      </c>
      <c r="J80">
        <v>5.6999999999999998E-4</v>
      </c>
      <c r="K80">
        <v>1.4250000000000001E-3</v>
      </c>
      <c r="L80">
        <v>3.0400000000000002E-3</v>
      </c>
      <c r="M80">
        <v>3.4199999999999999E-3</v>
      </c>
      <c r="N80">
        <v>3.8E-3</v>
      </c>
    </row>
    <row r="81" spans="1:14" x14ac:dyDescent="0.25">
      <c r="A81" t="s">
        <v>46</v>
      </c>
      <c r="B81" t="s">
        <v>110</v>
      </c>
      <c r="C81">
        <v>11</v>
      </c>
      <c r="D81">
        <v>0.46200000000000002</v>
      </c>
      <c r="E81">
        <v>0.46200000000000002</v>
      </c>
      <c r="F81">
        <v>0.78539999999999999</v>
      </c>
      <c r="G81">
        <v>0.49859999999999999</v>
      </c>
      <c r="H81">
        <v>0.1946</v>
      </c>
      <c r="I81">
        <v>0.13900000000000001</v>
      </c>
      <c r="J81">
        <v>0.13900000000000001</v>
      </c>
      <c r="K81">
        <v>0.13900000000000001</v>
      </c>
      <c r="L81">
        <v>0.13900000000000001</v>
      </c>
      <c r="M81">
        <v>0.13900000000000001</v>
      </c>
      <c r="N81">
        <v>0.13900000000000001</v>
      </c>
    </row>
    <row r="82" spans="1:14" x14ac:dyDescent="0.25">
      <c r="A82" t="s">
        <v>46</v>
      </c>
      <c r="B82" t="s">
        <v>111</v>
      </c>
      <c r="C82">
        <v>11</v>
      </c>
      <c r="D82">
        <v>2.0400000000000001E-2</v>
      </c>
      <c r="E82">
        <v>1.644E-2</v>
      </c>
      <c r="F82">
        <v>5.7600000000000004E-3</v>
      </c>
      <c r="G82">
        <v>3.62E-3</v>
      </c>
      <c r="H82">
        <v>2.64E-3</v>
      </c>
      <c r="I82">
        <v>1.9120000000000001E-3</v>
      </c>
      <c r="J82">
        <v>9.859999999999999E-4</v>
      </c>
      <c r="K82">
        <v>9.859999999999999E-4</v>
      </c>
      <c r="L82">
        <v>9.859999999999999E-4</v>
      </c>
      <c r="M82">
        <v>9.859999999999999E-4</v>
      </c>
      <c r="N82">
        <v>9.859999999999999E-4</v>
      </c>
    </row>
    <row r="83" spans="1:14" x14ac:dyDescent="0.25">
      <c r="A83" t="s">
        <v>46</v>
      </c>
      <c r="B83" t="s">
        <v>112</v>
      </c>
      <c r="C83">
        <v>11</v>
      </c>
      <c r="D83">
        <v>0.35</v>
      </c>
      <c r="E83">
        <v>0.35</v>
      </c>
      <c r="F83">
        <v>0.35</v>
      </c>
      <c r="G83">
        <v>0.35</v>
      </c>
      <c r="H83">
        <v>0.35</v>
      </c>
      <c r="I83">
        <v>0.35</v>
      </c>
      <c r="J83">
        <v>0.5</v>
      </c>
      <c r="K83">
        <v>0.5</v>
      </c>
      <c r="L83">
        <v>0.5</v>
      </c>
      <c r="M83">
        <v>0.5</v>
      </c>
      <c r="N83">
        <v>0.5</v>
      </c>
    </row>
    <row r="84" spans="1:14" x14ac:dyDescent="0.25">
      <c r="A84" t="s">
        <v>46</v>
      </c>
      <c r="B84" t="s">
        <v>113</v>
      </c>
      <c r="C84">
        <v>11</v>
      </c>
      <c r="D84">
        <v>0.65</v>
      </c>
      <c r="E84">
        <v>0.65</v>
      </c>
      <c r="F84">
        <v>0.65</v>
      </c>
      <c r="G84">
        <v>0.65</v>
      </c>
      <c r="H84">
        <v>0.65</v>
      </c>
      <c r="I84">
        <v>0.65</v>
      </c>
      <c r="J84">
        <v>0.5</v>
      </c>
      <c r="K84">
        <v>0.5</v>
      </c>
      <c r="L84">
        <v>0.5</v>
      </c>
      <c r="M84">
        <v>0.5</v>
      </c>
      <c r="N84">
        <v>0.5</v>
      </c>
    </row>
    <row r="85" spans="1:14" x14ac:dyDescent="0.25">
      <c r="A85" t="s">
        <v>46</v>
      </c>
      <c r="B85" t="s">
        <v>114</v>
      </c>
      <c r="C85">
        <v>11</v>
      </c>
      <c r="D85">
        <v>0.24</v>
      </c>
      <c r="E85">
        <v>0.24</v>
      </c>
      <c r="F85">
        <v>0.14399999999999999</v>
      </c>
      <c r="G85">
        <v>0.128</v>
      </c>
      <c r="H85">
        <v>0.17899999999999999</v>
      </c>
      <c r="I85">
        <v>0.23699999999999999</v>
      </c>
      <c r="J85">
        <v>0.08</v>
      </c>
      <c r="K85">
        <v>0.08</v>
      </c>
      <c r="L85">
        <v>0.08</v>
      </c>
      <c r="M85">
        <v>0.08</v>
      </c>
      <c r="N85">
        <v>0.08</v>
      </c>
    </row>
    <row r="86" spans="1:14" x14ac:dyDescent="0.25">
      <c r="A86" t="s">
        <v>46</v>
      </c>
      <c r="B86" t="s">
        <v>115</v>
      </c>
      <c r="C86">
        <v>11</v>
      </c>
      <c r="D86">
        <v>0.2</v>
      </c>
      <c r="E86">
        <v>0.2</v>
      </c>
      <c r="F86">
        <v>0.2</v>
      </c>
      <c r="G86">
        <v>0.222</v>
      </c>
      <c r="H86">
        <v>0.25</v>
      </c>
      <c r="I86">
        <v>0.27900000000000003</v>
      </c>
      <c r="J86">
        <v>0.55600000000000005</v>
      </c>
      <c r="K86">
        <v>0.55600000000000005</v>
      </c>
      <c r="L86">
        <v>0.55600000000000005</v>
      </c>
      <c r="M86">
        <v>0.55600000000000005</v>
      </c>
      <c r="N86">
        <v>0.55600000000000005</v>
      </c>
    </row>
    <row r="87" spans="1:14" x14ac:dyDescent="0.25">
      <c r="A87" t="s">
        <v>46</v>
      </c>
      <c r="B87" t="s">
        <v>116</v>
      </c>
      <c r="C87">
        <v>11</v>
      </c>
      <c r="D87">
        <v>4.4999999999999999E-4</v>
      </c>
      <c r="E87">
        <v>4.4999999999999999E-4</v>
      </c>
      <c r="F87">
        <v>4.4999999999999999E-4</v>
      </c>
      <c r="G87">
        <v>1.4999999999999999E-4</v>
      </c>
      <c r="H87">
        <v>1.4999999999999999E-4</v>
      </c>
      <c r="I87">
        <v>1.4999999999999999E-4</v>
      </c>
      <c r="J87">
        <v>1.4999999999999999E-4</v>
      </c>
      <c r="K87">
        <v>1.4999999999999999E-4</v>
      </c>
      <c r="L87">
        <v>1.4999999999999999E-4</v>
      </c>
      <c r="M87">
        <v>1.4999999999999999E-4</v>
      </c>
      <c r="N87">
        <v>1.4999999999999999E-4</v>
      </c>
    </row>
    <row r="88" spans="1:14" x14ac:dyDescent="0.25">
      <c r="A88" t="s">
        <v>46</v>
      </c>
      <c r="B88" t="s">
        <v>117</v>
      </c>
      <c r="C88">
        <v>11</v>
      </c>
      <c r="D88">
        <v>8.3449999999999996E-2</v>
      </c>
      <c r="E88">
        <v>8.3449999999999996E-2</v>
      </c>
      <c r="F88">
        <v>8.3449999999999996E-2</v>
      </c>
      <c r="G88">
        <v>8.3750000000000005E-2</v>
      </c>
      <c r="H88">
        <v>8.3750000000000005E-2</v>
      </c>
      <c r="I88">
        <v>8.3750000000000005E-2</v>
      </c>
      <c r="J88">
        <v>8.8749999999999996E-2</v>
      </c>
      <c r="K88">
        <v>8.8749999999999996E-2</v>
      </c>
      <c r="L88">
        <v>8.8749999999999996E-2</v>
      </c>
      <c r="M88">
        <v>8.8749999999999996E-2</v>
      </c>
      <c r="N88">
        <v>8.8749999999999996E-2</v>
      </c>
    </row>
    <row r="89" spans="1:14" x14ac:dyDescent="0.25">
      <c r="A89" t="s">
        <v>46</v>
      </c>
      <c r="B89" t="s">
        <v>118</v>
      </c>
      <c r="C89">
        <v>11</v>
      </c>
      <c r="D89">
        <v>0.01</v>
      </c>
      <c r="E89">
        <v>0.01</v>
      </c>
      <c r="F89">
        <v>0.01</v>
      </c>
      <c r="G89">
        <v>0.01</v>
      </c>
      <c r="H89">
        <v>0.01</v>
      </c>
      <c r="I89">
        <v>0.01</v>
      </c>
      <c r="J89">
        <v>5.0000000000000001E-3</v>
      </c>
      <c r="K89">
        <v>5.0000000000000001E-3</v>
      </c>
      <c r="L89">
        <v>5.0000000000000001E-3</v>
      </c>
      <c r="M89">
        <v>5.0000000000000001E-3</v>
      </c>
      <c r="N89">
        <v>5.0000000000000001E-3</v>
      </c>
    </row>
    <row r="90" spans="1:14" x14ac:dyDescent="0.25">
      <c r="A90" t="s">
        <v>46</v>
      </c>
      <c r="B90" t="s">
        <v>119</v>
      </c>
      <c r="C90">
        <v>11</v>
      </c>
      <c r="D90">
        <v>1E-3</v>
      </c>
      <c r="E90">
        <v>1E-3</v>
      </c>
      <c r="F90">
        <v>1E-3</v>
      </c>
      <c r="G90">
        <v>1E-3</v>
      </c>
      <c r="H90">
        <v>1E-3</v>
      </c>
      <c r="I90">
        <v>1E-3</v>
      </c>
      <c r="J90">
        <v>1E-3</v>
      </c>
      <c r="K90">
        <v>1E-3</v>
      </c>
      <c r="L90">
        <v>1E-3</v>
      </c>
      <c r="M90">
        <v>1E-3</v>
      </c>
      <c r="N90">
        <v>1E-3</v>
      </c>
    </row>
    <row r="91" spans="1:14" x14ac:dyDescent="0.25">
      <c r="A91" t="s">
        <v>120</v>
      </c>
      <c r="B91" t="s">
        <v>121</v>
      </c>
      <c r="C91">
        <v>3</v>
      </c>
      <c r="D91">
        <v>0</v>
      </c>
      <c r="E91">
        <v>0.2</v>
      </c>
      <c r="F91">
        <v>0.2</v>
      </c>
    </row>
    <row r="92" spans="1:14" x14ac:dyDescent="0.25">
      <c r="A92" t="s">
        <v>120</v>
      </c>
      <c r="B92" t="s">
        <v>122</v>
      </c>
      <c r="C92">
        <v>3</v>
      </c>
      <c r="D92">
        <v>0</v>
      </c>
      <c r="E92">
        <v>0.159</v>
      </c>
      <c r="F92">
        <v>0.159</v>
      </c>
    </row>
    <row r="93" spans="1:14" x14ac:dyDescent="0.25">
      <c r="A93" t="s">
        <v>120</v>
      </c>
      <c r="B93" t="s">
        <v>123</v>
      </c>
      <c r="C93">
        <v>3</v>
      </c>
      <c r="D93">
        <v>0.32</v>
      </c>
      <c r="E93">
        <v>0.04</v>
      </c>
      <c r="F93">
        <v>0.04</v>
      </c>
    </row>
    <row r="94" spans="1:14" x14ac:dyDescent="0.25">
      <c r="A94" t="s">
        <v>120</v>
      </c>
      <c r="B94" t="s">
        <v>124</v>
      </c>
      <c r="C94">
        <v>3</v>
      </c>
      <c r="D94">
        <v>0</v>
      </c>
      <c r="E94">
        <v>7.68</v>
      </c>
      <c r="F94">
        <v>7.68</v>
      </c>
    </row>
    <row r="95" spans="1:14" x14ac:dyDescent="0.25">
      <c r="A95" t="s">
        <v>120</v>
      </c>
      <c r="B95" t="s">
        <v>125</v>
      </c>
      <c r="C95">
        <v>3</v>
      </c>
      <c r="D95">
        <v>0</v>
      </c>
      <c r="E95">
        <v>0</v>
      </c>
      <c r="F95">
        <v>0</v>
      </c>
    </row>
    <row r="96" spans="1:14" x14ac:dyDescent="0.25">
      <c r="A96" t="s">
        <v>120</v>
      </c>
      <c r="B96" t="s">
        <v>126</v>
      </c>
      <c r="C96">
        <v>3</v>
      </c>
      <c r="D96">
        <v>0</v>
      </c>
      <c r="E96">
        <v>1.94</v>
      </c>
      <c r="F96">
        <v>1.94</v>
      </c>
    </row>
    <row r="97" spans="1:6" x14ac:dyDescent="0.25">
      <c r="A97" t="s">
        <v>120</v>
      </c>
      <c r="B97" t="s">
        <v>127</v>
      </c>
      <c r="C97">
        <v>3</v>
      </c>
      <c r="D97">
        <v>0</v>
      </c>
      <c r="E97">
        <v>0</v>
      </c>
      <c r="F97">
        <v>0</v>
      </c>
    </row>
    <row r="98" spans="1:6" x14ac:dyDescent="0.25">
      <c r="A98" t="s">
        <v>120</v>
      </c>
      <c r="B98" t="s">
        <v>128</v>
      </c>
      <c r="C98">
        <v>3</v>
      </c>
      <c r="D98">
        <v>1</v>
      </c>
      <c r="E98">
        <v>0.34699999999999998</v>
      </c>
      <c r="F98">
        <v>0.34699999999999998</v>
      </c>
    </row>
    <row r="99" spans="1:6" x14ac:dyDescent="0.25">
      <c r="A99" t="s">
        <v>120</v>
      </c>
      <c r="B99" t="s">
        <v>129</v>
      </c>
      <c r="C99">
        <v>3</v>
      </c>
      <c r="D99">
        <v>0</v>
      </c>
      <c r="E99">
        <v>0</v>
      </c>
      <c r="F99">
        <v>0</v>
      </c>
    </row>
    <row r="100" spans="1:6" x14ac:dyDescent="0.25">
      <c r="A100" t="s">
        <v>120</v>
      </c>
      <c r="B100" t="s">
        <v>130</v>
      </c>
      <c r="C100">
        <v>3</v>
      </c>
      <c r="D100">
        <v>0</v>
      </c>
      <c r="E100">
        <v>0</v>
      </c>
      <c r="F100">
        <v>0</v>
      </c>
    </row>
    <row r="101" spans="1:6" x14ac:dyDescent="0.25">
      <c r="A101" t="s">
        <v>120</v>
      </c>
      <c r="B101" t="s">
        <v>131</v>
      </c>
      <c r="C101">
        <v>3</v>
      </c>
      <c r="D101">
        <v>0</v>
      </c>
      <c r="E101">
        <v>0</v>
      </c>
      <c r="F101">
        <v>0</v>
      </c>
    </row>
    <row r="102" spans="1:6" x14ac:dyDescent="0.25">
      <c r="A102" t="s">
        <v>291</v>
      </c>
      <c r="B102" t="s">
        <v>292</v>
      </c>
      <c r="C102">
        <v>1</v>
      </c>
      <c r="D102">
        <v>3</v>
      </c>
    </row>
    <row r="103" spans="1:6" x14ac:dyDescent="0.25">
      <c r="A103" t="s">
        <v>291</v>
      </c>
      <c r="B103" t="s">
        <v>293</v>
      </c>
      <c r="C103">
        <v>1</v>
      </c>
      <c r="D103">
        <v>1</v>
      </c>
    </row>
    <row r="104" spans="1:6" x14ac:dyDescent="0.25">
      <c r="A104" t="s">
        <v>291</v>
      </c>
      <c r="B104" t="s">
        <v>294</v>
      </c>
      <c r="C104">
        <v>1</v>
      </c>
      <c r="D104">
        <v>1</v>
      </c>
    </row>
    <row r="105" spans="1:6" x14ac:dyDescent="0.25">
      <c r="A105" t="s">
        <v>291</v>
      </c>
      <c r="B105" t="s">
        <v>295</v>
      </c>
      <c r="C105">
        <v>1</v>
      </c>
      <c r="D105">
        <v>5</v>
      </c>
    </row>
    <row r="106" spans="1:6" x14ac:dyDescent="0.25">
      <c r="A106" t="s">
        <v>291</v>
      </c>
      <c r="B106" t="s">
        <v>296</v>
      </c>
      <c r="C106">
        <v>1</v>
      </c>
      <c r="D106">
        <v>1E-4</v>
      </c>
    </row>
    <row r="107" spans="1:6" x14ac:dyDescent="0.25">
      <c r="A107" t="s">
        <v>291</v>
      </c>
      <c r="B107" t="s">
        <v>297</v>
      </c>
      <c r="C107">
        <v>1</v>
      </c>
      <c r="D107">
        <v>0</v>
      </c>
    </row>
    <row r="108" spans="1:6" x14ac:dyDescent="0.25">
      <c r="A108" t="s">
        <v>291</v>
      </c>
      <c r="B108" t="s">
        <v>298</v>
      </c>
      <c r="C108">
        <v>1</v>
      </c>
      <c r="D108">
        <v>365</v>
      </c>
    </row>
    <row r="109" spans="1:6" x14ac:dyDescent="0.25">
      <c r="A109" t="s">
        <v>291</v>
      </c>
      <c r="B109" t="s">
        <v>299</v>
      </c>
      <c r="C109">
        <v>1</v>
      </c>
      <c r="D109">
        <v>365</v>
      </c>
    </row>
    <row r="110" spans="1:6" x14ac:dyDescent="0.25">
      <c r="A110" t="s">
        <v>291</v>
      </c>
      <c r="B110" t="s">
        <v>300</v>
      </c>
      <c r="C110">
        <v>1</v>
      </c>
      <c r="D110">
        <v>6</v>
      </c>
    </row>
    <row r="111" spans="1:6" x14ac:dyDescent="0.25">
      <c r="A111" t="s">
        <v>291</v>
      </c>
      <c r="B111" t="s">
        <v>301</v>
      </c>
      <c r="C111">
        <v>1</v>
      </c>
      <c r="D111">
        <v>1.6</v>
      </c>
    </row>
    <row r="112" spans="1:6" x14ac:dyDescent="0.25">
      <c r="A112" t="s">
        <v>291</v>
      </c>
      <c r="B112" t="s">
        <v>302</v>
      </c>
      <c r="C112">
        <v>1</v>
      </c>
      <c r="D112">
        <v>0.05</v>
      </c>
    </row>
    <row r="113" spans="1:10" x14ac:dyDescent="0.25">
      <c r="A113" t="s">
        <v>18</v>
      </c>
      <c r="B113" t="s">
        <v>132</v>
      </c>
      <c r="C113">
        <v>1</v>
      </c>
      <c r="D113">
        <v>1</v>
      </c>
    </row>
    <row r="114" spans="1:10" x14ac:dyDescent="0.25">
      <c r="A114" t="s">
        <v>18</v>
      </c>
      <c r="B114" t="s">
        <v>133</v>
      </c>
      <c r="C114">
        <v>1</v>
      </c>
      <c r="D114">
        <v>0</v>
      </c>
    </row>
    <row r="115" spans="1:10" x14ac:dyDescent="0.25">
      <c r="A115" t="s">
        <v>18</v>
      </c>
      <c r="B115" t="s">
        <v>134</v>
      </c>
      <c r="C115">
        <v>1</v>
      </c>
      <c r="D115">
        <v>652</v>
      </c>
    </row>
    <row r="116" spans="1:10" x14ac:dyDescent="0.25">
      <c r="A116" t="s">
        <v>18</v>
      </c>
      <c r="B116" t="s">
        <v>135</v>
      </c>
      <c r="C116">
        <v>7</v>
      </c>
      <c r="D116">
        <v>0</v>
      </c>
      <c r="E116">
        <v>365</v>
      </c>
      <c r="F116">
        <v>730</v>
      </c>
      <c r="G116">
        <v>1095</v>
      </c>
      <c r="H116">
        <v>1460</v>
      </c>
      <c r="I116">
        <v>1825</v>
      </c>
      <c r="J116">
        <v>2190</v>
      </c>
    </row>
    <row r="117" spans="1:10" x14ac:dyDescent="0.25">
      <c r="A117" t="s">
        <v>18</v>
      </c>
      <c r="B117" t="s">
        <v>136</v>
      </c>
      <c r="C117">
        <v>7</v>
      </c>
      <c r="D117">
        <v>3.8699999999999998E-2</v>
      </c>
      <c r="E117">
        <v>4.2299999999999997E-2</v>
      </c>
      <c r="F117">
        <v>3.015E-2</v>
      </c>
      <c r="G117">
        <v>2.835E-2</v>
      </c>
      <c r="H117">
        <v>3.015E-2</v>
      </c>
      <c r="I117">
        <v>2.3400000000000001E-2</v>
      </c>
      <c r="J117">
        <v>2.4750000000000001E-2</v>
      </c>
    </row>
    <row r="118" spans="1:10" x14ac:dyDescent="0.25">
      <c r="A118" t="s">
        <v>18</v>
      </c>
      <c r="B118" t="s">
        <v>137</v>
      </c>
      <c r="C118">
        <v>7</v>
      </c>
      <c r="D118">
        <v>1</v>
      </c>
      <c r="E118">
        <v>1</v>
      </c>
      <c r="F118">
        <v>1</v>
      </c>
      <c r="G118">
        <v>1</v>
      </c>
      <c r="H118">
        <v>1</v>
      </c>
      <c r="I118">
        <v>1</v>
      </c>
      <c r="J118">
        <v>1</v>
      </c>
    </row>
    <row r="119" spans="1:10" x14ac:dyDescent="0.25">
      <c r="A119" t="s">
        <v>18</v>
      </c>
      <c r="B119" t="s">
        <v>138</v>
      </c>
      <c r="C119">
        <v>1</v>
      </c>
      <c r="D119">
        <v>0.6</v>
      </c>
    </row>
    <row r="120" spans="1:10" x14ac:dyDescent="0.25">
      <c r="A120" t="s">
        <v>20</v>
      </c>
      <c r="B120" t="s">
        <v>132</v>
      </c>
      <c r="C120">
        <v>1</v>
      </c>
      <c r="D120">
        <v>1</v>
      </c>
    </row>
    <row r="121" spans="1:10" x14ac:dyDescent="0.25">
      <c r="A121" t="s">
        <v>20</v>
      </c>
      <c r="B121" t="s">
        <v>133</v>
      </c>
      <c r="C121">
        <v>1</v>
      </c>
      <c r="D121">
        <v>0</v>
      </c>
    </row>
    <row r="122" spans="1:10" x14ac:dyDescent="0.25">
      <c r="A122" t="s">
        <v>20</v>
      </c>
      <c r="B122" t="s">
        <v>134</v>
      </c>
      <c r="C122">
        <v>1</v>
      </c>
      <c r="D122">
        <v>10</v>
      </c>
    </row>
    <row r="123" spans="1:10" x14ac:dyDescent="0.25">
      <c r="A123" t="s">
        <v>20</v>
      </c>
      <c r="B123" t="s">
        <v>135</v>
      </c>
      <c r="C123">
        <v>7</v>
      </c>
      <c r="D123">
        <v>0</v>
      </c>
      <c r="E123">
        <v>365</v>
      </c>
      <c r="F123">
        <v>730</v>
      </c>
      <c r="G123">
        <v>1095</v>
      </c>
      <c r="H123">
        <v>1460</v>
      </c>
      <c r="I123">
        <v>1825</v>
      </c>
      <c r="J123">
        <v>2190</v>
      </c>
    </row>
    <row r="124" spans="1:10" x14ac:dyDescent="0.25">
      <c r="A124" t="s">
        <v>20</v>
      </c>
      <c r="B124" t="s">
        <v>136</v>
      </c>
      <c r="C124">
        <v>7</v>
      </c>
      <c r="D124">
        <v>4.7300000000000002E-2</v>
      </c>
      <c r="E124">
        <v>5.1700000000000003E-2</v>
      </c>
      <c r="F124">
        <v>3.6850000000000001E-2</v>
      </c>
      <c r="G124">
        <v>3.465E-2</v>
      </c>
      <c r="H124">
        <v>3.6850000000000001E-2</v>
      </c>
      <c r="I124">
        <v>2.86E-2</v>
      </c>
      <c r="J124">
        <v>3.0249999999999999E-2</v>
      </c>
    </row>
    <row r="125" spans="1:10" x14ac:dyDescent="0.25">
      <c r="A125" t="s">
        <v>20</v>
      </c>
      <c r="B125" t="s">
        <v>137</v>
      </c>
      <c r="C125">
        <v>7</v>
      </c>
      <c r="D125">
        <v>1</v>
      </c>
      <c r="E125">
        <v>1</v>
      </c>
      <c r="F125">
        <v>1</v>
      </c>
      <c r="G125">
        <v>1</v>
      </c>
      <c r="H125">
        <v>1</v>
      </c>
      <c r="I125">
        <v>1</v>
      </c>
      <c r="J125">
        <v>1</v>
      </c>
    </row>
    <row r="126" spans="1:10" x14ac:dyDescent="0.25">
      <c r="A126" t="s">
        <v>20</v>
      </c>
      <c r="B126" t="s">
        <v>138</v>
      </c>
      <c r="C126">
        <v>1</v>
      </c>
      <c r="D126">
        <v>1E-3</v>
      </c>
    </row>
    <row r="127" spans="1:10" x14ac:dyDescent="0.25">
      <c r="A127" t="s">
        <v>143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1666B-A17D-4CAC-BEAD-1DC5CCAFF64C}">
  <sheetPr codeName="Sheet24">
    <tabColor theme="9" tint="-0.499984740745262"/>
  </sheetPr>
  <dimension ref="B1:W102"/>
  <sheetViews>
    <sheetView workbookViewId="0">
      <selection activeCell="E8" sqref="E8:E14"/>
    </sheetView>
  </sheetViews>
  <sheetFormatPr defaultColWidth="9.1796875" defaultRowHeight="12.5" x14ac:dyDescent="0.25"/>
  <cols>
    <col min="1" max="1" width="1.81640625" style="85" customWidth="1"/>
    <col min="2" max="2" width="2.26953125" style="85" customWidth="1"/>
    <col min="3" max="4" width="11.81640625" style="85" customWidth="1"/>
    <col min="5" max="5" width="11.26953125" style="85" customWidth="1"/>
    <col min="6" max="6" width="10.7265625" style="85" hidden="1" customWidth="1"/>
    <col min="7" max="7" width="47.26953125" style="85" customWidth="1"/>
    <col min="8" max="8" width="4" style="85" customWidth="1"/>
    <col min="9" max="9" width="17" style="85" customWidth="1"/>
    <col min="10" max="10" width="12" style="85" customWidth="1"/>
    <col min="11" max="11" width="11.81640625" style="85" customWidth="1"/>
    <col min="12" max="12" width="14.54296875" style="85" customWidth="1"/>
    <col min="13" max="13" width="2.26953125" style="85" customWidth="1"/>
    <col min="14" max="14" width="4" style="85" customWidth="1"/>
    <col min="15" max="15" width="9.1796875" style="181"/>
    <col min="16" max="16" width="9.1796875" style="181" customWidth="1"/>
    <col min="17" max="23" width="9.1796875" style="181"/>
    <col min="24" max="16384" width="9.1796875" style="85"/>
  </cols>
  <sheetData>
    <row r="1" spans="2:21" ht="6" customHeight="1" thickBot="1" x14ac:dyDescent="0.3"/>
    <row r="2" spans="2:21" ht="12.75" customHeight="1" x14ac:dyDescent="0.25">
      <c r="B2" s="86"/>
      <c r="C2" s="86"/>
      <c r="D2" s="87"/>
      <c r="E2" s="87"/>
      <c r="F2" s="87"/>
      <c r="G2" s="88"/>
      <c r="H2" s="87"/>
      <c r="I2" s="87"/>
      <c r="J2" s="87"/>
      <c r="K2" s="87"/>
      <c r="L2" s="87"/>
      <c r="M2" s="88"/>
      <c r="N2" s="88"/>
    </row>
    <row r="3" spans="2:21" ht="26.25" customHeight="1" thickBot="1" x14ac:dyDescent="0.55000000000000004">
      <c r="B3" s="93"/>
      <c r="C3" s="89" t="s">
        <v>144</v>
      </c>
      <c r="D3" s="90"/>
      <c r="E3" s="90"/>
      <c r="F3" s="91"/>
      <c r="G3" s="92"/>
      <c r="H3" s="91"/>
      <c r="I3" s="91"/>
      <c r="J3" s="91"/>
      <c r="K3" s="91"/>
      <c r="L3" s="91"/>
      <c r="M3" s="92"/>
      <c r="N3" s="92"/>
      <c r="U3" s="80"/>
    </row>
    <row r="4" spans="2:21" ht="13" thickBot="1" x14ac:dyDescent="0.3">
      <c r="B4" s="102"/>
      <c r="C4" s="102"/>
      <c r="D4" s="103"/>
      <c r="E4" s="103"/>
      <c r="F4" s="103"/>
      <c r="G4" s="104"/>
      <c r="H4" s="103"/>
      <c r="I4" s="103"/>
      <c r="J4" s="103"/>
      <c r="K4" s="103"/>
      <c r="L4" s="103"/>
      <c r="M4" s="198"/>
      <c r="N4" s="104"/>
      <c r="U4" s="80"/>
    </row>
    <row r="5" spans="2:21" x14ac:dyDescent="0.25">
      <c r="B5" s="213"/>
      <c r="C5" s="138"/>
      <c r="D5" s="138"/>
      <c r="E5" s="138"/>
      <c r="F5" s="138"/>
      <c r="G5" s="138"/>
      <c r="H5" s="138"/>
      <c r="I5" s="138"/>
      <c r="J5" s="138"/>
      <c r="K5" s="138"/>
      <c r="L5" s="138"/>
      <c r="M5" s="138"/>
      <c r="N5" s="94"/>
      <c r="U5" s="80"/>
    </row>
    <row r="6" spans="2:21" ht="13" x14ac:dyDescent="0.3">
      <c r="B6" s="213"/>
      <c r="C6" s="173" t="s">
        <v>145</v>
      </c>
      <c r="D6" s="174" t="s">
        <v>146</v>
      </c>
      <c r="E6" s="185" t="s">
        <v>147</v>
      </c>
      <c r="F6" s="185" t="s">
        <v>147</v>
      </c>
      <c r="G6" s="173" t="s">
        <v>148</v>
      </c>
      <c r="H6" s="138"/>
      <c r="I6" s="395" t="s">
        <v>149</v>
      </c>
      <c r="J6" s="396"/>
      <c r="K6" s="396"/>
      <c r="L6" s="396"/>
      <c r="M6" s="397"/>
      <c r="N6" s="94"/>
      <c r="U6" s="80"/>
    </row>
    <row r="7" spans="2:21" x14ac:dyDescent="0.25">
      <c r="B7" s="213"/>
      <c r="C7" s="127" t="s">
        <v>38</v>
      </c>
      <c r="D7" s="161" t="s">
        <v>150</v>
      </c>
      <c r="E7" s="159" t="s">
        <v>9</v>
      </c>
      <c r="F7" s="157" t="s">
        <v>151</v>
      </c>
      <c r="G7" s="171" t="s">
        <v>8</v>
      </c>
      <c r="H7" s="138"/>
      <c r="I7" s="199"/>
      <c r="J7" s="200"/>
      <c r="K7" s="200"/>
      <c r="L7" s="200"/>
      <c r="M7" s="201"/>
      <c r="N7" s="94"/>
      <c r="U7" s="80"/>
    </row>
    <row r="8" spans="2:21" x14ac:dyDescent="0.25">
      <c r="B8" s="213"/>
      <c r="C8" s="127" t="s">
        <v>39</v>
      </c>
      <c r="D8" s="162" t="s">
        <v>152</v>
      </c>
      <c r="E8" s="182">
        <v>3.3</v>
      </c>
      <c r="F8" s="158">
        <v>3.5</v>
      </c>
      <c r="G8" s="172" t="s">
        <v>153</v>
      </c>
      <c r="H8" s="138"/>
      <c r="I8" s="202"/>
      <c r="M8" s="203"/>
      <c r="N8" s="94"/>
      <c r="U8" s="80"/>
    </row>
    <row r="9" spans="2:21" x14ac:dyDescent="0.25">
      <c r="B9" s="213"/>
      <c r="C9" s="127" t="s">
        <v>40</v>
      </c>
      <c r="D9" s="162" t="s">
        <v>152</v>
      </c>
      <c r="E9" s="182">
        <v>22</v>
      </c>
      <c r="F9" s="158">
        <v>23</v>
      </c>
      <c r="G9" s="172" t="s">
        <v>154</v>
      </c>
      <c r="H9" s="138"/>
      <c r="I9" s="202"/>
      <c r="M9" s="203"/>
      <c r="N9" s="94"/>
      <c r="U9" s="80"/>
    </row>
    <row r="10" spans="2:21" x14ac:dyDescent="0.25">
      <c r="B10" s="213"/>
      <c r="C10" s="127" t="s">
        <v>41</v>
      </c>
      <c r="D10" s="162" t="s">
        <v>155</v>
      </c>
      <c r="E10" s="182">
        <v>3</v>
      </c>
      <c r="F10" s="158">
        <v>3</v>
      </c>
      <c r="G10" s="172" t="s">
        <v>156</v>
      </c>
      <c r="H10" s="138"/>
      <c r="I10" s="202"/>
      <c r="M10" s="203"/>
      <c r="N10" s="94"/>
      <c r="U10" s="80"/>
    </row>
    <row r="11" spans="2:21" x14ac:dyDescent="0.25">
      <c r="B11" s="213"/>
      <c r="C11" s="127" t="s">
        <v>42</v>
      </c>
      <c r="D11" s="162" t="s">
        <v>152</v>
      </c>
      <c r="E11" s="182">
        <v>34</v>
      </c>
      <c r="F11" s="158">
        <v>50</v>
      </c>
      <c r="G11" s="172" t="s">
        <v>157</v>
      </c>
      <c r="H11" s="138"/>
      <c r="I11" s="202"/>
      <c r="M11" s="203"/>
      <c r="N11" s="94"/>
      <c r="U11" s="80"/>
    </row>
    <row r="12" spans="2:21" x14ac:dyDescent="0.25">
      <c r="B12" s="213"/>
      <c r="C12" s="127" t="s">
        <v>43</v>
      </c>
      <c r="D12" s="163" t="s">
        <v>150</v>
      </c>
      <c r="E12" s="182">
        <v>600</v>
      </c>
      <c r="F12" s="158">
        <v>600</v>
      </c>
      <c r="G12" s="172" t="s">
        <v>158</v>
      </c>
      <c r="H12" s="138"/>
      <c r="I12" s="202"/>
      <c r="M12" s="203"/>
      <c r="N12" s="94"/>
      <c r="U12" s="80"/>
    </row>
    <row r="13" spans="2:21" x14ac:dyDescent="0.25">
      <c r="B13" s="213"/>
      <c r="C13" s="127" t="s">
        <v>44</v>
      </c>
      <c r="D13" s="163" t="s">
        <v>150</v>
      </c>
      <c r="E13" s="182">
        <v>1.7000000000000001E-2</v>
      </c>
      <c r="F13" s="158">
        <v>9.4999999999999998E-3</v>
      </c>
      <c r="G13" s="172" t="s">
        <v>159</v>
      </c>
      <c r="H13" s="138"/>
      <c r="I13" s="202"/>
      <c r="M13" s="203"/>
      <c r="N13" s="94"/>
      <c r="U13" s="80"/>
    </row>
    <row r="14" spans="2:21" x14ac:dyDescent="0.25">
      <c r="B14" s="213"/>
      <c r="C14" s="127" t="s">
        <v>45</v>
      </c>
      <c r="D14" s="163" t="s">
        <v>150</v>
      </c>
      <c r="E14" s="182">
        <v>0.85</v>
      </c>
      <c r="F14" s="158">
        <v>0.88</v>
      </c>
      <c r="G14" s="172" t="s">
        <v>160</v>
      </c>
      <c r="H14" s="138"/>
      <c r="I14" s="202"/>
      <c r="M14" s="203"/>
      <c r="N14" s="94"/>
      <c r="U14" s="80"/>
    </row>
    <row r="15" spans="2:21" x14ac:dyDescent="0.25">
      <c r="B15" s="213"/>
      <c r="C15" s="2"/>
      <c r="D15" s="187"/>
      <c r="E15" s="188"/>
      <c r="F15" s="27"/>
      <c r="G15" s="189"/>
      <c r="H15" s="138"/>
      <c r="I15" s="202"/>
      <c r="M15" s="203"/>
      <c r="N15" s="94"/>
      <c r="U15" s="80"/>
    </row>
    <row r="16" spans="2:21" x14ac:dyDescent="0.25">
      <c r="B16" s="213"/>
      <c r="C16" s="2"/>
      <c r="D16" s="190"/>
      <c r="E16" s="149"/>
      <c r="F16" s="191"/>
      <c r="G16" s="189"/>
      <c r="H16" s="138"/>
      <c r="I16" s="202"/>
      <c r="M16" s="203"/>
      <c r="N16" s="94"/>
      <c r="U16" s="80"/>
    </row>
    <row r="17" spans="2:21" x14ac:dyDescent="0.25">
      <c r="B17" s="213"/>
      <c r="C17" s="2"/>
      <c r="D17" s="190"/>
      <c r="E17" s="149"/>
      <c r="F17" s="191"/>
      <c r="G17" s="189"/>
      <c r="H17" s="138"/>
      <c r="I17" s="202"/>
      <c r="M17" s="203"/>
      <c r="N17" s="94"/>
      <c r="U17" s="80"/>
    </row>
    <row r="18" spans="2:21" x14ac:dyDescent="0.25">
      <c r="B18" s="213"/>
      <c r="C18" s="138"/>
      <c r="D18" s="138"/>
      <c r="E18" s="138"/>
      <c r="F18" s="138"/>
      <c r="G18" s="138"/>
      <c r="H18" s="138"/>
      <c r="I18" s="202"/>
      <c r="M18" s="203"/>
      <c r="N18" s="94"/>
      <c r="U18" s="80"/>
    </row>
    <row r="19" spans="2:21" x14ac:dyDescent="0.25">
      <c r="B19" s="213"/>
      <c r="C19" s="138"/>
      <c r="D19" s="138"/>
      <c r="E19" s="138"/>
      <c r="F19" s="138"/>
      <c r="G19" s="138"/>
      <c r="H19" s="138"/>
      <c r="I19" s="202"/>
      <c r="M19" s="203"/>
      <c r="N19" s="94"/>
      <c r="U19" s="80"/>
    </row>
    <row r="20" spans="2:21" x14ac:dyDescent="0.25">
      <c r="B20" s="213"/>
      <c r="C20" s="138"/>
      <c r="D20" s="138"/>
      <c r="E20" s="138"/>
      <c r="F20" s="138"/>
      <c r="G20" s="138"/>
      <c r="H20" s="138"/>
      <c r="I20" s="202"/>
      <c r="M20" s="203"/>
      <c r="N20" s="94"/>
      <c r="U20" s="80"/>
    </row>
    <row r="21" spans="2:21" x14ac:dyDescent="0.25">
      <c r="B21" s="213"/>
      <c r="C21" s="138"/>
      <c r="D21" s="138"/>
      <c r="E21" s="138"/>
      <c r="F21" s="138"/>
      <c r="G21" s="138"/>
      <c r="H21" s="138"/>
      <c r="I21" s="202"/>
      <c r="M21" s="203"/>
      <c r="N21" s="94"/>
      <c r="U21" s="80"/>
    </row>
    <row r="22" spans="2:21" x14ac:dyDescent="0.25">
      <c r="B22" s="213"/>
      <c r="C22" s="138"/>
      <c r="D22" s="138"/>
      <c r="E22" s="138"/>
      <c r="F22" s="138"/>
      <c r="G22" s="138"/>
      <c r="H22" s="138"/>
      <c r="I22" s="202"/>
      <c r="M22" s="203"/>
      <c r="N22" s="94"/>
      <c r="U22" s="80"/>
    </row>
    <row r="23" spans="2:21" x14ac:dyDescent="0.25">
      <c r="B23" s="213"/>
      <c r="C23" s="138"/>
      <c r="D23" s="138"/>
      <c r="E23" s="138"/>
      <c r="F23" s="138"/>
      <c r="G23" s="138"/>
      <c r="H23" s="138"/>
      <c r="I23" s="202"/>
      <c r="M23" s="203"/>
      <c r="N23" s="94"/>
      <c r="U23" s="80"/>
    </row>
    <row r="24" spans="2:21" x14ac:dyDescent="0.25">
      <c r="B24" s="213"/>
      <c r="C24" s="138"/>
      <c r="D24" s="138"/>
      <c r="E24" s="138"/>
      <c r="F24" s="138"/>
      <c r="G24" s="138"/>
      <c r="H24" s="138"/>
      <c r="I24" s="204"/>
      <c r="J24" s="205"/>
      <c r="K24" s="205"/>
      <c r="L24" s="205"/>
      <c r="M24" s="206"/>
      <c r="N24" s="94"/>
      <c r="U24" s="80"/>
    </row>
    <row r="25" spans="2:21" ht="13" thickBot="1" x14ac:dyDescent="0.3">
      <c r="B25" s="214"/>
      <c r="C25" s="96"/>
      <c r="D25" s="96"/>
      <c r="E25" s="96"/>
      <c r="F25" s="96"/>
      <c r="G25" s="96"/>
      <c r="H25" s="96"/>
      <c r="I25" s="96"/>
      <c r="J25" s="96"/>
      <c r="K25" s="96"/>
      <c r="L25" s="96"/>
      <c r="M25" s="96"/>
      <c r="N25" s="97"/>
      <c r="U25" s="80"/>
    </row>
    <row r="26" spans="2:21" ht="13" x14ac:dyDescent="0.3">
      <c r="C26" s="105"/>
      <c r="D26" s="105"/>
      <c r="E26" s="105"/>
      <c r="F26" s="105"/>
      <c r="G26" s="105"/>
      <c r="H26" s="105"/>
      <c r="U26" s="80"/>
    </row>
    <row r="27" spans="2:21" ht="13" x14ac:dyDescent="0.3">
      <c r="C27" s="105"/>
      <c r="D27" s="105"/>
      <c r="E27" s="105"/>
      <c r="F27" s="105"/>
      <c r="G27" s="105"/>
      <c r="H27" s="105"/>
      <c r="U27" s="80"/>
    </row>
    <row r="28" spans="2:21" ht="13" x14ac:dyDescent="0.3">
      <c r="C28" s="105"/>
      <c r="D28" s="105"/>
      <c r="E28" s="105"/>
      <c r="F28" s="105"/>
      <c r="G28" s="105"/>
      <c r="H28" s="105"/>
      <c r="U28" s="80"/>
    </row>
    <row r="29" spans="2:21" ht="13" x14ac:dyDescent="0.3">
      <c r="C29" s="105"/>
      <c r="D29" s="105"/>
      <c r="E29" s="105"/>
      <c r="F29" s="105"/>
      <c r="G29" s="105"/>
      <c r="H29" s="105"/>
      <c r="U29" s="80"/>
    </row>
    <row r="30" spans="2:21" ht="13" x14ac:dyDescent="0.3">
      <c r="C30" s="105"/>
      <c r="D30" s="105"/>
      <c r="E30" s="105"/>
      <c r="F30" s="105"/>
      <c r="G30" s="105"/>
      <c r="H30" s="105"/>
      <c r="U30" s="80"/>
    </row>
    <row r="31" spans="2:21" ht="13" x14ac:dyDescent="0.3">
      <c r="C31" s="105"/>
      <c r="D31" s="105"/>
      <c r="E31" s="105"/>
      <c r="F31" s="105"/>
      <c r="G31" s="105"/>
      <c r="H31" s="105"/>
      <c r="U31" s="80"/>
    </row>
    <row r="32" spans="2:21" ht="13" x14ac:dyDescent="0.3">
      <c r="C32" s="105"/>
      <c r="D32" s="105"/>
      <c r="E32" s="105"/>
      <c r="F32" s="105"/>
      <c r="G32" s="105"/>
      <c r="H32" s="105"/>
      <c r="U32" s="80"/>
    </row>
    <row r="33" spans="3:21" ht="13" x14ac:dyDescent="0.3">
      <c r="C33" s="105"/>
      <c r="D33" s="105"/>
      <c r="E33" s="105"/>
      <c r="F33" s="105"/>
      <c r="G33" s="105"/>
      <c r="H33" s="105"/>
      <c r="U33" s="80"/>
    </row>
    <row r="34" spans="3:21" ht="13" x14ac:dyDescent="0.3">
      <c r="C34" s="105"/>
      <c r="D34" s="105"/>
      <c r="E34" s="105"/>
      <c r="F34" s="105"/>
      <c r="G34" s="105"/>
      <c r="H34" s="105"/>
      <c r="U34" s="80"/>
    </row>
    <row r="35" spans="3:21" ht="13" x14ac:dyDescent="0.3">
      <c r="C35" s="105"/>
      <c r="D35" s="105"/>
      <c r="E35" s="105"/>
      <c r="F35" s="105"/>
      <c r="G35" s="105"/>
      <c r="H35" s="105"/>
      <c r="U35" s="80"/>
    </row>
    <row r="36" spans="3:21" ht="13" x14ac:dyDescent="0.3">
      <c r="C36" s="105"/>
      <c r="D36" s="105"/>
      <c r="E36" s="105"/>
      <c r="F36" s="105"/>
      <c r="G36" s="105"/>
      <c r="H36" s="105"/>
      <c r="U36" s="80"/>
    </row>
    <row r="37" spans="3:21" ht="13" x14ac:dyDescent="0.3">
      <c r="C37" s="105"/>
      <c r="D37" s="105"/>
      <c r="E37" s="105"/>
      <c r="F37" s="105"/>
      <c r="G37" s="105"/>
      <c r="H37" s="105"/>
      <c r="U37" s="80"/>
    </row>
    <row r="38" spans="3:21" ht="13" x14ac:dyDescent="0.3">
      <c r="C38" s="105"/>
      <c r="D38" s="105"/>
      <c r="E38" s="105"/>
      <c r="F38" s="105"/>
      <c r="G38" s="105"/>
      <c r="H38" s="105"/>
      <c r="U38" s="80"/>
    </row>
    <row r="39" spans="3:21" ht="13" x14ac:dyDescent="0.3">
      <c r="C39" s="105"/>
      <c r="D39" s="105"/>
      <c r="E39" s="105"/>
      <c r="F39" s="105"/>
      <c r="G39" s="105"/>
      <c r="H39" s="105"/>
      <c r="U39" s="80"/>
    </row>
    <row r="40" spans="3:21" ht="13" x14ac:dyDescent="0.3">
      <c r="C40" s="105"/>
      <c r="D40" s="105"/>
      <c r="E40" s="105"/>
      <c r="F40" s="105"/>
      <c r="G40" s="105"/>
      <c r="H40" s="105"/>
      <c r="U40" s="80"/>
    </row>
    <row r="41" spans="3:21" ht="13" x14ac:dyDescent="0.3">
      <c r="C41" s="105"/>
      <c r="D41" s="105"/>
      <c r="E41" s="105"/>
      <c r="F41" s="105"/>
      <c r="G41" s="105"/>
      <c r="H41" s="105"/>
      <c r="U41" s="80"/>
    </row>
    <row r="42" spans="3:21" ht="13" x14ac:dyDescent="0.3">
      <c r="C42" s="105"/>
      <c r="D42" s="105"/>
      <c r="E42" s="105"/>
      <c r="F42" s="105"/>
      <c r="G42" s="105"/>
      <c r="H42" s="105"/>
      <c r="U42" s="80"/>
    </row>
    <row r="43" spans="3:21" ht="13" x14ac:dyDescent="0.3">
      <c r="C43" s="105"/>
      <c r="D43" s="105"/>
      <c r="E43" s="105"/>
      <c r="F43" s="105"/>
      <c r="G43" s="105"/>
      <c r="H43" s="105"/>
      <c r="U43" s="80"/>
    </row>
    <row r="44" spans="3:21" ht="13" x14ac:dyDescent="0.3">
      <c r="C44" s="105"/>
      <c r="D44" s="105"/>
      <c r="E44" s="105"/>
      <c r="F44" s="105"/>
      <c r="G44" s="105"/>
      <c r="H44" s="105"/>
      <c r="U44" s="80"/>
    </row>
    <row r="45" spans="3:21" ht="13" x14ac:dyDescent="0.3">
      <c r="C45" s="105"/>
      <c r="D45" s="105"/>
      <c r="E45" s="105"/>
      <c r="F45" s="105"/>
      <c r="G45" s="105"/>
      <c r="H45" s="105"/>
      <c r="U45" s="80"/>
    </row>
    <row r="46" spans="3:21" ht="13" x14ac:dyDescent="0.3">
      <c r="C46" s="105"/>
      <c r="D46" s="105"/>
      <c r="E46" s="105"/>
      <c r="F46" s="105"/>
      <c r="G46" s="105"/>
      <c r="H46" s="105"/>
      <c r="U46" s="80"/>
    </row>
    <row r="47" spans="3:21" ht="13" x14ac:dyDescent="0.3">
      <c r="C47" s="105"/>
      <c r="D47" s="105"/>
      <c r="E47" s="105"/>
      <c r="F47" s="105"/>
      <c r="G47" s="105"/>
      <c r="H47" s="105"/>
      <c r="U47" s="80"/>
    </row>
    <row r="48" spans="3:21" ht="13" x14ac:dyDescent="0.3">
      <c r="C48" s="105"/>
      <c r="D48" s="105"/>
      <c r="E48" s="105"/>
      <c r="F48" s="105"/>
      <c r="G48" s="105"/>
      <c r="H48" s="105"/>
      <c r="U48" s="80"/>
    </row>
    <row r="49" spans="3:21" ht="13" x14ac:dyDescent="0.3">
      <c r="C49" s="105"/>
      <c r="D49" s="105"/>
      <c r="E49" s="105"/>
      <c r="F49" s="105"/>
      <c r="G49" s="105"/>
      <c r="H49" s="105"/>
      <c r="U49" s="80"/>
    </row>
    <row r="50" spans="3:21" ht="13" x14ac:dyDescent="0.3">
      <c r="C50" s="105"/>
      <c r="D50" s="105"/>
      <c r="E50" s="105"/>
      <c r="F50" s="105"/>
      <c r="G50" s="105"/>
      <c r="H50" s="105"/>
      <c r="U50" s="80"/>
    </row>
    <row r="51" spans="3:21" ht="13" x14ac:dyDescent="0.3">
      <c r="C51" s="105"/>
      <c r="D51" s="105"/>
      <c r="E51" s="105"/>
      <c r="F51" s="105"/>
      <c r="G51" s="105"/>
      <c r="H51" s="105"/>
      <c r="U51" s="80"/>
    </row>
    <row r="52" spans="3:21" ht="13" x14ac:dyDescent="0.3">
      <c r="C52" s="105"/>
      <c r="D52" s="105"/>
      <c r="E52" s="105"/>
      <c r="F52" s="105"/>
      <c r="G52" s="105"/>
      <c r="H52" s="105"/>
      <c r="U52" s="80"/>
    </row>
    <row r="53" spans="3:21" ht="13" x14ac:dyDescent="0.3">
      <c r="C53" s="105"/>
      <c r="D53" s="105"/>
      <c r="E53" s="105"/>
      <c r="F53" s="105"/>
      <c r="G53" s="105"/>
      <c r="H53" s="105"/>
      <c r="U53" s="80"/>
    </row>
    <row r="54" spans="3:21" ht="13" x14ac:dyDescent="0.3">
      <c r="C54" s="105"/>
      <c r="D54" s="105"/>
      <c r="E54" s="105"/>
      <c r="F54" s="105"/>
      <c r="G54" s="105"/>
      <c r="H54" s="105"/>
      <c r="U54" s="80"/>
    </row>
    <row r="55" spans="3:21" ht="13" x14ac:dyDescent="0.3">
      <c r="C55" s="105"/>
      <c r="D55" s="105"/>
      <c r="E55" s="105"/>
      <c r="F55" s="105"/>
      <c r="G55" s="105"/>
      <c r="H55" s="105"/>
      <c r="U55" s="80"/>
    </row>
    <row r="56" spans="3:21" ht="13" x14ac:dyDescent="0.3">
      <c r="C56" s="105"/>
      <c r="D56" s="105"/>
      <c r="E56" s="105"/>
      <c r="F56" s="105"/>
      <c r="G56" s="105"/>
      <c r="H56" s="105"/>
      <c r="U56" s="80"/>
    </row>
    <row r="57" spans="3:21" ht="13" x14ac:dyDescent="0.3">
      <c r="C57" s="105"/>
      <c r="D57" s="105"/>
      <c r="E57" s="105"/>
      <c r="F57" s="105"/>
      <c r="G57" s="105"/>
      <c r="H57" s="105"/>
      <c r="U57" s="80"/>
    </row>
    <row r="58" spans="3:21" ht="13" x14ac:dyDescent="0.3">
      <c r="C58" s="105"/>
      <c r="D58" s="105"/>
      <c r="E58" s="105"/>
      <c r="F58" s="105"/>
      <c r="G58" s="105"/>
      <c r="H58" s="105"/>
      <c r="U58" s="80"/>
    </row>
    <row r="59" spans="3:21" ht="13" x14ac:dyDescent="0.3">
      <c r="C59" s="105"/>
      <c r="D59" s="105"/>
      <c r="E59" s="105"/>
      <c r="F59" s="105"/>
      <c r="G59" s="105"/>
      <c r="H59" s="105"/>
      <c r="U59" s="80"/>
    </row>
    <row r="60" spans="3:21" ht="13" x14ac:dyDescent="0.3">
      <c r="C60" s="105"/>
      <c r="D60" s="105"/>
      <c r="E60" s="105"/>
      <c r="F60" s="105"/>
      <c r="G60" s="105"/>
      <c r="H60" s="105"/>
      <c r="U60" s="80"/>
    </row>
    <row r="61" spans="3:21" ht="13" x14ac:dyDescent="0.3">
      <c r="C61" s="105"/>
      <c r="D61" s="105"/>
      <c r="E61" s="105"/>
      <c r="F61" s="105"/>
      <c r="G61" s="105"/>
      <c r="H61" s="105"/>
      <c r="U61" s="80"/>
    </row>
    <row r="62" spans="3:21" ht="13" x14ac:dyDescent="0.3">
      <c r="C62" s="105"/>
      <c r="D62" s="105"/>
      <c r="E62" s="105"/>
      <c r="F62" s="105"/>
      <c r="G62" s="105"/>
      <c r="H62" s="105"/>
      <c r="U62" s="80"/>
    </row>
    <row r="63" spans="3:21" ht="13" x14ac:dyDescent="0.3">
      <c r="C63" s="105"/>
      <c r="D63" s="105"/>
      <c r="E63" s="105"/>
      <c r="F63" s="105"/>
      <c r="G63" s="105"/>
      <c r="H63" s="105"/>
      <c r="U63" s="80"/>
    </row>
    <row r="64" spans="3:21" ht="13" x14ac:dyDescent="0.3">
      <c r="C64" s="105"/>
      <c r="D64" s="105"/>
      <c r="E64" s="105"/>
      <c r="F64" s="105"/>
      <c r="G64" s="105"/>
      <c r="H64" s="105"/>
      <c r="U64" s="80"/>
    </row>
    <row r="65" spans="3:21" ht="13" x14ac:dyDescent="0.3">
      <c r="C65" s="105"/>
      <c r="D65" s="105"/>
      <c r="E65" s="105"/>
      <c r="F65" s="105"/>
      <c r="G65" s="105"/>
      <c r="H65" s="105"/>
      <c r="U65" s="80"/>
    </row>
    <row r="66" spans="3:21" ht="13" x14ac:dyDescent="0.3">
      <c r="C66" s="105"/>
      <c r="D66" s="105"/>
      <c r="E66" s="105"/>
      <c r="F66" s="105"/>
      <c r="G66" s="105"/>
      <c r="H66" s="105"/>
      <c r="U66" s="80"/>
    </row>
    <row r="67" spans="3:21" ht="13" x14ac:dyDescent="0.3">
      <c r="C67" s="105"/>
      <c r="D67" s="105"/>
      <c r="E67" s="105"/>
      <c r="F67" s="105"/>
      <c r="G67" s="105"/>
      <c r="H67" s="105"/>
      <c r="U67" s="80"/>
    </row>
    <row r="68" spans="3:21" ht="13" x14ac:dyDescent="0.3">
      <c r="C68" s="105"/>
      <c r="D68" s="105"/>
      <c r="E68" s="105"/>
      <c r="F68" s="105"/>
      <c r="G68" s="105"/>
      <c r="H68" s="105"/>
      <c r="U68" s="80"/>
    </row>
    <row r="69" spans="3:21" ht="13" x14ac:dyDescent="0.3">
      <c r="C69" s="105"/>
      <c r="D69" s="105"/>
      <c r="E69" s="105"/>
      <c r="F69" s="105"/>
      <c r="G69" s="105"/>
      <c r="H69" s="105"/>
      <c r="U69" s="80"/>
    </row>
    <row r="70" spans="3:21" ht="13" x14ac:dyDescent="0.3">
      <c r="C70" s="105"/>
      <c r="D70" s="105"/>
      <c r="E70" s="105"/>
      <c r="F70" s="105"/>
      <c r="G70" s="105"/>
      <c r="H70" s="105"/>
      <c r="U70" s="80"/>
    </row>
    <row r="71" spans="3:21" ht="13" x14ac:dyDescent="0.3">
      <c r="C71" s="105"/>
      <c r="D71" s="105"/>
      <c r="E71" s="105"/>
      <c r="F71" s="105"/>
      <c r="G71" s="105"/>
      <c r="H71" s="105"/>
      <c r="U71" s="80"/>
    </row>
    <row r="72" spans="3:21" ht="13" x14ac:dyDescent="0.3">
      <c r="C72" s="105"/>
      <c r="D72" s="105"/>
      <c r="E72" s="105"/>
      <c r="F72" s="105"/>
      <c r="G72" s="105"/>
      <c r="H72" s="105"/>
      <c r="U72" s="80"/>
    </row>
    <row r="73" spans="3:21" ht="13" x14ac:dyDescent="0.3">
      <c r="C73" s="82"/>
      <c r="D73" s="82"/>
      <c r="E73" s="82"/>
      <c r="F73" s="83"/>
      <c r="G73" s="82"/>
      <c r="H73" s="84"/>
      <c r="U73" s="80"/>
    </row>
    <row r="74" spans="3:21" ht="13" x14ac:dyDescent="0.3">
      <c r="C74" s="82"/>
      <c r="D74" s="82"/>
      <c r="E74" s="82"/>
      <c r="F74" s="83"/>
      <c r="G74" s="82"/>
      <c r="H74" s="84"/>
      <c r="U74" s="80"/>
    </row>
    <row r="75" spans="3:21" ht="13" x14ac:dyDescent="0.3">
      <c r="C75" s="82"/>
      <c r="D75" s="82"/>
      <c r="E75" s="82"/>
      <c r="F75" s="83"/>
      <c r="G75" s="82"/>
      <c r="H75" s="84"/>
      <c r="U75" s="80"/>
    </row>
    <row r="76" spans="3:21" ht="13" x14ac:dyDescent="0.3">
      <c r="C76" s="82"/>
      <c r="D76" s="82"/>
      <c r="E76" s="82"/>
      <c r="F76" s="83"/>
      <c r="G76" s="82"/>
      <c r="H76" s="84"/>
      <c r="U76" s="80"/>
    </row>
    <row r="77" spans="3:21" ht="13" x14ac:dyDescent="0.3">
      <c r="C77" s="82"/>
      <c r="D77" s="82"/>
      <c r="E77" s="82"/>
      <c r="F77" s="83"/>
      <c r="G77" s="82"/>
      <c r="H77" s="84"/>
      <c r="U77" s="80"/>
    </row>
    <row r="78" spans="3:21" x14ac:dyDescent="0.25">
      <c r="U78" s="80"/>
    </row>
    <row r="79" spans="3:21" x14ac:dyDescent="0.25">
      <c r="U79" s="80"/>
    </row>
    <row r="80" spans="3:21" x14ac:dyDescent="0.25">
      <c r="U80" s="80"/>
    </row>
    <row r="81" spans="21:21" x14ac:dyDescent="0.25">
      <c r="U81" s="80"/>
    </row>
    <row r="82" spans="21:21" x14ac:dyDescent="0.25">
      <c r="U82" s="80"/>
    </row>
    <row r="83" spans="21:21" x14ac:dyDescent="0.25">
      <c r="U83" s="80"/>
    </row>
    <row r="84" spans="21:21" x14ac:dyDescent="0.25">
      <c r="U84" s="80"/>
    </row>
    <row r="85" spans="21:21" x14ac:dyDescent="0.25">
      <c r="U85" s="80"/>
    </row>
    <row r="86" spans="21:21" x14ac:dyDescent="0.25">
      <c r="U86" s="80"/>
    </row>
    <row r="87" spans="21:21" x14ac:dyDescent="0.25">
      <c r="U87" s="80"/>
    </row>
    <row r="88" spans="21:21" x14ac:dyDescent="0.25">
      <c r="U88" s="80"/>
    </row>
    <row r="89" spans="21:21" x14ac:dyDescent="0.25">
      <c r="U89" s="80"/>
    </row>
    <row r="90" spans="21:21" x14ac:dyDescent="0.25">
      <c r="U90" s="80"/>
    </row>
    <row r="91" spans="21:21" x14ac:dyDescent="0.25">
      <c r="U91" s="80"/>
    </row>
    <row r="92" spans="21:21" x14ac:dyDescent="0.25">
      <c r="U92" s="80"/>
    </row>
    <row r="93" spans="21:21" x14ac:dyDescent="0.25">
      <c r="U93" s="80"/>
    </row>
    <row r="94" spans="21:21" x14ac:dyDescent="0.25">
      <c r="U94" s="80"/>
    </row>
    <row r="95" spans="21:21" x14ac:dyDescent="0.25">
      <c r="U95" s="80"/>
    </row>
    <row r="96" spans="21:21" x14ac:dyDescent="0.25">
      <c r="U96" s="80"/>
    </row>
    <row r="97" spans="21:21" x14ac:dyDescent="0.25">
      <c r="U97" s="80"/>
    </row>
    <row r="98" spans="21:21" x14ac:dyDescent="0.25">
      <c r="U98" s="80"/>
    </row>
    <row r="99" spans="21:21" x14ac:dyDescent="0.25">
      <c r="U99" s="80"/>
    </row>
    <row r="100" spans="21:21" x14ac:dyDescent="0.25">
      <c r="U100" s="80"/>
    </row>
    <row r="101" spans="21:21" x14ac:dyDescent="0.25">
      <c r="U101" s="80"/>
    </row>
    <row r="102" spans="21:21" x14ac:dyDescent="0.25">
      <c r="U102" s="80"/>
    </row>
  </sheetData>
  <mergeCells count="1">
    <mergeCell ref="I6:M6"/>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FB2CA-8E10-464F-9055-37C6954EE641}">
  <sheetPr codeName="Sheet23">
    <tabColor theme="9" tint="-0.499984740745262"/>
  </sheetPr>
  <dimension ref="B1:G80"/>
  <sheetViews>
    <sheetView zoomScaleNormal="100" workbookViewId="0">
      <selection activeCell="E18" sqref="E18:E56"/>
    </sheetView>
  </sheetViews>
  <sheetFormatPr defaultColWidth="9.1796875" defaultRowHeight="12.5" x14ac:dyDescent="0.25"/>
  <cols>
    <col min="1" max="1" width="1.81640625" style="85" customWidth="1"/>
    <col min="2" max="2" width="2.26953125" style="85" customWidth="1"/>
    <col min="3" max="3" width="13.54296875" style="85" customWidth="1"/>
    <col min="4" max="4" width="11.26953125" style="85" customWidth="1"/>
    <col min="5" max="5" width="9.1796875" style="85"/>
    <col min="6" max="6" width="122.1796875" style="85" customWidth="1"/>
    <col min="7" max="7" width="2.26953125" style="85" customWidth="1"/>
    <col min="8" max="16384" width="9.1796875" style="85"/>
  </cols>
  <sheetData>
    <row r="1" spans="2:7" ht="6" customHeight="1" thickBot="1" x14ac:dyDescent="0.3"/>
    <row r="2" spans="2:7" x14ac:dyDescent="0.25">
      <c r="B2" s="86"/>
      <c r="C2" s="86"/>
      <c r="D2" s="87"/>
      <c r="E2" s="87"/>
      <c r="F2" s="88"/>
      <c r="G2" s="88"/>
    </row>
    <row r="3" spans="2:7" ht="25" x14ac:dyDescent="0.5">
      <c r="B3" s="89" t="s">
        <v>161</v>
      </c>
      <c r="C3" s="91"/>
      <c r="D3" s="90"/>
      <c r="E3" s="91"/>
      <c r="F3" s="92"/>
      <c r="G3" s="92"/>
    </row>
    <row r="4" spans="2:7" ht="13" thickBot="1" x14ac:dyDescent="0.3">
      <c r="B4" s="102"/>
      <c r="C4" s="102"/>
      <c r="D4" s="103"/>
      <c r="E4" s="103"/>
      <c r="F4" s="104"/>
      <c r="G4" s="92"/>
    </row>
    <row r="5" spans="2:7" ht="12.75" customHeight="1" x14ac:dyDescent="0.25">
      <c r="B5" s="213"/>
      <c r="C5" s="138"/>
      <c r="D5" s="138"/>
      <c r="E5" s="138"/>
      <c r="F5" s="138"/>
      <c r="G5" s="151"/>
    </row>
    <row r="6" spans="2:7" ht="12.75" customHeight="1" x14ac:dyDescent="0.3">
      <c r="B6" s="213"/>
      <c r="C6" s="168" t="s">
        <v>145</v>
      </c>
      <c r="D6" s="169" t="s">
        <v>146</v>
      </c>
      <c r="E6" s="169" t="s">
        <v>147</v>
      </c>
      <c r="F6" s="170" t="s">
        <v>148</v>
      </c>
      <c r="G6" s="94"/>
    </row>
    <row r="7" spans="2:7" x14ac:dyDescent="0.25">
      <c r="B7" s="213"/>
      <c r="C7" s="164" t="s">
        <v>49</v>
      </c>
      <c r="D7" s="165" t="s">
        <v>162</v>
      </c>
      <c r="E7" s="156">
        <v>2800</v>
      </c>
      <c r="F7" s="164" t="s">
        <v>163</v>
      </c>
      <c r="G7" s="94"/>
    </row>
    <row r="8" spans="2:7" x14ac:dyDescent="0.25">
      <c r="B8" s="213"/>
      <c r="C8" s="164" t="s">
        <v>50</v>
      </c>
      <c r="D8" s="165" t="s">
        <v>164</v>
      </c>
      <c r="E8" s="156">
        <v>0.62</v>
      </c>
      <c r="F8" s="164" t="s">
        <v>165</v>
      </c>
      <c r="G8" s="94"/>
    </row>
    <row r="9" spans="2:7" x14ac:dyDescent="0.25">
      <c r="B9" s="213"/>
      <c r="C9" s="164" t="s">
        <v>51</v>
      </c>
      <c r="D9" s="165" t="s">
        <v>166</v>
      </c>
      <c r="E9" s="156">
        <v>0.32</v>
      </c>
      <c r="F9" s="164" t="s">
        <v>167</v>
      </c>
      <c r="G9" s="94"/>
    </row>
    <row r="10" spans="2:7" x14ac:dyDescent="0.25">
      <c r="B10" s="213"/>
      <c r="C10" s="164" t="s">
        <v>52</v>
      </c>
      <c r="D10" s="165" t="s">
        <v>166</v>
      </c>
      <c r="E10" s="156">
        <v>4.4999999999999998E-2</v>
      </c>
      <c r="F10" s="164" t="s">
        <v>168</v>
      </c>
      <c r="G10" s="94"/>
    </row>
    <row r="11" spans="2:7" x14ac:dyDescent="0.25">
      <c r="B11" s="213"/>
      <c r="C11" s="164" t="s">
        <v>53</v>
      </c>
      <c r="D11" s="165" t="s">
        <v>166</v>
      </c>
      <c r="E11" s="156">
        <v>0.85</v>
      </c>
      <c r="F11" s="164" t="s">
        <v>169</v>
      </c>
      <c r="G11" s="94"/>
    </row>
    <row r="12" spans="2:7" x14ac:dyDescent="0.25">
      <c r="B12" s="213"/>
      <c r="C12" s="164" t="s">
        <v>54</v>
      </c>
      <c r="D12" s="165" t="s">
        <v>162</v>
      </c>
      <c r="E12" s="156">
        <v>4000</v>
      </c>
      <c r="F12" s="164" t="s">
        <v>170</v>
      </c>
      <c r="G12" s="94"/>
    </row>
    <row r="13" spans="2:7" x14ac:dyDescent="0.25">
      <c r="B13" s="213"/>
      <c r="C13" s="164" t="s">
        <v>55</v>
      </c>
      <c r="D13" s="165" t="s">
        <v>166</v>
      </c>
      <c r="E13" s="156">
        <v>0.45</v>
      </c>
      <c r="F13" s="164" t="s">
        <v>171</v>
      </c>
      <c r="G13" s="94"/>
    </row>
    <row r="14" spans="2:7" x14ac:dyDescent="0.25">
      <c r="B14" s="213"/>
      <c r="C14" s="164" t="s">
        <v>56</v>
      </c>
      <c r="D14" s="165" t="s">
        <v>166</v>
      </c>
      <c r="E14" s="156">
        <v>0.1</v>
      </c>
      <c r="F14" s="164" t="s">
        <v>172</v>
      </c>
      <c r="G14" s="94"/>
    </row>
    <row r="15" spans="2:7" x14ac:dyDescent="0.25">
      <c r="B15" s="213"/>
      <c r="C15" s="164" t="s">
        <v>57</v>
      </c>
      <c r="D15" s="165" t="s">
        <v>166</v>
      </c>
      <c r="E15" s="156">
        <v>0.45</v>
      </c>
      <c r="F15" s="164" t="s">
        <v>173</v>
      </c>
      <c r="G15" s="94"/>
    </row>
    <row r="16" spans="2:7" x14ac:dyDescent="0.25">
      <c r="B16" s="213"/>
      <c r="C16" s="127" t="s">
        <v>48</v>
      </c>
      <c r="D16" s="165" t="s">
        <v>150</v>
      </c>
      <c r="E16" s="156">
        <v>0.41</v>
      </c>
      <c r="F16" s="164" t="s">
        <v>401</v>
      </c>
      <c r="G16" s="94"/>
    </row>
    <row r="17" spans="2:7" x14ac:dyDescent="0.25">
      <c r="B17" s="213"/>
      <c r="C17" s="127" t="s">
        <v>47</v>
      </c>
      <c r="D17" s="165" t="s">
        <v>150</v>
      </c>
      <c r="E17" s="156">
        <v>0.52</v>
      </c>
      <c r="F17" s="164" t="s">
        <v>174</v>
      </c>
      <c r="G17" s="94"/>
    </row>
    <row r="18" spans="2:7" x14ac:dyDescent="0.25">
      <c r="B18" s="213"/>
      <c r="C18" s="164" t="s">
        <v>58</v>
      </c>
      <c r="D18" s="165" t="s">
        <v>166</v>
      </c>
      <c r="E18" s="156">
        <v>5.5E-2</v>
      </c>
      <c r="F18" s="164" t="s">
        <v>175</v>
      </c>
      <c r="G18" s="94"/>
    </row>
    <row r="19" spans="2:7" x14ac:dyDescent="0.25">
      <c r="B19" s="213"/>
      <c r="C19" s="164" t="s">
        <v>59</v>
      </c>
      <c r="D19" s="165" t="s">
        <v>150</v>
      </c>
      <c r="E19" s="156">
        <v>1</v>
      </c>
      <c r="F19" s="164" t="s">
        <v>176</v>
      </c>
      <c r="G19" s="94"/>
    </row>
    <row r="20" spans="2:7" x14ac:dyDescent="0.25">
      <c r="B20" s="213"/>
      <c r="C20" s="164" t="s">
        <v>60</v>
      </c>
      <c r="D20" s="165" t="s">
        <v>162</v>
      </c>
      <c r="E20" s="156">
        <v>310</v>
      </c>
      <c r="F20" s="164" t="s">
        <v>177</v>
      </c>
      <c r="G20" s="94"/>
    </row>
    <row r="21" spans="2:7" x14ac:dyDescent="0.25">
      <c r="B21" s="213"/>
      <c r="C21" s="164" t="s">
        <v>61</v>
      </c>
      <c r="D21" s="165" t="s">
        <v>178</v>
      </c>
      <c r="E21" s="156">
        <v>30</v>
      </c>
      <c r="F21" s="164" t="s">
        <v>179</v>
      </c>
      <c r="G21" s="94"/>
    </row>
    <row r="22" spans="2:7" x14ac:dyDescent="0.25">
      <c r="B22" s="213"/>
      <c r="C22" s="164" t="s">
        <v>62</v>
      </c>
      <c r="D22" s="165" t="s">
        <v>150</v>
      </c>
      <c r="E22" s="156">
        <v>1.5</v>
      </c>
      <c r="F22" s="164" t="s">
        <v>180</v>
      </c>
      <c r="G22" s="94"/>
    </row>
    <row r="23" spans="2:7" x14ac:dyDescent="0.25">
      <c r="B23" s="213"/>
      <c r="C23" s="164" t="s">
        <v>63</v>
      </c>
      <c r="D23" s="165" t="s">
        <v>166</v>
      </c>
      <c r="E23" s="156">
        <v>7.0000000000000007E-2</v>
      </c>
      <c r="F23" s="164" t="s">
        <v>181</v>
      </c>
      <c r="G23" s="94"/>
    </row>
    <row r="24" spans="2:7" x14ac:dyDescent="0.25">
      <c r="B24" s="213"/>
      <c r="C24" s="164" t="s">
        <v>64</v>
      </c>
      <c r="D24" s="165" t="s">
        <v>164</v>
      </c>
      <c r="E24" s="156">
        <v>20</v>
      </c>
      <c r="F24" s="164" t="s">
        <v>182</v>
      </c>
      <c r="G24" s="94"/>
    </row>
    <row r="25" spans="2:7" x14ac:dyDescent="0.25">
      <c r="B25" s="213"/>
      <c r="C25" s="164" t="s">
        <v>65</v>
      </c>
      <c r="D25" s="165" t="s">
        <v>178</v>
      </c>
      <c r="E25" s="156">
        <v>22</v>
      </c>
      <c r="F25" s="164" t="s">
        <v>183</v>
      </c>
      <c r="G25" s="94"/>
    </row>
    <row r="26" spans="2:7" x14ac:dyDescent="0.25">
      <c r="B26" s="213"/>
      <c r="C26" s="164" t="s">
        <v>66</v>
      </c>
      <c r="D26" s="165" t="s">
        <v>184</v>
      </c>
      <c r="E26" s="156">
        <v>0.01</v>
      </c>
      <c r="F26" s="164" t="s">
        <v>185</v>
      </c>
      <c r="G26" s="94"/>
    </row>
    <row r="27" spans="2:7" x14ac:dyDescent="0.25">
      <c r="B27" s="213"/>
      <c r="C27" s="164" t="s">
        <v>67</v>
      </c>
      <c r="D27" s="165" t="s">
        <v>184</v>
      </c>
      <c r="E27" s="156">
        <v>0.13900000000000001</v>
      </c>
      <c r="F27" s="164" t="s">
        <v>186</v>
      </c>
      <c r="G27" s="94"/>
    </row>
    <row r="28" spans="2:7" x14ac:dyDescent="0.25">
      <c r="B28" s="213"/>
      <c r="C28" s="164" t="s">
        <v>68</v>
      </c>
      <c r="D28" s="165" t="s">
        <v>184</v>
      </c>
      <c r="E28" s="156">
        <v>1</v>
      </c>
      <c r="F28" s="164" t="s">
        <v>187</v>
      </c>
      <c r="G28" s="94"/>
    </row>
    <row r="29" spans="2:7" x14ac:dyDescent="0.25">
      <c r="B29" s="213"/>
      <c r="C29" s="164" t="s">
        <v>69</v>
      </c>
      <c r="D29" s="165" t="s">
        <v>184</v>
      </c>
      <c r="E29" s="156">
        <v>6.93E-2</v>
      </c>
      <c r="F29" s="164" t="s">
        <v>188</v>
      </c>
      <c r="G29" s="94"/>
    </row>
    <row r="30" spans="2:7" x14ac:dyDescent="0.25">
      <c r="B30" s="213"/>
      <c r="C30" s="164" t="s">
        <v>70</v>
      </c>
      <c r="D30" s="165" t="s">
        <v>184</v>
      </c>
      <c r="E30" s="156">
        <v>2000</v>
      </c>
      <c r="F30" s="164" t="s">
        <v>189</v>
      </c>
      <c r="G30" s="94"/>
    </row>
    <row r="31" spans="2:7" x14ac:dyDescent="0.25">
      <c r="B31" s="213"/>
      <c r="C31" s="164" t="s">
        <v>71</v>
      </c>
      <c r="D31" s="165" t="s">
        <v>184</v>
      </c>
      <c r="E31" s="156">
        <v>0.13900000000000001</v>
      </c>
      <c r="F31" s="164" t="s">
        <v>190</v>
      </c>
      <c r="G31" s="94"/>
    </row>
    <row r="32" spans="2:7" x14ac:dyDescent="0.25">
      <c r="B32" s="213"/>
      <c r="C32" s="164" t="s">
        <v>72</v>
      </c>
      <c r="D32" s="165" t="s">
        <v>184</v>
      </c>
      <c r="E32" s="156">
        <v>6</v>
      </c>
      <c r="F32" s="164" t="s">
        <v>191</v>
      </c>
      <c r="G32" s="94"/>
    </row>
    <row r="33" spans="2:7" x14ac:dyDescent="0.25">
      <c r="B33" s="213"/>
      <c r="C33" s="164" t="s">
        <v>73</v>
      </c>
      <c r="D33" s="165" t="s">
        <v>184</v>
      </c>
      <c r="E33" s="156">
        <v>2.0790000000000002</v>
      </c>
      <c r="F33" s="164" t="s">
        <v>192</v>
      </c>
      <c r="G33" s="94"/>
    </row>
    <row r="34" spans="2:7" x14ac:dyDescent="0.25">
      <c r="B34" s="213"/>
      <c r="C34" s="164" t="s">
        <v>74</v>
      </c>
      <c r="D34" s="165" t="s">
        <v>184</v>
      </c>
      <c r="E34" s="156">
        <v>6.9300000000000004E-3</v>
      </c>
      <c r="F34" s="164" t="s">
        <v>193</v>
      </c>
      <c r="G34" s="94"/>
    </row>
    <row r="35" spans="2:7" x14ac:dyDescent="0.25">
      <c r="B35" s="213"/>
      <c r="C35" s="164" t="s">
        <v>75</v>
      </c>
      <c r="D35" s="165" t="s">
        <v>184</v>
      </c>
      <c r="E35" s="156">
        <v>3.8000000000000002E-4</v>
      </c>
      <c r="F35" s="164" t="s">
        <v>194</v>
      </c>
      <c r="G35" s="94"/>
    </row>
    <row r="36" spans="2:7" x14ac:dyDescent="0.25">
      <c r="B36" s="213"/>
      <c r="C36" s="164" t="s">
        <v>76</v>
      </c>
      <c r="D36" s="165" t="s">
        <v>184</v>
      </c>
      <c r="E36" s="156">
        <v>24</v>
      </c>
      <c r="F36" s="164" t="s">
        <v>195</v>
      </c>
      <c r="G36" s="94"/>
    </row>
    <row r="37" spans="2:7" x14ac:dyDescent="0.25">
      <c r="B37" s="213"/>
      <c r="C37" s="164" t="s">
        <v>77</v>
      </c>
      <c r="D37" s="165" t="s">
        <v>184</v>
      </c>
      <c r="E37" s="156">
        <v>1.85</v>
      </c>
      <c r="F37" s="164" t="s">
        <v>196</v>
      </c>
      <c r="G37" s="94"/>
    </row>
    <row r="38" spans="2:7" x14ac:dyDescent="0.25">
      <c r="B38" s="213"/>
      <c r="C38" s="164" t="s">
        <v>78</v>
      </c>
      <c r="D38" s="165" t="s">
        <v>166</v>
      </c>
      <c r="E38" s="156">
        <v>0.4</v>
      </c>
      <c r="F38" s="164" t="s">
        <v>197</v>
      </c>
      <c r="G38" s="94"/>
    </row>
    <row r="39" spans="2:7" x14ac:dyDescent="0.25">
      <c r="B39" s="213"/>
      <c r="C39" s="164" t="s">
        <v>79</v>
      </c>
      <c r="D39" s="165" t="s">
        <v>164</v>
      </c>
      <c r="E39" s="156">
        <v>350</v>
      </c>
      <c r="F39" s="164" t="s">
        <v>198</v>
      </c>
      <c r="G39" s="94"/>
    </row>
    <row r="40" spans="2:7" x14ac:dyDescent="0.25">
      <c r="B40" s="213"/>
      <c r="C40" s="164" t="s">
        <v>80</v>
      </c>
      <c r="D40" s="165" t="s">
        <v>166</v>
      </c>
      <c r="E40" s="156">
        <v>3</v>
      </c>
      <c r="F40" s="164" t="s">
        <v>199</v>
      </c>
      <c r="G40" s="94"/>
    </row>
    <row r="41" spans="2:7" x14ac:dyDescent="0.25">
      <c r="B41" s="213"/>
      <c r="C41" s="164" t="s">
        <v>81</v>
      </c>
      <c r="D41" s="165" t="s">
        <v>166</v>
      </c>
      <c r="E41" s="156">
        <v>0.5</v>
      </c>
      <c r="F41" s="164" t="s">
        <v>200</v>
      </c>
      <c r="G41" s="94"/>
    </row>
    <row r="42" spans="2:7" x14ac:dyDescent="0.25">
      <c r="B42" s="213"/>
      <c r="C42" s="164" t="s">
        <v>82</v>
      </c>
      <c r="D42" s="165" t="s">
        <v>166</v>
      </c>
      <c r="E42" s="156">
        <v>0.08</v>
      </c>
      <c r="F42" s="164" t="s">
        <v>201</v>
      </c>
      <c r="G42" s="94"/>
    </row>
    <row r="43" spans="2:7" x14ac:dyDescent="0.25">
      <c r="B43" s="213"/>
      <c r="C43" s="164" t="s">
        <v>83</v>
      </c>
      <c r="D43" s="165" t="s">
        <v>166</v>
      </c>
      <c r="E43" s="156">
        <v>0.5</v>
      </c>
      <c r="F43" s="164" t="s">
        <v>202</v>
      </c>
      <c r="G43" s="94"/>
    </row>
    <row r="44" spans="2:7" x14ac:dyDescent="0.25">
      <c r="B44" s="213"/>
      <c r="C44" s="164" t="s">
        <v>84</v>
      </c>
      <c r="D44" s="165" t="s">
        <v>166</v>
      </c>
      <c r="E44" s="156">
        <v>6.0000000000000001E-3</v>
      </c>
      <c r="F44" s="164" t="s">
        <v>203</v>
      </c>
      <c r="G44" s="94"/>
    </row>
    <row r="45" spans="2:7" x14ac:dyDescent="0.25">
      <c r="B45" s="213"/>
      <c r="C45" s="164" t="s">
        <v>85</v>
      </c>
      <c r="D45" s="165" t="s">
        <v>166</v>
      </c>
      <c r="E45" s="156">
        <v>2.5000000000000001E-2</v>
      </c>
      <c r="F45" s="164" t="s">
        <v>204</v>
      </c>
      <c r="G45" s="94"/>
    </row>
    <row r="46" spans="2:7" x14ac:dyDescent="0.25">
      <c r="B46" s="213"/>
      <c r="C46" s="164" t="s">
        <v>86</v>
      </c>
      <c r="D46" s="165" t="s">
        <v>166</v>
      </c>
      <c r="E46" s="156">
        <v>4.0000000000000002E-4</v>
      </c>
      <c r="F46" s="164" t="s">
        <v>205</v>
      </c>
      <c r="G46" s="94"/>
    </row>
    <row r="47" spans="2:7" x14ac:dyDescent="0.25">
      <c r="B47" s="213"/>
      <c r="C47" s="164" t="s">
        <v>87</v>
      </c>
      <c r="D47" s="165" t="s">
        <v>166</v>
      </c>
      <c r="E47" s="156">
        <v>0.04</v>
      </c>
      <c r="F47" s="164" t="s">
        <v>206</v>
      </c>
      <c r="G47" s="94"/>
    </row>
    <row r="48" spans="2:7" x14ac:dyDescent="0.25">
      <c r="B48" s="213"/>
      <c r="C48" s="164" t="s">
        <v>88</v>
      </c>
      <c r="D48" s="165" t="s">
        <v>166</v>
      </c>
      <c r="E48" s="156">
        <v>4.0000000000000002E-4</v>
      </c>
      <c r="F48" s="164" t="s">
        <v>207</v>
      </c>
      <c r="G48" s="94"/>
    </row>
    <row r="49" spans="2:7" x14ac:dyDescent="0.25">
      <c r="B49" s="213"/>
      <c r="C49" s="164" t="s">
        <v>89</v>
      </c>
      <c r="D49" s="165" t="s">
        <v>166</v>
      </c>
      <c r="E49" s="156">
        <v>0.25</v>
      </c>
      <c r="F49" s="164" t="s">
        <v>208</v>
      </c>
      <c r="G49" s="94"/>
    </row>
    <row r="50" spans="2:7" x14ac:dyDescent="0.25">
      <c r="B50" s="213"/>
      <c r="C50" s="164" t="s">
        <v>90</v>
      </c>
      <c r="D50" s="165" t="s">
        <v>166</v>
      </c>
      <c r="E50" s="156">
        <v>3.5000000000000001E-3</v>
      </c>
      <c r="F50" s="164" t="s">
        <v>209</v>
      </c>
      <c r="G50" s="94"/>
    </row>
    <row r="51" spans="2:7" x14ac:dyDescent="0.25">
      <c r="B51" s="213"/>
      <c r="C51" s="164" t="s">
        <v>91</v>
      </c>
      <c r="D51" s="165" t="s">
        <v>166</v>
      </c>
      <c r="E51" s="156">
        <v>0</v>
      </c>
      <c r="F51" s="164" t="s">
        <v>210</v>
      </c>
      <c r="G51" s="94"/>
    </row>
    <row r="52" spans="2:7" x14ac:dyDescent="0.25">
      <c r="B52" s="213"/>
      <c r="C52" s="164" t="s">
        <v>92</v>
      </c>
      <c r="D52" s="165" t="s">
        <v>162</v>
      </c>
      <c r="E52" s="156">
        <v>3000</v>
      </c>
      <c r="F52" s="164" t="s">
        <v>211</v>
      </c>
      <c r="G52" s="94"/>
    </row>
    <row r="53" spans="2:7" x14ac:dyDescent="0.25">
      <c r="B53" s="213"/>
      <c r="C53" s="119" t="s">
        <v>93</v>
      </c>
      <c r="D53" s="165" t="s">
        <v>212</v>
      </c>
      <c r="E53" s="156">
        <v>6.7000000000000004E-2</v>
      </c>
      <c r="F53" s="179" t="s">
        <v>213</v>
      </c>
      <c r="G53" s="94"/>
    </row>
    <row r="54" spans="2:7" x14ac:dyDescent="0.25">
      <c r="B54" s="213"/>
      <c r="C54" s="119" t="s">
        <v>94</v>
      </c>
      <c r="D54" s="165" t="s">
        <v>212</v>
      </c>
      <c r="E54" s="156">
        <v>8.5000000000000006E-3</v>
      </c>
      <c r="F54" s="179" t="s">
        <v>214</v>
      </c>
      <c r="G54" s="94"/>
    </row>
    <row r="55" spans="2:7" x14ac:dyDescent="0.25">
      <c r="B55" s="213"/>
      <c r="C55" s="119" t="s">
        <v>95</v>
      </c>
      <c r="D55" s="165" t="s">
        <v>212</v>
      </c>
      <c r="E55" s="156">
        <v>2.5000000000000001E-2</v>
      </c>
      <c r="F55" s="179" t="s">
        <v>215</v>
      </c>
      <c r="G55" s="94"/>
    </row>
    <row r="56" spans="2:7" x14ac:dyDescent="0.25">
      <c r="B56" s="213"/>
      <c r="C56" s="164" t="s">
        <v>96</v>
      </c>
      <c r="D56" s="165" t="s">
        <v>212</v>
      </c>
      <c r="E56" s="156">
        <v>1.4999999999999999E-2</v>
      </c>
      <c r="F56" s="164" t="s">
        <v>216</v>
      </c>
      <c r="G56" s="94"/>
    </row>
    <row r="57" spans="2:7" ht="13.5" thickBot="1" x14ac:dyDescent="0.35">
      <c r="B57" s="214"/>
      <c r="C57" s="98"/>
      <c r="D57" s="215"/>
      <c r="E57" s="99"/>
      <c r="F57" s="98"/>
      <c r="G57" s="97"/>
    </row>
    <row r="58" spans="2:7" ht="13" x14ac:dyDescent="0.3">
      <c r="C58" s="82"/>
      <c r="D58" s="84"/>
      <c r="E58" s="83"/>
      <c r="F58" s="82"/>
    </row>
    <row r="59" spans="2:7" ht="13" x14ac:dyDescent="0.3">
      <c r="C59" s="82"/>
      <c r="D59" s="167"/>
      <c r="E59" s="83"/>
      <c r="F59" s="82"/>
    </row>
    <row r="60" spans="2:7" ht="13" x14ac:dyDescent="0.3">
      <c r="C60" s="82"/>
      <c r="D60" s="82"/>
      <c r="E60" s="83"/>
      <c r="F60" s="82"/>
    </row>
    <row r="61" spans="2:7" ht="13" x14ac:dyDescent="0.3">
      <c r="C61" s="82"/>
      <c r="D61" s="82"/>
      <c r="E61" s="83"/>
      <c r="F61" s="82"/>
    </row>
    <row r="62" spans="2:7" ht="13" x14ac:dyDescent="0.3">
      <c r="C62" s="82"/>
      <c r="D62" s="82"/>
      <c r="E62" s="83"/>
      <c r="F62" s="82"/>
    </row>
    <row r="63" spans="2:7" ht="13" x14ac:dyDescent="0.3">
      <c r="C63" s="82"/>
      <c r="D63" s="82"/>
      <c r="E63" s="83"/>
      <c r="F63" s="82"/>
    </row>
    <row r="64" spans="2:7" ht="13" x14ac:dyDescent="0.3">
      <c r="C64" s="82"/>
      <c r="D64" s="82"/>
      <c r="E64" s="83"/>
      <c r="F64" s="82"/>
    </row>
    <row r="65" spans="3:6" ht="13" x14ac:dyDescent="0.3">
      <c r="C65" s="82"/>
      <c r="D65" s="82"/>
      <c r="E65" s="83"/>
      <c r="F65" s="82"/>
    </row>
    <row r="66" spans="3:6" ht="13" x14ac:dyDescent="0.3">
      <c r="C66" s="82"/>
      <c r="D66" s="82"/>
      <c r="E66" s="83"/>
      <c r="F66" s="82"/>
    </row>
    <row r="67" spans="3:6" ht="13" x14ac:dyDescent="0.3">
      <c r="C67" s="82"/>
      <c r="D67" s="82"/>
      <c r="E67" s="83"/>
      <c r="F67" s="82"/>
    </row>
    <row r="68" spans="3:6" ht="13" x14ac:dyDescent="0.3">
      <c r="C68" s="82"/>
      <c r="D68" s="82"/>
      <c r="E68" s="83"/>
      <c r="F68" s="82"/>
    </row>
    <row r="69" spans="3:6" ht="13" x14ac:dyDescent="0.3">
      <c r="C69" s="82"/>
      <c r="D69" s="82"/>
      <c r="E69" s="83"/>
      <c r="F69" s="82"/>
    </row>
    <row r="70" spans="3:6" ht="13" x14ac:dyDescent="0.3">
      <c r="C70" s="82"/>
      <c r="D70" s="82"/>
      <c r="E70" s="83"/>
      <c r="F70" s="82"/>
    </row>
    <row r="71" spans="3:6" ht="13" x14ac:dyDescent="0.3">
      <c r="C71" s="82"/>
      <c r="D71" s="82"/>
      <c r="E71" s="83"/>
      <c r="F71" s="82"/>
    </row>
    <row r="72" spans="3:6" ht="13" x14ac:dyDescent="0.3">
      <c r="C72" s="82"/>
      <c r="D72" s="82"/>
      <c r="E72" s="83"/>
      <c r="F72" s="82"/>
    </row>
    <row r="73" spans="3:6" ht="13" x14ac:dyDescent="0.3">
      <c r="C73" s="82"/>
      <c r="D73" s="82"/>
      <c r="E73" s="83"/>
      <c r="F73" s="82"/>
    </row>
    <row r="74" spans="3:6" ht="13" x14ac:dyDescent="0.3">
      <c r="C74" s="82"/>
      <c r="D74" s="82"/>
      <c r="E74" s="83"/>
      <c r="F74" s="82"/>
    </row>
    <row r="75" spans="3:6" ht="13" x14ac:dyDescent="0.3">
      <c r="C75" s="82"/>
      <c r="D75" s="82"/>
      <c r="E75" s="83"/>
      <c r="F75" s="82"/>
    </row>
    <row r="76" spans="3:6" ht="13" x14ac:dyDescent="0.3">
      <c r="C76" s="82"/>
      <c r="D76" s="82"/>
      <c r="E76" s="83"/>
      <c r="F76" s="82"/>
    </row>
    <row r="77" spans="3:6" ht="13" x14ac:dyDescent="0.3">
      <c r="C77" s="82"/>
      <c r="D77" s="82"/>
      <c r="E77" s="83"/>
      <c r="F77" s="82"/>
    </row>
    <row r="78" spans="3:6" ht="13" x14ac:dyDescent="0.3">
      <c r="C78" s="82"/>
      <c r="D78" s="82"/>
      <c r="E78" s="83"/>
      <c r="F78" s="82"/>
    </row>
    <row r="79" spans="3:6" ht="13" x14ac:dyDescent="0.3">
      <c r="C79" s="82"/>
      <c r="D79" s="82"/>
      <c r="E79" s="83"/>
      <c r="F79" s="82"/>
    </row>
    <row r="80" spans="3:6" ht="13" x14ac:dyDescent="0.3">
      <c r="C80" s="82"/>
      <c r="D80" s="82"/>
      <c r="E80" s="83"/>
      <c r="F80" s="8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B42C2-B837-4624-8A94-F793E9E60E2B}">
  <sheetPr codeName="Sheet13">
    <tabColor theme="9" tint="-0.499984740745262"/>
  </sheetPr>
  <dimension ref="B1:Q89"/>
  <sheetViews>
    <sheetView showGridLines="0" zoomScaleNormal="100" workbookViewId="0">
      <selection activeCell="P31" sqref="P31"/>
    </sheetView>
  </sheetViews>
  <sheetFormatPr defaultColWidth="9.1796875" defaultRowHeight="12.5" x14ac:dyDescent="0.25"/>
  <cols>
    <col min="1" max="1" width="1.81640625" style="85" customWidth="1"/>
    <col min="2" max="2" width="2.26953125" style="85" customWidth="1"/>
    <col min="3" max="3" width="11" style="85" customWidth="1"/>
    <col min="4" max="4" width="5.54296875" style="85" customWidth="1"/>
    <col min="5" max="15" width="12.7265625" style="85" customWidth="1"/>
    <col min="16" max="16" width="94.453125" style="85" customWidth="1"/>
    <col min="17" max="17" width="2.26953125" style="85" customWidth="1"/>
    <col min="18" max="16384" width="9.1796875" style="85"/>
  </cols>
  <sheetData>
    <row r="1" spans="2:17" ht="6" customHeight="1" thickBot="1" x14ac:dyDescent="0.3"/>
    <row r="2" spans="2:17" x14ac:dyDescent="0.25">
      <c r="B2" s="86"/>
      <c r="C2" s="87"/>
      <c r="D2" s="87"/>
      <c r="E2" s="87"/>
      <c r="F2" s="87"/>
      <c r="G2" s="87"/>
      <c r="H2" s="87"/>
      <c r="I2" s="87"/>
      <c r="J2" s="87"/>
      <c r="K2" s="87"/>
      <c r="L2" s="87"/>
      <c r="M2" s="87"/>
      <c r="N2" s="87"/>
      <c r="O2" s="87"/>
      <c r="P2" s="87"/>
      <c r="Q2" s="88"/>
    </row>
    <row r="3" spans="2:17" ht="25" x14ac:dyDescent="0.5">
      <c r="B3" s="89" t="s">
        <v>217</v>
      </c>
      <c r="C3" s="91"/>
      <c r="D3" s="90"/>
      <c r="E3" s="91"/>
      <c r="F3" s="91"/>
      <c r="G3" s="91"/>
      <c r="H3" s="91"/>
      <c r="I3" s="91"/>
      <c r="J3" s="91"/>
      <c r="K3" s="91"/>
      <c r="L3" s="91"/>
      <c r="M3" s="91"/>
      <c r="N3" s="91"/>
      <c r="O3" s="91"/>
      <c r="P3" s="91"/>
      <c r="Q3" s="92"/>
    </row>
    <row r="4" spans="2:17" ht="13" thickBot="1" x14ac:dyDescent="0.3">
      <c r="B4" s="102"/>
      <c r="C4" s="103"/>
      <c r="D4" s="103"/>
      <c r="E4" s="103"/>
      <c r="F4" s="103"/>
      <c r="G4" s="103"/>
      <c r="H4" s="103"/>
      <c r="I4" s="103"/>
      <c r="J4" s="103"/>
      <c r="K4" s="103"/>
      <c r="L4" s="103"/>
      <c r="M4" s="103"/>
      <c r="N4" s="103"/>
      <c r="O4" s="103"/>
      <c r="P4" s="103"/>
      <c r="Q4" s="104"/>
    </row>
    <row r="5" spans="2:17" ht="12.75" customHeight="1" x14ac:dyDescent="0.3">
      <c r="B5" s="213"/>
      <c r="C5" s="100"/>
      <c r="D5" s="100"/>
      <c r="E5" s="100"/>
      <c r="F5" s="100"/>
      <c r="G5" s="100"/>
      <c r="H5" s="100"/>
      <c r="I5" s="100"/>
      <c r="J5" s="100"/>
      <c r="K5" s="100"/>
      <c r="L5" s="100"/>
      <c r="M5" s="100"/>
      <c r="N5" s="100"/>
      <c r="O5" s="100"/>
      <c r="P5" s="100"/>
      <c r="Q5" s="94"/>
    </row>
    <row r="6" spans="2:17" ht="12.75" customHeight="1" x14ac:dyDescent="0.25">
      <c r="B6" s="213"/>
      <c r="C6" s="175" t="s">
        <v>218</v>
      </c>
      <c r="D6" s="176"/>
      <c r="E6" s="186">
        <v>11</v>
      </c>
      <c r="F6" s="21"/>
      <c r="G6" s="21"/>
      <c r="H6" s="21"/>
      <c r="I6" s="21"/>
      <c r="J6" s="21"/>
      <c r="K6" s="21"/>
      <c r="L6" s="21"/>
      <c r="M6" s="21"/>
      <c r="N6" s="21"/>
      <c r="O6" s="21"/>
      <c r="P6" s="21"/>
      <c r="Q6" s="94"/>
    </row>
    <row r="7" spans="2:17" ht="12.75" customHeight="1" x14ac:dyDescent="0.25">
      <c r="B7" s="213"/>
      <c r="C7" s="21"/>
      <c r="D7" s="21"/>
      <c r="E7" s="21"/>
      <c r="F7" s="21"/>
      <c r="G7" s="21"/>
      <c r="H7" s="21"/>
      <c r="I7" s="21"/>
      <c r="J7" s="21"/>
      <c r="K7" s="21"/>
      <c r="L7" s="21"/>
      <c r="M7" s="21"/>
      <c r="N7" s="21"/>
      <c r="O7" s="21"/>
      <c r="P7" s="21"/>
      <c r="Q7" s="94"/>
    </row>
    <row r="8" spans="2:17" ht="12.75" customHeight="1" x14ac:dyDescent="0.3">
      <c r="B8" s="213"/>
      <c r="C8" s="168" t="s">
        <v>145</v>
      </c>
      <c r="D8" s="169" t="s">
        <v>219</v>
      </c>
      <c r="E8" s="169" t="s">
        <v>220</v>
      </c>
      <c r="F8" s="169" t="s">
        <v>220</v>
      </c>
      <c r="G8" s="169" t="s">
        <v>220</v>
      </c>
      <c r="H8" s="169" t="s">
        <v>220</v>
      </c>
      <c r="I8" s="169" t="s">
        <v>220</v>
      </c>
      <c r="J8" s="169" t="s">
        <v>220</v>
      </c>
      <c r="K8" s="169" t="s">
        <v>220</v>
      </c>
      <c r="L8" s="169" t="s">
        <v>220</v>
      </c>
      <c r="M8" s="169" t="s">
        <v>220</v>
      </c>
      <c r="N8" s="169" t="s">
        <v>220</v>
      </c>
      <c r="O8" s="169" t="s">
        <v>220</v>
      </c>
      <c r="P8" s="174" t="s">
        <v>148</v>
      </c>
      <c r="Q8" s="94"/>
    </row>
    <row r="9" spans="2:17" ht="12.75" customHeight="1" x14ac:dyDescent="0.25">
      <c r="B9" s="213"/>
      <c r="C9" s="164"/>
      <c r="D9" s="164"/>
      <c r="E9" s="195">
        <v>0</v>
      </c>
      <c r="F9" s="193">
        <v>0.27400000000000002</v>
      </c>
      <c r="G9" s="195">
        <v>1</v>
      </c>
      <c r="H9" s="195">
        <v>5</v>
      </c>
      <c r="I9" s="195">
        <v>10</v>
      </c>
      <c r="J9" s="195">
        <v>15</v>
      </c>
      <c r="K9" s="195">
        <v>25</v>
      </c>
      <c r="L9" s="195">
        <v>30</v>
      </c>
      <c r="M9" s="195">
        <v>40</v>
      </c>
      <c r="N9" s="195">
        <v>60</v>
      </c>
      <c r="O9" s="195">
        <v>90</v>
      </c>
      <c r="P9" s="196"/>
      <c r="Q9" s="94"/>
    </row>
    <row r="10" spans="2:17" ht="12.75" customHeight="1" x14ac:dyDescent="0.25">
      <c r="B10" s="213"/>
      <c r="C10" s="164" t="s">
        <v>98</v>
      </c>
      <c r="D10" s="165" t="s">
        <v>166</v>
      </c>
      <c r="E10" s="194">
        <v>0.39096774193548389</v>
      </c>
      <c r="F10" s="194">
        <v>0.388240525204816</v>
      </c>
      <c r="G10" s="194">
        <v>0.37673719799960598</v>
      </c>
      <c r="H10" s="194">
        <v>0.1670817289613179</v>
      </c>
      <c r="I10" s="194">
        <v>0.1203808407057661</v>
      </c>
      <c r="J10" s="194">
        <v>0.12000256955591121</v>
      </c>
      <c r="K10" s="194">
        <v>0.12000000011665873</v>
      </c>
      <c r="L10" s="194">
        <v>0.12000000000078603</v>
      </c>
      <c r="M10" s="194">
        <v>0.12000000000000005</v>
      </c>
      <c r="N10" s="194">
        <v>0.12</v>
      </c>
      <c r="O10" s="194">
        <v>0.12</v>
      </c>
      <c r="P10" s="164" t="s">
        <v>221</v>
      </c>
      <c r="Q10" s="94"/>
    </row>
    <row r="11" spans="2:17" ht="12.75" customHeight="1" x14ac:dyDescent="0.25">
      <c r="B11" s="213"/>
      <c r="C11" s="164" t="s">
        <v>99</v>
      </c>
      <c r="D11" s="165" t="s">
        <v>178</v>
      </c>
      <c r="E11" s="194">
        <v>3</v>
      </c>
      <c r="F11" s="194">
        <v>5.5</v>
      </c>
      <c r="G11" s="194">
        <v>8</v>
      </c>
      <c r="H11" s="194">
        <v>17</v>
      </c>
      <c r="I11" s="194">
        <v>30</v>
      </c>
      <c r="J11" s="194">
        <v>50</v>
      </c>
      <c r="K11" s="194">
        <v>52</v>
      </c>
      <c r="L11" s="194">
        <v>52</v>
      </c>
      <c r="M11" s="194">
        <v>52</v>
      </c>
      <c r="N11" s="194">
        <v>52</v>
      </c>
      <c r="O11" s="194">
        <v>52</v>
      </c>
      <c r="P11" s="164" t="s">
        <v>222</v>
      </c>
      <c r="Q11" s="94"/>
    </row>
    <row r="12" spans="2:17" ht="12.75" customHeight="1" x14ac:dyDescent="0.25">
      <c r="B12" s="213"/>
      <c r="C12" s="164" t="s">
        <v>100</v>
      </c>
      <c r="D12" s="165" t="s">
        <v>166</v>
      </c>
      <c r="E12" s="194">
        <v>0.60000000000000009</v>
      </c>
      <c r="F12" s="194">
        <v>0.60000000000000009</v>
      </c>
      <c r="G12" s="194">
        <v>0.60000000000000009</v>
      </c>
      <c r="H12" s="194">
        <v>0.60000000000000009</v>
      </c>
      <c r="I12" s="194">
        <v>0.60000000000000009</v>
      </c>
      <c r="J12" s="194">
        <v>0.60000000000000009</v>
      </c>
      <c r="K12" s="194">
        <v>0.60000000000000009</v>
      </c>
      <c r="L12" s="194">
        <v>0.60000000000000009</v>
      </c>
      <c r="M12" s="194">
        <v>0.60000000000000009</v>
      </c>
      <c r="N12" s="194">
        <v>0.60000000000000009</v>
      </c>
      <c r="O12" s="194">
        <v>0.60000000000000009</v>
      </c>
      <c r="P12" s="164" t="s">
        <v>223</v>
      </c>
      <c r="Q12" s="94"/>
    </row>
    <row r="13" spans="2:17" ht="12.75" customHeight="1" x14ac:dyDescent="0.25">
      <c r="B13" s="213"/>
      <c r="C13" s="164" t="s">
        <v>101</v>
      </c>
      <c r="D13" s="165" t="s">
        <v>166</v>
      </c>
      <c r="E13" s="194">
        <v>1.6666700000000001</v>
      </c>
      <c r="F13" s="194">
        <v>1.6666700000000001</v>
      </c>
      <c r="G13" s="194">
        <v>1.6666700000000001</v>
      </c>
      <c r="H13" s="194">
        <v>1.6666700000000001</v>
      </c>
      <c r="I13" s="194">
        <v>1.6666700000000001</v>
      </c>
      <c r="J13" s="194">
        <v>1.3333299999999999</v>
      </c>
      <c r="K13" s="194">
        <v>1</v>
      </c>
      <c r="L13" s="194">
        <v>1</v>
      </c>
      <c r="M13" s="194">
        <v>1</v>
      </c>
      <c r="N13" s="194">
        <v>1</v>
      </c>
      <c r="O13" s="194">
        <v>1</v>
      </c>
      <c r="P13" s="164" t="s">
        <v>224</v>
      </c>
      <c r="Q13" s="94"/>
    </row>
    <row r="14" spans="2:17" ht="12.75" customHeight="1" x14ac:dyDescent="0.25">
      <c r="B14" s="213"/>
      <c r="C14" s="164" t="s">
        <v>102</v>
      </c>
      <c r="D14" s="165" t="s">
        <v>184</v>
      </c>
      <c r="E14" s="194">
        <v>12</v>
      </c>
      <c r="F14" s="194">
        <v>12</v>
      </c>
      <c r="G14" s="194">
        <v>15</v>
      </c>
      <c r="H14" s="194">
        <v>11</v>
      </c>
      <c r="I14" s="194">
        <v>8</v>
      </c>
      <c r="J14" s="194">
        <v>7</v>
      </c>
      <c r="K14" s="194">
        <v>7</v>
      </c>
      <c r="L14" s="194">
        <v>7</v>
      </c>
      <c r="M14" s="194">
        <v>7</v>
      </c>
      <c r="N14" s="194">
        <v>7</v>
      </c>
      <c r="O14" s="194">
        <v>7</v>
      </c>
      <c r="P14" s="164" t="s">
        <v>225</v>
      </c>
      <c r="Q14" s="94"/>
    </row>
    <row r="15" spans="2:17" ht="12.75" customHeight="1" x14ac:dyDescent="0.25">
      <c r="B15" s="213"/>
      <c r="C15" s="164" t="s">
        <v>103</v>
      </c>
      <c r="D15" s="165" t="s">
        <v>184</v>
      </c>
      <c r="E15" s="194">
        <v>9.5E-4</v>
      </c>
      <c r="F15" s="194">
        <v>9.5E-4</v>
      </c>
      <c r="G15" s="194">
        <v>9.5E-4</v>
      </c>
      <c r="H15" s="194">
        <v>9.5E-4</v>
      </c>
      <c r="I15" s="194">
        <v>9.5E-4</v>
      </c>
      <c r="J15" s="194">
        <v>9.5E-4</v>
      </c>
      <c r="K15" s="194">
        <v>9.5E-4</v>
      </c>
      <c r="L15" s="194">
        <v>9.5E-4</v>
      </c>
      <c r="M15" s="194">
        <v>9.5E-4</v>
      </c>
      <c r="N15" s="194">
        <v>9.5E-4</v>
      </c>
      <c r="O15" s="194">
        <v>9.5E-4</v>
      </c>
      <c r="P15" s="164" t="s">
        <v>226</v>
      </c>
      <c r="Q15" s="94"/>
    </row>
    <row r="16" spans="2:17" ht="12.75" customHeight="1" x14ac:dyDescent="0.25">
      <c r="B16" s="213"/>
      <c r="C16" s="164" t="s">
        <v>104</v>
      </c>
      <c r="D16" s="165" t="s">
        <v>184</v>
      </c>
      <c r="E16" s="194">
        <v>2.0400000000000001E-2</v>
      </c>
      <c r="F16" s="194">
        <v>1.644E-2</v>
      </c>
      <c r="G16" s="194">
        <v>5.7600000000000004E-3</v>
      </c>
      <c r="H16" s="194">
        <v>3.0799999999999998E-3</v>
      </c>
      <c r="I16" s="194">
        <v>1.7799999999999999E-3</v>
      </c>
      <c r="J16" s="194">
        <v>1.024E-3</v>
      </c>
      <c r="K16" s="194">
        <v>1.6440000000000001E-4</v>
      </c>
      <c r="L16" s="194">
        <v>1.6440000000000001E-4</v>
      </c>
      <c r="M16" s="194">
        <v>1.6440000000000001E-4</v>
      </c>
      <c r="N16" s="194">
        <v>1.6440000000000001E-4</v>
      </c>
      <c r="O16" s="194">
        <v>1.6440000000000001E-4</v>
      </c>
      <c r="P16" s="164" t="s">
        <v>227</v>
      </c>
      <c r="Q16" s="94"/>
    </row>
    <row r="17" spans="2:17" ht="12.75" customHeight="1" x14ac:dyDescent="0.25">
      <c r="B17" s="213"/>
      <c r="C17" s="164" t="s">
        <v>105</v>
      </c>
      <c r="D17" s="165" t="s">
        <v>184</v>
      </c>
      <c r="E17" s="194">
        <v>0.35</v>
      </c>
      <c r="F17" s="194">
        <v>0.35</v>
      </c>
      <c r="G17" s="194">
        <v>0.35</v>
      </c>
      <c r="H17" s="194">
        <v>0.35</v>
      </c>
      <c r="I17" s="194">
        <v>0.35</v>
      </c>
      <c r="J17" s="194">
        <v>0.35</v>
      </c>
      <c r="K17" s="194">
        <v>0.5</v>
      </c>
      <c r="L17" s="194">
        <v>0.5</v>
      </c>
      <c r="M17" s="194">
        <v>0.5</v>
      </c>
      <c r="N17" s="194">
        <v>0.5</v>
      </c>
      <c r="O17" s="194">
        <v>0.5</v>
      </c>
      <c r="P17" s="164" t="s">
        <v>228</v>
      </c>
      <c r="Q17" s="94"/>
    </row>
    <row r="18" spans="2:17" ht="12.75" customHeight="1" x14ac:dyDescent="0.25">
      <c r="B18" s="213"/>
      <c r="C18" s="164" t="s">
        <v>106</v>
      </c>
      <c r="D18" s="165" t="s">
        <v>184</v>
      </c>
      <c r="E18" s="194">
        <v>0.65</v>
      </c>
      <c r="F18" s="194">
        <v>0.65</v>
      </c>
      <c r="G18" s="194">
        <v>0.65</v>
      </c>
      <c r="H18" s="194">
        <v>0.65</v>
      </c>
      <c r="I18" s="194">
        <v>0.65</v>
      </c>
      <c r="J18" s="194">
        <v>0.65</v>
      </c>
      <c r="K18" s="194">
        <v>0.5</v>
      </c>
      <c r="L18" s="194">
        <v>0.5</v>
      </c>
      <c r="M18" s="194">
        <v>0.5</v>
      </c>
      <c r="N18" s="194">
        <v>0.5</v>
      </c>
      <c r="O18" s="194">
        <v>0.5</v>
      </c>
      <c r="P18" s="164" t="s">
        <v>229</v>
      </c>
      <c r="Q18" s="94"/>
    </row>
    <row r="19" spans="2:17" ht="12.75" customHeight="1" x14ac:dyDescent="0.25">
      <c r="B19" s="213"/>
      <c r="C19" s="164" t="s">
        <v>107</v>
      </c>
      <c r="D19" s="165" t="s">
        <v>184</v>
      </c>
      <c r="E19" s="194">
        <v>2.3105000000000001E-2</v>
      </c>
      <c r="F19" s="194">
        <v>2.3105000000000001E-2</v>
      </c>
      <c r="G19" s="194">
        <v>2.3105000000000001E-2</v>
      </c>
      <c r="H19" s="194">
        <v>2.3105000000000001E-2</v>
      </c>
      <c r="I19" s="194">
        <v>2.3105000000000001E-2</v>
      </c>
      <c r="J19" s="194">
        <v>2.3105000000000001E-2</v>
      </c>
      <c r="K19" s="194">
        <v>2.3105000000000001E-2</v>
      </c>
      <c r="L19" s="194">
        <v>2.3105000000000001E-2</v>
      </c>
      <c r="M19" s="194">
        <v>2.3105000000000001E-2</v>
      </c>
      <c r="N19" s="194">
        <v>2.3105000000000001E-2</v>
      </c>
      <c r="O19" s="194">
        <v>2.3105000000000001E-2</v>
      </c>
      <c r="P19" s="164" t="s">
        <v>230</v>
      </c>
      <c r="Q19" s="94"/>
    </row>
    <row r="20" spans="2:17" ht="12.75" customHeight="1" x14ac:dyDescent="0.25">
      <c r="B20" s="213"/>
      <c r="C20" s="164" t="s">
        <v>108</v>
      </c>
      <c r="D20" s="165" t="s">
        <v>184</v>
      </c>
      <c r="E20" s="194">
        <v>6.9300000000000004E-4</v>
      </c>
      <c r="F20" s="194">
        <v>6.9300000000000004E-4</v>
      </c>
      <c r="G20" s="194">
        <v>6.9300000000000004E-4</v>
      </c>
      <c r="H20" s="194">
        <v>6.9300000000000004E-4</v>
      </c>
      <c r="I20" s="194">
        <v>1.9000000000000001E-4</v>
      </c>
      <c r="J20" s="194">
        <v>1.9000000000000001E-4</v>
      </c>
      <c r="K20" s="194">
        <v>1.9000000000000001E-4</v>
      </c>
      <c r="L20" s="194">
        <v>9.5E-4</v>
      </c>
      <c r="M20" s="194">
        <v>1.9E-3</v>
      </c>
      <c r="N20" s="194">
        <v>1.9E-3</v>
      </c>
      <c r="O20" s="194">
        <v>1.9E-3</v>
      </c>
      <c r="P20" s="164" t="s">
        <v>231</v>
      </c>
      <c r="Q20" s="94"/>
    </row>
    <row r="21" spans="2:17" ht="12.75" customHeight="1" x14ac:dyDescent="0.25">
      <c r="B21" s="213"/>
      <c r="C21" s="164" t="s">
        <v>109</v>
      </c>
      <c r="D21" s="165" t="s">
        <v>184</v>
      </c>
      <c r="E21" s="194">
        <v>6.9300000000000004E-4</v>
      </c>
      <c r="F21" s="194">
        <v>6.9300000000000004E-4</v>
      </c>
      <c r="G21" s="194">
        <v>6.9300000000000004E-4</v>
      </c>
      <c r="H21" s="194">
        <v>1.3860000000000001E-3</v>
      </c>
      <c r="I21" s="194">
        <v>5.6999999999999998E-4</v>
      </c>
      <c r="J21" s="194">
        <v>5.6999999999999998E-4</v>
      </c>
      <c r="K21" s="194">
        <v>5.6999999999999998E-4</v>
      </c>
      <c r="L21" s="194">
        <v>1.4250000000000001E-3</v>
      </c>
      <c r="M21" s="194">
        <v>3.0400000000000002E-3</v>
      </c>
      <c r="N21" s="194">
        <v>3.4199999999999999E-3</v>
      </c>
      <c r="O21" s="194">
        <v>3.8E-3</v>
      </c>
      <c r="P21" s="164" t="s">
        <v>232</v>
      </c>
      <c r="Q21" s="94"/>
    </row>
    <row r="22" spans="2:17" ht="12.75" customHeight="1" x14ac:dyDescent="0.25">
      <c r="B22" s="213"/>
      <c r="C22" s="164" t="s">
        <v>110</v>
      </c>
      <c r="D22" s="165" t="s">
        <v>184</v>
      </c>
      <c r="E22" s="194">
        <v>0.46200000000000002</v>
      </c>
      <c r="F22" s="194">
        <v>0.46200000000000002</v>
      </c>
      <c r="G22" s="194">
        <v>0.78539999999999999</v>
      </c>
      <c r="H22" s="194">
        <v>0.49860000000000004</v>
      </c>
      <c r="I22" s="194">
        <v>0.1946</v>
      </c>
      <c r="J22" s="194">
        <v>0.13900000000000001</v>
      </c>
      <c r="K22" s="194">
        <v>0.13900000000000001</v>
      </c>
      <c r="L22" s="194">
        <v>0.13900000000000001</v>
      </c>
      <c r="M22" s="194">
        <v>0.13900000000000001</v>
      </c>
      <c r="N22" s="194">
        <v>0.13900000000000001</v>
      </c>
      <c r="O22" s="194">
        <v>0.13900000000000001</v>
      </c>
      <c r="P22" s="164" t="s">
        <v>233</v>
      </c>
      <c r="Q22" s="94"/>
    </row>
    <row r="23" spans="2:17" ht="12.75" customHeight="1" x14ac:dyDescent="0.25">
      <c r="B23" s="213"/>
      <c r="C23" s="164" t="s">
        <v>111</v>
      </c>
      <c r="D23" s="165" t="s">
        <v>184</v>
      </c>
      <c r="E23" s="194">
        <v>2.0400000000000001E-2</v>
      </c>
      <c r="F23" s="194">
        <v>1.644E-2</v>
      </c>
      <c r="G23" s="194">
        <v>5.7600000000000004E-3</v>
      </c>
      <c r="H23" s="194">
        <v>3.62E-3</v>
      </c>
      <c r="I23" s="194">
        <v>2.64E-3</v>
      </c>
      <c r="J23" s="194">
        <v>1.9120000000000001E-3</v>
      </c>
      <c r="K23" s="194">
        <v>9.859999999999999E-4</v>
      </c>
      <c r="L23" s="194">
        <v>9.859999999999999E-4</v>
      </c>
      <c r="M23" s="194">
        <v>9.859999999999999E-4</v>
      </c>
      <c r="N23" s="194">
        <v>9.859999999999999E-4</v>
      </c>
      <c r="O23" s="194">
        <v>9.859999999999999E-4</v>
      </c>
      <c r="P23" s="164" t="s">
        <v>234</v>
      </c>
      <c r="Q23" s="94"/>
    </row>
    <row r="24" spans="2:17" ht="12.75" customHeight="1" x14ac:dyDescent="0.25">
      <c r="B24" s="213"/>
      <c r="C24" s="164" t="s">
        <v>112</v>
      </c>
      <c r="D24" s="165" t="s">
        <v>184</v>
      </c>
      <c r="E24" s="194">
        <v>0.35</v>
      </c>
      <c r="F24" s="194">
        <v>0.35</v>
      </c>
      <c r="G24" s="194">
        <v>0.35</v>
      </c>
      <c r="H24" s="194">
        <v>0.35</v>
      </c>
      <c r="I24" s="194">
        <v>0.35</v>
      </c>
      <c r="J24" s="194">
        <v>0.35</v>
      </c>
      <c r="K24" s="194">
        <v>0.5</v>
      </c>
      <c r="L24" s="194">
        <v>0.5</v>
      </c>
      <c r="M24" s="194">
        <v>0.5</v>
      </c>
      <c r="N24" s="194">
        <v>0.5</v>
      </c>
      <c r="O24" s="194">
        <v>0.5</v>
      </c>
      <c r="P24" s="164" t="s">
        <v>235</v>
      </c>
      <c r="Q24" s="94"/>
    </row>
    <row r="25" spans="2:17" ht="12.75" customHeight="1" x14ac:dyDescent="0.25">
      <c r="B25" s="213"/>
      <c r="C25" s="164" t="s">
        <v>113</v>
      </c>
      <c r="D25" s="165" t="s">
        <v>184</v>
      </c>
      <c r="E25" s="194">
        <v>0.65</v>
      </c>
      <c r="F25" s="194">
        <v>0.65</v>
      </c>
      <c r="G25" s="194">
        <v>0.65</v>
      </c>
      <c r="H25" s="194">
        <v>0.65</v>
      </c>
      <c r="I25" s="194">
        <v>0.65</v>
      </c>
      <c r="J25" s="194">
        <v>0.65</v>
      </c>
      <c r="K25" s="194">
        <v>0.5</v>
      </c>
      <c r="L25" s="194">
        <v>0.5</v>
      </c>
      <c r="M25" s="194">
        <v>0.5</v>
      </c>
      <c r="N25" s="194">
        <v>0.5</v>
      </c>
      <c r="O25" s="194">
        <v>0.5</v>
      </c>
      <c r="P25" s="164" t="s">
        <v>236</v>
      </c>
      <c r="Q25" s="94"/>
    </row>
    <row r="26" spans="2:17" ht="12.75" customHeight="1" x14ac:dyDescent="0.25">
      <c r="B26" s="213"/>
      <c r="C26" s="164" t="s">
        <v>114</v>
      </c>
      <c r="D26" s="165" t="s">
        <v>166</v>
      </c>
      <c r="E26" s="194">
        <v>0.24</v>
      </c>
      <c r="F26" s="194">
        <v>0.24</v>
      </c>
      <c r="G26" s="194">
        <v>0.14399999999999999</v>
      </c>
      <c r="H26" s="194">
        <v>0.128</v>
      </c>
      <c r="I26" s="194">
        <v>0.17899999999999999</v>
      </c>
      <c r="J26" s="194">
        <v>0.23699999999999999</v>
      </c>
      <c r="K26" s="194">
        <v>0.08</v>
      </c>
      <c r="L26" s="194">
        <v>0.08</v>
      </c>
      <c r="M26" s="194">
        <v>0.08</v>
      </c>
      <c r="N26" s="194">
        <v>0.08</v>
      </c>
      <c r="O26" s="194">
        <v>0.08</v>
      </c>
      <c r="P26" s="164" t="s">
        <v>237</v>
      </c>
      <c r="Q26" s="94"/>
    </row>
    <row r="27" spans="2:17" ht="25" x14ac:dyDescent="0.25">
      <c r="B27" s="213"/>
      <c r="C27" s="164" t="s">
        <v>115</v>
      </c>
      <c r="D27" s="165" t="s">
        <v>166</v>
      </c>
      <c r="E27" s="194">
        <v>0.2</v>
      </c>
      <c r="F27" s="194">
        <v>0.2</v>
      </c>
      <c r="G27" s="194">
        <v>0.2</v>
      </c>
      <c r="H27" s="194">
        <v>0.222</v>
      </c>
      <c r="I27" s="194">
        <v>0.25</v>
      </c>
      <c r="J27" s="194">
        <v>0.27900000000000003</v>
      </c>
      <c r="K27" s="194">
        <v>0.55600000000000005</v>
      </c>
      <c r="L27" s="194">
        <v>0.55600000000000005</v>
      </c>
      <c r="M27" s="194">
        <v>0.55600000000000005</v>
      </c>
      <c r="N27" s="194">
        <v>0.55600000000000005</v>
      </c>
      <c r="O27" s="194">
        <v>0.55600000000000005</v>
      </c>
      <c r="P27" s="177" t="s">
        <v>238</v>
      </c>
      <c r="Q27" s="94"/>
    </row>
    <row r="28" spans="2:17" ht="12.75" customHeight="1" x14ac:dyDescent="0.25">
      <c r="B28" s="213"/>
      <c r="C28" s="164" t="s">
        <v>116</v>
      </c>
      <c r="D28" s="165" t="s">
        <v>166</v>
      </c>
      <c r="E28" s="194">
        <v>4.4999999999999999E-4</v>
      </c>
      <c r="F28" s="194">
        <v>4.4999999999999999E-4</v>
      </c>
      <c r="G28" s="194">
        <v>4.4999999999999999E-4</v>
      </c>
      <c r="H28" s="194">
        <v>1.4999999999999999E-4</v>
      </c>
      <c r="I28" s="194">
        <v>1.4999999999999999E-4</v>
      </c>
      <c r="J28" s="194">
        <v>1.4999999999999999E-4</v>
      </c>
      <c r="K28" s="194">
        <v>1.4999999999999999E-4</v>
      </c>
      <c r="L28" s="194">
        <v>1.4999999999999999E-4</v>
      </c>
      <c r="M28" s="194">
        <v>1.4999999999999999E-4</v>
      </c>
      <c r="N28" s="194">
        <v>1.4999999999999999E-4</v>
      </c>
      <c r="O28" s="194">
        <v>1.4999999999999999E-4</v>
      </c>
      <c r="P28" s="164" t="s">
        <v>239</v>
      </c>
      <c r="Q28" s="94"/>
    </row>
    <row r="29" spans="2:17" ht="12.75" customHeight="1" x14ac:dyDescent="0.25">
      <c r="B29" s="213"/>
      <c r="C29" s="164" t="s">
        <v>117</v>
      </c>
      <c r="D29" s="165" t="s">
        <v>166</v>
      </c>
      <c r="E29" s="194">
        <v>8.3449999999999996E-2</v>
      </c>
      <c r="F29" s="194">
        <v>8.3449999999999996E-2</v>
      </c>
      <c r="G29" s="194">
        <v>8.3449999999999996E-2</v>
      </c>
      <c r="H29" s="194">
        <v>8.3750000000000005E-2</v>
      </c>
      <c r="I29" s="194">
        <v>8.3750000000000005E-2</v>
      </c>
      <c r="J29" s="194">
        <v>8.3750000000000005E-2</v>
      </c>
      <c r="K29" s="194">
        <v>8.8749999999999996E-2</v>
      </c>
      <c r="L29" s="194">
        <v>8.8749999999999996E-2</v>
      </c>
      <c r="M29" s="194">
        <v>8.8749999999999996E-2</v>
      </c>
      <c r="N29" s="194">
        <v>8.8749999999999996E-2</v>
      </c>
      <c r="O29" s="194">
        <v>8.8749999999999996E-2</v>
      </c>
      <c r="P29" s="164" t="s">
        <v>240</v>
      </c>
      <c r="Q29" s="94"/>
    </row>
    <row r="30" spans="2:17" ht="12.75" customHeight="1" x14ac:dyDescent="0.25">
      <c r="B30" s="213"/>
      <c r="C30" s="164" t="s">
        <v>118</v>
      </c>
      <c r="D30" s="165" t="s">
        <v>166</v>
      </c>
      <c r="E30" s="194">
        <v>0.01</v>
      </c>
      <c r="F30" s="194">
        <v>0.01</v>
      </c>
      <c r="G30" s="194">
        <v>0.01</v>
      </c>
      <c r="H30" s="194">
        <v>0.01</v>
      </c>
      <c r="I30" s="194">
        <v>0.01</v>
      </c>
      <c r="J30" s="194">
        <v>0.01</v>
      </c>
      <c r="K30" s="194">
        <v>5.0000000000000001E-3</v>
      </c>
      <c r="L30" s="194">
        <v>5.0000000000000001E-3</v>
      </c>
      <c r="M30" s="194">
        <v>5.0000000000000001E-3</v>
      </c>
      <c r="N30" s="194">
        <v>5.0000000000000001E-3</v>
      </c>
      <c r="O30" s="194">
        <v>5.0000000000000001E-3</v>
      </c>
      <c r="P30" s="164" t="s">
        <v>241</v>
      </c>
      <c r="Q30" s="94"/>
    </row>
    <row r="31" spans="2:17" ht="12.75" customHeight="1" x14ac:dyDescent="0.25">
      <c r="B31" s="213"/>
      <c r="C31" s="164" t="s">
        <v>119</v>
      </c>
      <c r="D31" s="165" t="s">
        <v>166</v>
      </c>
      <c r="E31" s="194">
        <v>1E-3</v>
      </c>
      <c r="F31" s="194">
        <v>1E-3</v>
      </c>
      <c r="G31" s="194">
        <v>1E-3</v>
      </c>
      <c r="H31" s="194">
        <v>1E-3</v>
      </c>
      <c r="I31" s="194">
        <v>1E-3</v>
      </c>
      <c r="J31" s="194">
        <v>1E-3</v>
      </c>
      <c r="K31" s="194">
        <v>1E-3</v>
      </c>
      <c r="L31" s="194">
        <v>1E-3</v>
      </c>
      <c r="M31" s="194">
        <v>1E-3</v>
      </c>
      <c r="N31" s="194">
        <v>1E-3</v>
      </c>
      <c r="O31" s="194">
        <v>1E-3</v>
      </c>
      <c r="P31" s="164" t="s">
        <v>242</v>
      </c>
      <c r="Q31" s="94"/>
    </row>
    <row r="32" spans="2:17" ht="12.75" customHeight="1" thickBot="1" x14ac:dyDescent="0.35">
      <c r="B32" s="214"/>
      <c r="C32" s="98"/>
      <c r="D32" s="98"/>
      <c r="E32" s="98"/>
      <c r="F32" s="98"/>
      <c r="G32" s="98"/>
      <c r="H32" s="98"/>
      <c r="I32" s="98"/>
      <c r="J32" s="98"/>
      <c r="K32" s="98"/>
      <c r="L32" s="98"/>
      <c r="M32" s="98"/>
      <c r="N32" s="98"/>
      <c r="O32" s="98"/>
      <c r="P32" s="98"/>
      <c r="Q32" s="197"/>
    </row>
    <row r="33" spans="3:16" ht="13" x14ac:dyDescent="0.3">
      <c r="C33" s="82"/>
      <c r="D33" s="82"/>
      <c r="E33" s="84"/>
      <c r="F33" s="84"/>
      <c r="G33" s="84"/>
      <c r="H33" s="84"/>
      <c r="I33" s="84"/>
      <c r="J33" s="84"/>
      <c r="K33" s="84"/>
      <c r="L33" s="84"/>
      <c r="M33" s="84"/>
      <c r="N33" s="84"/>
      <c r="O33" s="84"/>
      <c r="P33" s="84"/>
    </row>
    <row r="34" spans="3:16" ht="13" x14ac:dyDescent="0.3">
      <c r="C34" s="82"/>
      <c r="D34" s="82"/>
      <c r="E34" s="84"/>
      <c r="F34" s="84"/>
      <c r="G34" s="84"/>
      <c r="H34" s="84"/>
      <c r="I34" s="84"/>
      <c r="J34" s="84"/>
      <c r="K34" s="84"/>
      <c r="L34" s="84"/>
      <c r="M34" s="84"/>
      <c r="N34" s="84"/>
      <c r="O34" s="84"/>
      <c r="P34" s="84"/>
    </row>
    <row r="35" spans="3:16" ht="13" x14ac:dyDescent="0.3">
      <c r="C35" s="82"/>
      <c r="D35" s="82"/>
      <c r="E35" s="84"/>
      <c r="F35" s="84"/>
      <c r="G35" s="84"/>
      <c r="H35" s="84"/>
      <c r="I35" s="84"/>
      <c r="J35" s="84"/>
      <c r="K35" s="84"/>
      <c r="L35" s="84"/>
      <c r="M35" s="84"/>
      <c r="N35" s="84"/>
      <c r="O35" s="84"/>
      <c r="P35" s="84"/>
    </row>
    <row r="36" spans="3:16" ht="13" x14ac:dyDescent="0.3">
      <c r="C36" s="82"/>
      <c r="D36" s="82"/>
      <c r="E36" s="84"/>
      <c r="F36" s="84"/>
      <c r="G36" s="84"/>
      <c r="H36" s="84"/>
      <c r="I36" s="84"/>
      <c r="J36" s="84"/>
      <c r="K36" s="84"/>
      <c r="L36" s="84"/>
      <c r="M36" s="84"/>
      <c r="N36" s="84"/>
      <c r="O36" s="84"/>
      <c r="P36" s="84"/>
    </row>
    <row r="37" spans="3:16" ht="13" x14ac:dyDescent="0.3">
      <c r="C37" s="82"/>
      <c r="D37" s="82"/>
      <c r="E37" s="84"/>
      <c r="F37" s="84"/>
      <c r="G37" s="84"/>
      <c r="H37" s="84"/>
      <c r="I37" s="84"/>
      <c r="J37" s="84"/>
      <c r="K37" s="84"/>
      <c r="L37" s="84"/>
      <c r="M37" s="84"/>
      <c r="N37" s="84"/>
      <c r="O37" s="84"/>
      <c r="P37" s="84"/>
    </row>
    <row r="38" spans="3:16" ht="13" x14ac:dyDescent="0.3">
      <c r="C38" s="82"/>
      <c r="D38" s="82"/>
      <c r="E38" s="84"/>
      <c r="F38" s="84"/>
      <c r="G38" s="84"/>
      <c r="H38" s="84"/>
      <c r="I38" s="84"/>
      <c r="J38" s="84"/>
      <c r="K38" s="84"/>
      <c r="L38" s="84"/>
      <c r="M38" s="84"/>
      <c r="N38" s="84"/>
      <c r="O38" s="84"/>
      <c r="P38" s="84"/>
    </row>
    <row r="39" spans="3:16" ht="13" x14ac:dyDescent="0.3">
      <c r="C39" s="82"/>
      <c r="D39" s="82"/>
      <c r="E39" s="84"/>
      <c r="F39" s="84"/>
      <c r="G39" s="84"/>
      <c r="H39" s="84"/>
      <c r="I39" s="84"/>
      <c r="J39" s="84"/>
      <c r="K39" s="84"/>
      <c r="L39" s="84"/>
      <c r="M39" s="84"/>
      <c r="N39" s="84"/>
      <c r="O39" s="84"/>
      <c r="P39" s="84"/>
    </row>
    <row r="40" spans="3:16" ht="13" x14ac:dyDescent="0.3">
      <c r="C40" s="82"/>
      <c r="D40" s="82"/>
      <c r="E40" s="84"/>
      <c r="F40" s="84"/>
      <c r="G40" s="84"/>
      <c r="H40" s="84"/>
      <c r="I40" s="84"/>
      <c r="J40" s="84"/>
      <c r="K40" s="84"/>
      <c r="L40" s="84"/>
      <c r="M40" s="84"/>
      <c r="N40" s="84"/>
      <c r="O40" s="84"/>
      <c r="P40" s="84"/>
    </row>
    <row r="41" spans="3:16" ht="13" x14ac:dyDescent="0.3">
      <c r="C41" s="82"/>
      <c r="D41" s="82"/>
      <c r="E41" s="84"/>
      <c r="F41" s="84"/>
      <c r="G41" s="84"/>
      <c r="H41" s="84"/>
      <c r="I41" s="84"/>
      <c r="J41" s="84"/>
      <c r="K41" s="84"/>
      <c r="L41" s="84"/>
      <c r="M41" s="84"/>
      <c r="N41" s="84"/>
      <c r="O41" s="84"/>
      <c r="P41" s="84"/>
    </row>
    <row r="42" spans="3:16" ht="13" x14ac:dyDescent="0.3">
      <c r="C42" s="82"/>
      <c r="D42" s="82"/>
      <c r="E42" s="84"/>
      <c r="F42" s="84"/>
      <c r="G42" s="84"/>
      <c r="H42" s="84"/>
      <c r="I42" s="84"/>
      <c r="J42" s="84"/>
      <c r="K42" s="84"/>
      <c r="L42" s="84"/>
      <c r="M42" s="84"/>
      <c r="N42" s="84"/>
      <c r="O42" s="84"/>
      <c r="P42" s="84"/>
    </row>
    <row r="43" spans="3:16" ht="13" x14ac:dyDescent="0.3">
      <c r="C43" s="82"/>
      <c r="D43" s="82"/>
      <c r="E43" s="84"/>
      <c r="F43" s="84"/>
      <c r="G43" s="84"/>
      <c r="H43" s="84"/>
      <c r="I43" s="84"/>
      <c r="J43" s="84"/>
      <c r="K43" s="84"/>
      <c r="L43" s="84"/>
      <c r="M43" s="84"/>
      <c r="N43" s="84"/>
      <c r="O43" s="84"/>
      <c r="P43" s="84"/>
    </row>
    <row r="44" spans="3:16" ht="13" x14ac:dyDescent="0.3">
      <c r="C44" s="82"/>
      <c r="D44" s="82"/>
      <c r="E44" s="84"/>
      <c r="F44" s="84"/>
      <c r="G44" s="84"/>
      <c r="H44" s="84"/>
      <c r="I44" s="84"/>
      <c r="J44" s="84"/>
      <c r="K44" s="84"/>
      <c r="L44" s="84"/>
      <c r="M44" s="84"/>
      <c r="N44" s="84"/>
      <c r="O44" s="84"/>
      <c r="P44" s="84"/>
    </row>
    <row r="45" spans="3:16" ht="13" x14ac:dyDescent="0.3">
      <c r="C45" s="82"/>
      <c r="D45" s="82"/>
      <c r="E45" s="84"/>
      <c r="F45" s="84"/>
      <c r="G45" s="84"/>
      <c r="H45" s="84"/>
      <c r="I45" s="84"/>
      <c r="J45" s="84"/>
      <c r="K45" s="84"/>
      <c r="L45" s="84"/>
      <c r="M45" s="84"/>
      <c r="N45" s="84"/>
      <c r="O45" s="84"/>
      <c r="P45" s="84"/>
    </row>
    <row r="46" spans="3:16" ht="13" x14ac:dyDescent="0.3">
      <c r="C46" s="82"/>
      <c r="D46" s="82"/>
      <c r="E46" s="84"/>
      <c r="F46" s="84"/>
      <c r="G46" s="84"/>
      <c r="H46" s="84"/>
      <c r="I46" s="84"/>
      <c r="J46" s="84"/>
      <c r="K46" s="84"/>
      <c r="L46" s="84"/>
      <c r="M46" s="84"/>
      <c r="N46" s="84"/>
      <c r="O46" s="84"/>
      <c r="P46" s="84"/>
    </row>
    <row r="47" spans="3:16" ht="13" x14ac:dyDescent="0.3">
      <c r="C47" s="82"/>
      <c r="D47" s="82"/>
      <c r="E47" s="84"/>
      <c r="F47" s="84"/>
      <c r="G47" s="84"/>
      <c r="H47" s="84"/>
      <c r="I47" s="84"/>
      <c r="J47" s="84"/>
      <c r="K47" s="84"/>
      <c r="L47" s="84"/>
      <c r="M47" s="84"/>
      <c r="N47" s="84"/>
      <c r="O47" s="84"/>
      <c r="P47" s="84"/>
    </row>
    <row r="48" spans="3:16" ht="13" x14ac:dyDescent="0.3">
      <c r="C48" s="82"/>
      <c r="D48" s="82"/>
      <c r="E48" s="84"/>
      <c r="F48" s="84"/>
      <c r="G48" s="84"/>
      <c r="H48" s="84"/>
      <c r="I48" s="84"/>
      <c r="J48" s="84"/>
      <c r="K48" s="84"/>
      <c r="L48" s="84"/>
      <c r="M48" s="84"/>
      <c r="N48" s="84"/>
      <c r="O48" s="84"/>
      <c r="P48" s="84"/>
    </row>
    <row r="49" spans="3:16" ht="13" x14ac:dyDescent="0.3">
      <c r="C49" s="82"/>
      <c r="D49" s="82"/>
      <c r="E49" s="84"/>
      <c r="F49" s="84"/>
      <c r="G49" s="84"/>
      <c r="H49" s="84"/>
      <c r="I49" s="84"/>
      <c r="J49" s="84"/>
      <c r="K49" s="84"/>
      <c r="L49" s="84"/>
      <c r="M49" s="84"/>
      <c r="N49" s="84"/>
      <c r="O49" s="84"/>
      <c r="P49" s="84"/>
    </row>
    <row r="50" spans="3:16" ht="13" x14ac:dyDescent="0.3">
      <c r="C50" s="82"/>
      <c r="D50" s="82"/>
      <c r="E50" s="84"/>
      <c r="F50" s="84"/>
      <c r="G50" s="84"/>
      <c r="H50" s="84"/>
      <c r="I50" s="84"/>
      <c r="J50" s="84"/>
      <c r="K50" s="84"/>
      <c r="L50" s="84"/>
      <c r="M50" s="84"/>
      <c r="N50" s="84"/>
      <c r="O50" s="84"/>
      <c r="P50" s="84"/>
    </row>
    <row r="51" spans="3:16" ht="13" x14ac:dyDescent="0.3">
      <c r="C51" s="82"/>
      <c r="D51" s="82"/>
      <c r="E51" s="84"/>
      <c r="F51" s="84"/>
      <c r="G51" s="84"/>
      <c r="H51" s="84"/>
      <c r="I51" s="84"/>
      <c r="J51" s="84"/>
      <c r="K51" s="84"/>
      <c r="L51" s="84"/>
      <c r="M51" s="84"/>
      <c r="N51" s="84"/>
      <c r="O51" s="84"/>
      <c r="P51" s="84"/>
    </row>
    <row r="52" spans="3:16" ht="13" x14ac:dyDescent="0.3">
      <c r="C52" s="82"/>
      <c r="D52" s="82"/>
      <c r="E52" s="84"/>
      <c r="F52" s="84"/>
      <c r="G52" s="84"/>
      <c r="H52" s="84"/>
      <c r="I52" s="84"/>
      <c r="J52" s="84"/>
      <c r="K52" s="84"/>
      <c r="L52" s="84"/>
      <c r="M52" s="84"/>
      <c r="N52" s="84"/>
      <c r="O52" s="84"/>
      <c r="P52" s="84"/>
    </row>
    <row r="53" spans="3:16" ht="13" x14ac:dyDescent="0.3">
      <c r="C53" s="82"/>
      <c r="D53" s="82"/>
      <c r="E53" s="84"/>
      <c r="F53" s="84"/>
      <c r="G53" s="84"/>
      <c r="H53" s="84"/>
      <c r="I53" s="84"/>
      <c r="J53" s="84"/>
      <c r="K53" s="84"/>
      <c r="L53" s="84"/>
      <c r="M53" s="84"/>
      <c r="N53" s="84"/>
      <c r="O53" s="84"/>
      <c r="P53" s="84"/>
    </row>
    <row r="54" spans="3:16" ht="13" x14ac:dyDescent="0.3">
      <c r="C54" s="82"/>
      <c r="D54" s="82"/>
      <c r="E54" s="84"/>
      <c r="F54" s="84"/>
      <c r="G54" s="84"/>
      <c r="H54" s="84"/>
      <c r="I54" s="84"/>
      <c r="J54" s="84"/>
      <c r="K54" s="84"/>
      <c r="L54" s="84"/>
      <c r="M54" s="84"/>
      <c r="N54" s="84"/>
      <c r="O54" s="84"/>
      <c r="P54" s="84"/>
    </row>
    <row r="55" spans="3:16" ht="13" x14ac:dyDescent="0.3">
      <c r="C55" s="82"/>
      <c r="D55" s="82"/>
      <c r="E55" s="84"/>
      <c r="F55" s="84"/>
      <c r="G55" s="84"/>
      <c r="H55" s="84"/>
      <c r="I55" s="84"/>
      <c r="J55" s="84"/>
      <c r="K55" s="84"/>
      <c r="L55" s="84"/>
      <c r="M55" s="84"/>
      <c r="N55" s="84"/>
      <c r="O55" s="84"/>
      <c r="P55" s="84"/>
    </row>
    <row r="56" spans="3:16" ht="13" x14ac:dyDescent="0.3">
      <c r="C56" s="82"/>
      <c r="D56" s="82"/>
      <c r="E56" s="84"/>
      <c r="F56" s="84"/>
      <c r="G56" s="84"/>
      <c r="H56" s="84"/>
      <c r="I56" s="84"/>
      <c r="J56" s="84"/>
      <c r="K56" s="84"/>
      <c r="L56" s="84"/>
      <c r="M56" s="84"/>
      <c r="N56" s="84"/>
      <c r="O56" s="84"/>
      <c r="P56" s="84"/>
    </row>
    <row r="57" spans="3:16" ht="13" x14ac:dyDescent="0.3">
      <c r="C57" s="82"/>
      <c r="D57" s="82"/>
      <c r="E57" s="84"/>
      <c r="F57" s="84"/>
      <c r="G57" s="84"/>
      <c r="H57" s="84"/>
      <c r="I57" s="84"/>
      <c r="J57" s="84"/>
      <c r="K57" s="84"/>
      <c r="L57" s="84"/>
      <c r="M57" s="84"/>
      <c r="N57" s="84"/>
      <c r="O57" s="84"/>
      <c r="P57" s="84"/>
    </row>
    <row r="58" spans="3:16" ht="13" x14ac:dyDescent="0.3">
      <c r="C58" s="82"/>
      <c r="D58" s="82"/>
      <c r="E58" s="84"/>
      <c r="F58" s="84"/>
      <c r="G58" s="84"/>
      <c r="H58" s="84"/>
      <c r="I58" s="84"/>
      <c r="J58" s="84"/>
      <c r="K58" s="84"/>
      <c r="L58" s="84"/>
      <c r="M58" s="84"/>
      <c r="N58" s="84"/>
      <c r="O58" s="84"/>
      <c r="P58" s="84"/>
    </row>
    <row r="59" spans="3:16" ht="13" x14ac:dyDescent="0.3">
      <c r="C59" s="82"/>
      <c r="D59" s="82"/>
      <c r="E59" s="84"/>
      <c r="F59" s="84"/>
      <c r="G59" s="84"/>
      <c r="H59" s="84"/>
      <c r="I59" s="84"/>
      <c r="J59" s="84"/>
      <c r="K59" s="84"/>
      <c r="L59" s="84"/>
      <c r="M59" s="84"/>
      <c r="N59" s="84"/>
      <c r="O59" s="84"/>
      <c r="P59" s="84"/>
    </row>
    <row r="60" spans="3:16" ht="13" x14ac:dyDescent="0.3">
      <c r="C60" s="82"/>
      <c r="D60" s="82"/>
      <c r="E60" s="84"/>
      <c r="F60" s="84"/>
      <c r="G60" s="84"/>
      <c r="H60" s="84"/>
      <c r="I60" s="84"/>
      <c r="J60" s="84"/>
      <c r="K60" s="84"/>
      <c r="L60" s="84"/>
      <c r="M60" s="84"/>
      <c r="N60" s="84"/>
      <c r="O60" s="84"/>
      <c r="P60" s="84"/>
    </row>
    <row r="61" spans="3:16" ht="13" x14ac:dyDescent="0.3">
      <c r="C61" s="82"/>
      <c r="D61" s="82"/>
      <c r="E61" s="84"/>
      <c r="F61" s="84"/>
      <c r="G61" s="84"/>
      <c r="H61" s="84"/>
      <c r="I61" s="84"/>
      <c r="J61" s="84"/>
      <c r="K61" s="84"/>
      <c r="L61" s="84"/>
      <c r="M61" s="84"/>
      <c r="N61" s="84"/>
      <c r="O61" s="84"/>
      <c r="P61" s="84"/>
    </row>
    <row r="62" spans="3:16" ht="13" x14ac:dyDescent="0.3">
      <c r="C62" s="82"/>
      <c r="D62" s="82"/>
      <c r="E62" s="84"/>
      <c r="F62" s="84"/>
      <c r="G62" s="84"/>
      <c r="H62" s="84"/>
      <c r="I62" s="84"/>
      <c r="J62" s="84"/>
      <c r="K62" s="84"/>
      <c r="L62" s="84"/>
      <c r="M62" s="84"/>
      <c r="N62" s="84"/>
      <c r="O62" s="84"/>
      <c r="P62" s="84"/>
    </row>
    <row r="63" spans="3:16" ht="13" x14ac:dyDescent="0.3">
      <c r="C63" s="82"/>
      <c r="D63" s="82"/>
      <c r="E63" s="84"/>
      <c r="F63" s="84"/>
      <c r="G63" s="84"/>
      <c r="H63" s="84"/>
      <c r="I63" s="84"/>
      <c r="J63" s="84"/>
      <c r="K63" s="84"/>
      <c r="L63" s="84"/>
      <c r="M63" s="84"/>
      <c r="N63" s="84"/>
      <c r="O63" s="84"/>
      <c r="P63" s="84"/>
    </row>
    <row r="64" spans="3:16" ht="13" x14ac:dyDescent="0.3">
      <c r="C64" s="82"/>
      <c r="D64" s="82"/>
      <c r="E64" s="84"/>
      <c r="F64" s="84"/>
      <c r="G64" s="84"/>
      <c r="H64" s="84"/>
      <c r="I64" s="84"/>
      <c r="J64" s="84"/>
      <c r="K64" s="84"/>
      <c r="L64" s="84"/>
      <c r="M64" s="84"/>
      <c r="N64" s="84"/>
      <c r="O64" s="84"/>
      <c r="P64" s="84"/>
    </row>
    <row r="65" spans="3:16" ht="13" x14ac:dyDescent="0.3">
      <c r="C65" s="82"/>
      <c r="D65" s="82"/>
      <c r="E65" s="84"/>
      <c r="F65" s="84"/>
      <c r="G65" s="84"/>
      <c r="H65" s="84"/>
      <c r="I65" s="84"/>
      <c r="J65" s="84"/>
      <c r="K65" s="84"/>
      <c r="L65" s="84"/>
      <c r="M65" s="84"/>
      <c r="N65" s="84"/>
      <c r="O65" s="84"/>
      <c r="P65" s="84"/>
    </row>
    <row r="66" spans="3:16" ht="13" x14ac:dyDescent="0.3">
      <c r="C66" s="82"/>
      <c r="D66" s="82"/>
      <c r="E66" s="84"/>
      <c r="F66" s="84"/>
      <c r="G66" s="84"/>
      <c r="H66" s="84"/>
      <c r="I66" s="84"/>
      <c r="J66" s="84"/>
      <c r="K66" s="84"/>
      <c r="L66" s="84"/>
      <c r="M66" s="84"/>
      <c r="N66" s="84"/>
      <c r="O66" s="84"/>
      <c r="P66" s="84"/>
    </row>
    <row r="67" spans="3:16" ht="13" x14ac:dyDescent="0.3">
      <c r="C67" s="82"/>
      <c r="D67" s="82"/>
      <c r="E67" s="84"/>
      <c r="F67" s="84"/>
      <c r="G67" s="84"/>
      <c r="H67" s="84"/>
      <c r="I67" s="84"/>
      <c r="J67" s="84"/>
      <c r="K67" s="84"/>
      <c r="L67" s="84"/>
      <c r="M67" s="84"/>
      <c r="N67" s="84"/>
      <c r="O67" s="84"/>
      <c r="P67" s="84"/>
    </row>
    <row r="68" spans="3:16" ht="13" x14ac:dyDescent="0.3">
      <c r="C68" s="82"/>
      <c r="D68" s="82"/>
      <c r="E68" s="84"/>
      <c r="F68" s="84"/>
      <c r="G68" s="84"/>
      <c r="H68" s="84"/>
      <c r="I68" s="84"/>
      <c r="J68" s="84"/>
      <c r="K68" s="84"/>
      <c r="L68" s="84"/>
      <c r="M68" s="84"/>
      <c r="N68" s="84"/>
      <c r="O68" s="84"/>
      <c r="P68" s="84"/>
    </row>
    <row r="69" spans="3:16" ht="13" x14ac:dyDescent="0.3">
      <c r="C69" s="82"/>
      <c r="D69" s="82"/>
      <c r="E69" s="84"/>
      <c r="F69" s="84"/>
      <c r="G69" s="84"/>
      <c r="H69" s="84"/>
      <c r="I69" s="84"/>
      <c r="J69" s="84"/>
      <c r="K69" s="84"/>
      <c r="L69" s="84"/>
      <c r="M69" s="84"/>
      <c r="N69" s="84"/>
      <c r="O69" s="84"/>
      <c r="P69" s="84"/>
    </row>
    <row r="70" spans="3:16" ht="13" x14ac:dyDescent="0.3">
      <c r="C70" s="82"/>
      <c r="D70" s="82"/>
      <c r="E70" s="84"/>
      <c r="F70" s="84"/>
      <c r="G70" s="84"/>
      <c r="H70" s="84"/>
      <c r="I70" s="84"/>
      <c r="J70" s="84"/>
      <c r="K70" s="84"/>
      <c r="L70" s="84"/>
      <c r="M70" s="84"/>
      <c r="N70" s="84"/>
      <c r="O70" s="84"/>
      <c r="P70" s="84"/>
    </row>
    <row r="71" spans="3:16" ht="13" x14ac:dyDescent="0.3">
      <c r="C71" s="82"/>
      <c r="D71" s="82"/>
      <c r="E71" s="84"/>
      <c r="F71" s="84"/>
      <c r="G71" s="84"/>
      <c r="H71" s="84"/>
      <c r="I71" s="84"/>
      <c r="J71" s="84"/>
      <c r="K71" s="84"/>
      <c r="L71" s="84"/>
      <c r="M71" s="84"/>
      <c r="N71" s="84"/>
      <c r="O71" s="84"/>
      <c r="P71" s="84"/>
    </row>
    <row r="72" spans="3:16" ht="13" x14ac:dyDescent="0.3">
      <c r="C72" s="82"/>
      <c r="D72" s="82"/>
      <c r="E72" s="84"/>
      <c r="F72" s="84"/>
      <c r="G72" s="84"/>
      <c r="H72" s="84"/>
      <c r="I72" s="84"/>
      <c r="J72" s="84"/>
      <c r="K72" s="84"/>
      <c r="L72" s="84"/>
      <c r="M72" s="84"/>
      <c r="N72" s="84"/>
      <c r="O72" s="84"/>
      <c r="P72" s="84"/>
    </row>
    <row r="73" spans="3:16" ht="13" x14ac:dyDescent="0.3">
      <c r="C73" s="82"/>
      <c r="D73" s="82"/>
      <c r="E73" s="84"/>
      <c r="F73" s="84"/>
      <c r="G73" s="84"/>
      <c r="H73" s="84"/>
      <c r="I73" s="84"/>
      <c r="J73" s="84"/>
      <c r="K73" s="84"/>
      <c r="L73" s="84"/>
      <c r="M73" s="84"/>
      <c r="N73" s="84"/>
      <c r="O73" s="84"/>
      <c r="P73" s="84"/>
    </row>
    <row r="74" spans="3:16" ht="13" x14ac:dyDescent="0.3">
      <c r="C74" s="82"/>
      <c r="D74" s="82"/>
      <c r="E74" s="84"/>
      <c r="F74" s="84"/>
      <c r="G74" s="84"/>
      <c r="H74" s="84"/>
      <c r="I74" s="84"/>
      <c r="J74" s="84"/>
      <c r="K74" s="84"/>
      <c r="L74" s="84"/>
      <c r="M74" s="84"/>
      <c r="N74" s="84"/>
      <c r="O74" s="84"/>
      <c r="P74" s="84"/>
    </row>
    <row r="75" spans="3:16" ht="13" x14ac:dyDescent="0.3">
      <c r="C75" s="82"/>
      <c r="D75" s="82"/>
      <c r="E75" s="84"/>
      <c r="F75" s="84"/>
      <c r="G75" s="84"/>
      <c r="H75" s="84"/>
      <c r="I75" s="84"/>
      <c r="J75" s="84"/>
      <c r="K75" s="84"/>
      <c r="L75" s="84"/>
      <c r="M75" s="84"/>
      <c r="N75" s="84"/>
      <c r="O75" s="84"/>
      <c r="P75" s="84"/>
    </row>
    <row r="76" spans="3:16" ht="13" x14ac:dyDescent="0.3">
      <c r="C76" s="82"/>
      <c r="D76" s="82"/>
      <c r="E76" s="84"/>
      <c r="F76" s="84"/>
      <c r="G76" s="84"/>
      <c r="H76" s="84"/>
      <c r="I76" s="84"/>
      <c r="J76" s="84"/>
      <c r="K76" s="84"/>
      <c r="L76" s="84"/>
      <c r="M76" s="84"/>
      <c r="N76" s="84"/>
      <c r="O76" s="84"/>
      <c r="P76" s="84"/>
    </row>
    <row r="77" spans="3:16" ht="13" x14ac:dyDescent="0.3">
      <c r="C77" s="82"/>
      <c r="D77" s="82"/>
      <c r="E77" s="84"/>
      <c r="F77" s="84"/>
      <c r="G77" s="84"/>
      <c r="H77" s="84"/>
      <c r="I77" s="84"/>
      <c r="J77" s="84"/>
      <c r="K77" s="84"/>
      <c r="L77" s="84"/>
      <c r="M77" s="84"/>
      <c r="N77" s="84"/>
      <c r="O77" s="84"/>
      <c r="P77" s="84"/>
    </row>
    <row r="78" spans="3:16" ht="13" x14ac:dyDescent="0.3">
      <c r="C78" s="82"/>
      <c r="D78" s="82"/>
      <c r="E78" s="84"/>
      <c r="F78" s="84"/>
      <c r="G78" s="84"/>
      <c r="H78" s="84"/>
      <c r="I78" s="84"/>
      <c r="J78" s="84"/>
      <c r="K78" s="84"/>
      <c r="L78" s="84"/>
      <c r="M78" s="84"/>
      <c r="N78" s="84"/>
      <c r="O78" s="84"/>
      <c r="P78" s="84"/>
    </row>
    <row r="79" spans="3:16" ht="13" x14ac:dyDescent="0.3">
      <c r="C79" s="82"/>
      <c r="D79" s="82"/>
      <c r="E79" s="84"/>
      <c r="F79" s="84"/>
      <c r="G79" s="84"/>
      <c r="H79" s="84"/>
      <c r="I79" s="84"/>
      <c r="J79" s="84"/>
      <c r="K79" s="84"/>
      <c r="L79" s="84"/>
      <c r="M79" s="84"/>
      <c r="N79" s="84"/>
      <c r="O79" s="84"/>
      <c r="P79" s="84"/>
    </row>
    <row r="80" spans="3:16" ht="13" x14ac:dyDescent="0.3">
      <c r="C80" s="82"/>
      <c r="D80" s="82"/>
      <c r="E80" s="84"/>
      <c r="F80" s="84"/>
      <c r="G80" s="84"/>
      <c r="H80" s="84"/>
      <c r="I80" s="84"/>
      <c r="J80" s="84"/>
      <c r="K80" s="84"/>
      <c r="L80" s="84"/>
      <c r="M80" s="84"/>
      <c r="N80" s="84"/>
      <c r="O80" s="84"/>
      <c r="P80" s="84"/>
    </row>
    <row r="81" spans="3:16" ht="13" x14ac:dyDescent="0.3">
      <c r="C81" s="82"/>
      <c r="D81" s="82"/>
      <c r="E81" s="84"/>
      <c r="F81" s="84"/>
      <c r="G81" s="84"/>
      <c r="H81" s="84"/>
      <c r="I81" s="84"/>
      <c r="J81" s="84"/>
      <c r="K81" s="84"/>
      <c r="L81" s="84"/>
      <c r="M81" s="84"/>
      <c r="N81" s="84"/>
      <c r="O81" s="84"/>
      <c r="P81" s="84"/>
    </row>
    <row r="82" spans="3:16" ht="13" x14ac:dyDescent="0.3">
      <c r="C82" s="82"/>
      <c r="D82" s="82"/>
      <c r="E82" s="84"/>
      <c r="F82" s="84"/>
      <c r="G82" s="84"/>
      <c r="H82" s="84"/>
      <c r="I82" s="84"/>
      <c r="J82" s="84"/>
      <c r="K82" s="84"/>
      <c r="L82" s="84"/>
      <c r="M82" s="84"/>
      <c r="N82" s="84"/>
      <c r="O82" s="84"/>
      <c r="P82" s="84"/>
    </row>
    <row r="83" spans="3:16" ht="13" x14ac:dyDescent="0.3">
      <c r="C83" s="82"/>
      <c r="D83" s="82"/>
      <c r="E83" s="84"/>
      <c r="F83" s="84"/>
      <c r="G83" s="84"/>
      <c r="H83" s="84"/>
      <c r="I83" s="84"/>
      <c r="J83" s="84"/>
      <c r="K83" s="84"/>
      <c r="L83" s="84"/>
      <c r="M83" s="84"/>
      <c r="N83" s="84"/>
      <c r="O83" s="84"/>
      <c r="P83" s="84"/>
    </row>
    <row r="84" spans="3:16" ht="13" x14ac:dyDescent="0.3">
      <c r="C84" s="82"/>
      <c r="D84" s="82"/>
      <c r="E84" s="84"/>
      <c r="F84" s="84"/>
      <c r="G84" s="84"/>
      <c r="H84" s="84"/>
      <c r="I84" s="84"/>
      <c r="J84" s="84"/>
      <c r="K84" s="84"/>
      <c r="L84" s="84"/>
      <c r="M84" s="84"/>
      <c r="N84" s="84"/>
      <c r="O84" s="84"/>
      <c r="P84" s="84"/>
    </row>
    <row r="85" spans="3:16" ht="13" x14ac:dyDescent="0.3">
      <c r="C85" s="82"/>
      <c r="D85" s="82"/>
      <c r="E85" s="84"/>
      <c r="F85" s="84"/>
      <c r="G85" s="84"/>
      <c r="H85" s="84"/>
      <c r="I85" s="84"/>
      <c r="J85" s="84"/>
      <c r="K85" s="84"/>
      <c r="L85" s="84"/>
      <c r="M85" s="84"/>
      <c r="N85" s="84"/>
      <c r="O85" s="84"/>
      <c r="P85" s="84"/>
    </row>
    <row r="86" spans="3:16" ht="13" x14ac:dyDescent="0.3">
      <c r="C86" s="82"/>
      <c r="D86" s="82"/>
      <c r="E86" s="84"/>
      <c r="F86" s="84"/>
      <c r="G86" s="84"/>
      <c r="H86" s="84"/>
      <c r="I86" s="84"/>
      <c r="J86" s="84"/>
      <c r="K86" s="84"/>
      <c r="L86" s="84"/>
      <c r="M86" s="84"/>
      <c r="N86" s="84"/>
      <c r="O86" s="84"/>
      <c r="P86" s="84"/>
    </row>
    <row r="87" spans="3:16" ht="13" x14ac:dyDescent="0.3">
      <c r="C87" s="82"/>
      <c r="D87" s="82"/>
      <c r="E87" s="84"/>
      <c r="F87" s="84"/>
      <c r="G87" s="84"/>
      <c r="H87" s="84"/>
      <c r="I87" s="84"/>
      <c r="J87" s="84"/>
      <c r="K87" s="84"/>
      <c r="L87" s="84"/>
      <c r="M87" s="84"/>
      <c r="N87" s="84"/>
      <c r="O87" s="84"/>
      <c r="P87" s="84"/>
    </row>
    <row r="88" spans="3:16" ht="13" x14ac:dyDescent="0.3">
      <c r="C88" s="82"/>
      <c r="D88" s="82"/>
      <c r="E88" s="84"/>
      <c r="F88" s="84"/>
      <c r="G88" s="84"/>
      <c r="H88" s="84"/>
      <c r="I88" s="84"/>
      <c r="J88" s="84"/>
      <c r="K88" s="84"/>
      <c r="L88" s="84"/>
      <c r="M88" s="84"/>
      <c r="N88" s="84"/>
      <c r="O88" s="84"/>
      <c r="P88" s="84"/>
    </row>
    <row r="89" spans="3:16" ht="13" x14ac:dyDescent="0.3">
      <c r="C89" s="101"/>
      <c r="D89" s="101"/>
      <c r="E89" s="84"/>
      <c r="F89" s="84"/>
      <c r="G89" s="84"/>
      <c r="H89" s="84"/>
      <c r="I89" s="84"/>
      <c r="J89" s="84"/>
      <c r="K89" s="84"/>
      <c r="L89" s="84"/>
      <c r="M89" s="84"/>
      <c r="N89" s="84"/>
      <c r="O89" s="84"/>
      <c r="P89" s="84"/>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624F4-A8AE-4B1A-9B6C-FC0CCB437C97}">
  <sheetPr codeName="Sheet21">
    <tabColor rgb="FF833C0C"/>
  </sheetPr>
  <dimension ref="B1:DD159"/>
  <sheetViews>
    <sheetView showGridLines="0" topLeftCell="A10" zoomScale="120" zoomScaleNormal="120" workbookViewId="0">
      <selection activeCell="L161" sqref="L161"/>
    </sheetView>
  </sheetViews>
  <sheetFormatPr defaultColWidth="8.7265625" defaultRowHeight="12.5" x14ac:dyDescent="0.25"/>
  <cols>
    <col min="1" max="1" width="1" style="19" customWidth="1"/>
    <col min="2" max="2" width="7" style="19" customWidth="1"/>
    <col min="3" max="3" width="22.26953125" style="19" bestFit="1" customWidth="1"/>
    <col min="4" max="4" width="15.26953125" style="19" bestFit="1" customWidth="1"/>
    <col min="5" max="5" width="19" style="19" customWidth="1"/>
    <col min="6" max="6" width="14.453125" style="19" customWidth="1"/>
    <col min="7" max="7" width="13.7265625" style="19" customWidth="1"/>
    <col min="8" max="8" width="14.26953125" style="313" customWidth="1"/>
    <col min="9" max="9" width="12" style="19" customWidth="1"/>
    <col min="10" max="10" width="13.26953125" style="19" customWidth="1"/>
    <col min="11" max="11" width="12.26953125" style="19" customWidth="1"/>
    <col min="12" max="12" width="11.54296875" style="19" customWidth="1"/>
    <col min="13" max="14" width="10.26953125" style="19" customWidth="1"/>
    <col min="15" max="37" width="8.7265625" style="19"/>
    <col min="38" max="38" width="19.54296875" style="19" customWidth="1"/>
    <col min="39" max="39" width="18.7265625" style="19" customWidth="1"/>
    <col min="40" max="40" width="16.26953125" style="19" customWidth="1"/>
    <col min="41" max="52" width="8.7265625" style="19"/>
    <col min="53" max="54" width="8.7265625" style="19" customWidth="1"/>
    <col min="55" max="55" width="4.1796875" style="155" customWidth="1"/>
    <col min="56" max="56" width="9.81640625" style="155" customWidth="1"/>
    <col min="57" max="57" width="14.1796875" style="19" customWidth="1"/>
    <col min="58" max="58" width="25.26953125" style="19" customWidth="1"/>
    <col min="59" max="59" width="15.453125" style="19" customWidth="1"/>
    <col min="60" max="60" width="13.81640625" style="19" customWidth="1"/>
    <col min="61" max="61" width="8.7265625" style="19"/>
    <col min="62" max="62" width="13.7265625" style="19" customWidth="1"/>
    <col min="63" max="16384" width="8.7265625" style="19"/>
  </cols>
  <sheetData>
    <row r="1" spans="2:108" ht="5.65" customHeight="1" thickBot="1" x14ac:dyDescent="0.3"/>
    <row r="2" spans="2:108" x14ac:dyDescent="0.25">
      <c r="B2" s="109"/>
      <c r="C2" s="110"/>
      <c r="D2" s="111"/>
      <c r="E2" s="111"/>
      <c r="F2" s="111"/>
      <c r="G2" s="111"/>
      <c r="H2" s="373"/>
      <c r="I2" s="111"/>
      <c r="J2" s="111"/>
      <c r="K2" s="111"/>
      <c r="L2" s="111"/>
      <c r="M2" s="111"/>
      <c r="N2" s="111"/>
      <c r="O2" s="111"/>
      <c r="P2" s="111"/>
      <c r="Q2" s="111"/>
      <c r="R2" s="111"/>
      <c r="S2" s="111"/>
      <c r="T2" s="111"/>
      <c r="U2" s="111"/>
      <c r="V2" s="111"/>
      <c r="W2" s="111"/>
      <c r="X2" s="111"/>
      <c r="Y2" s="111"/>
      <c r="Z2" s="120"/>
      <c r="AA2" s="108"/>
      <c r="AB2" s="108"/>
      <c r="AC2" s="108"/>
      <c r="AD2" s="108"/>
      <c r="AE2" s="108"/>
      <c r="AF2" s="108"/>
      <c r="AG2" s="108"/>
      <c r="AH2" s="108"/>
      <c r="AI2" s="108"/>
    </row>
    <row r="3" spans="2:108" ht="25" customHeight="1" x14ac:dyDescent="0.5">
      <c r="B3" s="348" t="s">
        <v>243</v>
      </c>
      <c r="C3" s="112"/>
      <c r="D3" s="114"/>
      <c r="E3" s="113"/>
      <c r="F3" s="113"/>
      <c r="G3" s="113"/>
      <c r="H3" s="374"/>
      <c r="I3" s="122"/>
      <c r="J3" s="122"/>
      <c r="K3" s="122"/>
      <c r="L3" s="122"/>
      <c r="M3" s="122"/>
      <c r="N3" s="122"/>
      <c r="O3" s="122"/>
      <c r="P3" s="113"/>
      <c r="Q3" s="113"/>
      <c r="R3" s="113"/>
      <c r="S3" s="113"/>
      <c r="T3" s="113"/>
      <c r="U3" s="113"/>
      <c r="V3" s="113"/>
      <c r="W3" s="113"/>
      <c r="X3" s="113"/>
      <c r="Y3" s="113"/>
      <c r="Z3" s="115"/>
      <c r="AA3" s="108"/>
      <c r="AB3" s="108"/>
      <c r="AC3" s="108"/>
      <c r="AD3" s="108"/>
      <c r="AE3" s="108"/>
      <c r="AF3" s="108"/>
      <c r="AG3" s="108"/>
      <c r="AH3" s="108"/>
      <c r="AI3" s="108"/>
    </row>
    <row r="4" spans="2:108" ht="53.25" customHeight="1" thickBot="1" x14ac:dyDescent="0.55000000000000004">
      <c r="B4" s="132"/>
      <c r="C4" s="133"/>
      <c r="D4" s="134"/>
      <c r="E4" s="135"/>
      <c r="F4" s="135"/>
      <c r="G4" s="135"/>
      <c r="H4" s="375"/>
      <c r="I4" s="136"/>
      <c r="J4" s="136"/>
      <c r="K4" s="136"/>
      <c r="L4" s="136"/>
      <c r="M4" s="136"/>
      <c r="N4" s="136"/>
      <c r="O4" s="136"/>
      <c r="P4" s="135"/>
      <c r="Q4" s="135"/>
      <c r="R4" s="135"/>
      <c r="S4" s="135"/>
      <c r="T4" s="135"/>
      <c r="U4" s="135"/>
      <c r="V4" s="135"/>
      <c r="W4" s="135"/>
      <c r="X4" s="135"/>
      <c r="Y4" s="135"/>
      <c r="Z4" s="137"/>
      <c r="AA4" s="108"/>
      <c r="AB4" s="108"/>
      <c r="AC4" s="108"/>
      <c r="AD4" s="108"/>
      <c r="AE4" s="108"/>
      <c r="AF4" s="108"/>
      <c r="AG4" s="108"/>
      <c r="AH4" s="108"/>
      <c r="AI4" s="108"/>
    </row>
    <row r="5" spans="2:108" ht="13.5" customHeight="1" thickBot="1" x14ac:dyDescent="0.3">
      <c r="B5" s="143"/>
      <c r="C5" s="145"/>
      <c r="D5" s="145"/>
      <c r="E5" s="145"/>
      <c r="F5" s="145"/>
      <c r="G5" s="145"/>
      <c r="H5" s="376"/>
      <c r="I5" s="145"/>
      <c r="J5" s="145"/>
      <c r="K5" s="145"/>
      <c r="L5" s="145"/>
      <c r="M5" s="145"/>
      <c r="N5" s="145"/>
      <c r="O5" s="145"/>
      <c r="P5" s="145"/>
      <c r="Q5" s="145"/>
      <c r="R5" s="145"/>
      <c r="S5" s="145"/>
      <c r="T5" s="145"/>
      <c r="U5" s="145"/>
      <c r="V5" s="145"/>
      <c r="W5" s="145"/>
      <c r="X5" s="145"/>
      <c r="Y5" s="145"/>
      <c r="Z5" s="146"/>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row>
    <row r="6" spans="2:108" ht="45" hidden="1" customHeight="1" thickBot="1" x14ac:dyDescent="0.3">
      <c r="B6" s="242" t="s">
        <v>244</v>
      </c>
      <c r="C6" s="110"/>
      <c r="D6" s="166"/>
      <c r="E6" s="166"/>
      <c r="F6" s="166"/>
      <c r="G6" s="166"/>
      <c r="H6" s="377"/>
      <c r="I6" s="166"/>
      <c r="J6" s="166"/>
      <c r="K6" s="166"/>
      <c r="L6" s="166"/>
      <c r="M6" s="166"/>
      <c r="N6" s="130"/>
      <c r="O6" s="130"/>
      <c r="P6" s="130"/>
      <c r="Q6" s="130"/>
      <c r="R6" s="130"/>
      <c r="S6" s="130"/>
      <c r="T6" s="130"/>
      <c r="U6" s="130"/>
      <c r="V6" s="130"/>
      <c r="W6" s="130"/>
      <c r="X6" s="130"/>
      <c r="Y6" s="130"/>
      <c r="Z6" s="131"/>
      <c r="AA6" s="108"/>
      <c r="AB6" s="108"/>
      <c r="AC6" s="108"/>
      <c r="AD6" s="108"/>
      <c r="AE6" s="108"/>
      <c r="AF6" s="108"/>
      <c r="AG6" s="108"/>
      <c r="AH6" s="108"/>
      <c r="AI6" s="108"/>
      <c r="AJ6" s="108"/>
      <c r="AK6" s="108"/>
      <c r="AL6" s="108"/>
      <c r="AM6" s="108"/>
      <c r="AN6" s="108"/>
      <c r="AO6" s="108"/>
      <c r="AP6" s="108"/>
      <c r="AQ6" s="108"/>
      <c r="AR6" s="108"/>
      <c r="AS6" s="108"/>
      <c r="AT6" s="108"/>
      <c r="AU6" s="108"/>
      <c r="AV6" s="108"/>
      <c r="AW6" s="108"/>
      <c r="AX6" s="108"/>
      <c r="AY6" s="108"/>
      <c r="AZ6" s="108"/>
      <c r="BA6" s="108"/>
      <c r="BB6" s="108"/>
      <c r="BC6" s="108"/>
      <c r="BD6" s="108"/>
      <c r="BE6" s="108"/>
    </row>
    <row r="7" spans="2:108" ht="30" hidden="1" customHeight="1" x14ac:dyDescent="0.25">
      <c r="B7" s="143"/>
      <c r="C7" s="9" t="s">
        <v>15</v>
      </c>
      <c r="D7" s="9" t="s">
        <v>245</v>
      </c>
      <c r="E7" s="150" t="s">
        <v>246</v>
      </c>
      <c r="F7" s="9" t="s">
        <v>247</v>
      </c>
      <c r="G7" s="9" t="s">
        <v>248</v>
      </c>
      <c r="H7" s="9" t="s">
        <v>249</v>
      </c>
      <c r="I7" s="9" t="s">
        <v>250</v>
      </c>
      <c r="J7" s="9" t="s">
        <v>251</v>
      </c>
      <c r="K7" s="9" t="s">
        <v>252</v>
      </c>
      <c r="L7" s="9" t="s">
        <v>253</v>
      </c>
      <c r="M7" s="9" t="s">
        <v>254</v>
      </c>
      <c r="N7" s="145"/>
      <c r="O7" s="145"/>
      <c r="P7" s="145"/>
      <c r="Q7" s="145"/>
      <c r="R7" s="145"/>
      <c r="S7" s="145"/>
      <c r="T7" s="145"/>
      <c r="U7" s="145"/>
      <c r="V7" s="145"/>
      <c r="W7" s="145"/>
      <c r="X7" s="145"/>
      <c r="Y7" s="145"/>
      <c r="Z7" s="146"/>
      <c r="AA7" s="108"/>
      <c r="AB7" s="108"/>
      <c r="AC7" s="108"/>
      <c r="AD7" s="108"/>
      <c r="AE7" s="108"/>
      <c r="AF7" s="108"/>
      <c r="AG7" s="108"/>
      <c r="AH7" s="108"/>
      <c r="AI7" s="108"/>
      <c r="AJ7" s="108"/>
      <c r="AK7" s="108"/>
      <c r="AL7" s="108"/>
      <c r="AM7" s="108"/>
      <c r="AN7" s="108"/>
      <c r="AO7" s="108"/>
      <c r="AP7" s="108"/>
      <c r="AQ7" s="108"/>
      <c r="AR7" s="108"/>
      <c r="AS7" s="108"/>
      <c r="AT7" s="108"/>
      <c r="AU7" s="108"/>
      <c r="AV7" s="108"/>
      <c r="AW7" s="108"/>
      <c r="AX7" s="108"/>
      <c r="AY7" s="108"/>
      <c r="AZ7" s="108"/>
      <c r="BA7" s="108"/>
      <c r="BB7" s="108"/>
      <c r="BC7" s="108"/>
      <c r="BD7" s="108"/>
      <c r="BE7" s="108"/>
    </row>
    <row r="8" spans="2:108" ht="13.5" hidden="1" customHeight="1" x14ac:dyDescent="0.25">
      <c r="B8" s="71"/>
      <c r="C8" s="148" t="s">
        <v>18</v>
      </c>
      <c r="D8" s="148" t="s">
        <v>255</v>
      </c>
      <c r="E8" s="148" t="s">
        <v>19</v>
      </c>
      <c r="F8" s="148">
        <v>5</v>
      </c>
      <c r="G8" s="148">
        <v>1E-3</v>
      </c>
      <c r="H8" s="148" t="s">
        <v>256</v>
      </c>
      <c r="I8" s="148">
        <v>0</v>
      </c>
      <c r="J8" s="148">
        <v>7</v>
      </c>
      <c r="K8" s="148">
        <v>10</v>
      </c>
      <c r="L8" s="148">
        <v>1.6</v>
      </c>
      <c r="M8" s="148">
        <v>0.05</v>
      </c>
      <c r="N8" s="2"/>
      <c r="O8" s="2"/>
      <c r="P8" s="2"/>
      <c r="Q8" s="2"/>
      <c r="R8" s="2"/>
      <c r="S8" s="2"/>
      <c r="T8" s="2"/>
      <c r="U8" s="2"/>
      <c r="V8" s="2"/>
      <c r="W8" s="2"/>
      <c r="X8" s="2"/>
      <c r="Y8" s="2"/>
      <c r="Z8" s="52"/>
      <c r="AA8" s="108"/>
      <c r="AB8" s="108"/>
      <c r="AC8" s="108"/>
      <c r="AD8" s="108"/>
      <c r="AE8" s="108"/>
      <c r="AF8" s="108"/>
      <c r="AG8" s="108"/>
      <c r="AH8" s="108"/>
      <c r="AI8" s="108"/>
      <c r="AJ8" s="108"/>
      <c r="AK8" s="108"/>
      <c r="AL8" s="108"/>
      <c r="AM8" s="108"/>
      <c r="AN8" s="108"/>
      <c r="AO8" s="108"/>
      <c r="AP8" s="108"/>
      <c r="AQ8" s="108"/>
      <c r="AR8" s="108"/>
      <c r="AS8" s="108"/>
      <c r="AT8" s="108"/>
      <c r="AU8" s="108"/>
      <c r="AV8" s="108"/>
      <c r="AW8" s="108"/>
      <c r="AX8" s="108"/>
      <c r="AY8" s="108"/>
      <c r="AZ8" s="108"/>
      <c r="BA8" s="108"/>
      <c r="BB8" s="108"/>
      <c r="BC8" s="108"/>
      <c r="BD8" s="108"/>
      <c r="BE8" s="108"/>
    </row>
    <row r="9" spans="2:108" ht="13.5" hidden="1" customHeight="1" thickBot="1" x14ac:dyDescent="0.3">
      <c r="B9" s="72"/>
      <c r="C9" s="50"/>
      <c r="D9" s="50"/>
      <c r="E9" s="50"/>
      <c r="F9" s="50"/>
      <c r="G9" s="50"/>
      <c r="H9" s="154"/>
      <c r="I9" s="50"/>
      <c r="J9" s="50"/>
      <c r="K9" s="50"/>
      <c r="L9" s="50"/>
      <c r="M9" s="50"/>
      <c r="N9" s="50"/>
      <c r="O9" s="50"/>
      <c r="P9" s="50"/>
      <c r="Q9" s="50"/>
      <c r="R9" s="50"/>
      <c r="S9" s="50"/>
      <c r="T9" s="50"/>
      <c r="U9" s="50"/>
      <c r="V9" s="50"/>
      <c r="W9" s="50"/>
      <c r="X9" s="50"/>
      <c r="Y9" s="50"/>
      <c r="Z9" s="51"/>
      <c r="AA9" s="108"/>
      <c r="AB9" s="108"/>
      <c r="AC9" s="108"/>
      <c r="AD9" s="108"/>
      <c r="AE9" s="108"/>
      <c r="AF9" s="108"/>
      <c r="AG9" s="108"/>
      <c r="AH9" s="108"/>
      <c r="AI9" s="108"/>
      <c r="AJ9" s="108"/>
      <c r="AK9" s="108"/>
      <c r="AL9" s="108"/>
      <c r="AM9" s="108"/>
      <c r="AN9" s="108"/>
      <c r="AO9" s="108"/>
      <c r="AP9" s="108"/>
      <c r="AQ9" s="108"/>
      <c r="AR9" s="108"/>
      <c r="AS9" s="108"/>
      <c r="AT9" s="108"/>
      <c r="AU9" s="108"/>
      <c r="AV9" s="108"/>
      <c r="AW9" s="108"/>
      <c r="AX9" s="108"/>
      <c r="AY9" s="108"/>
      <c r="AZ9" s="108"/>
      <c r="BA9" s="108"/>
      <c r="BB9" s="108"/>
      <c r="BC9" s="108"/>
      <c r="BD9" s="108"/>
      <c r="BE9" s="108"/>
    </row>
    <row r="10" spans="2:108" s="36" customFormat="1" ht="45" customHeight="1" thickBot="1" x14ac:dyDescent="0.3">
      <c r="B10" s="360" t="s">
        <v>18</v>
      </c>
      <c r="C10" s="246"/>
      <c r="D10" s="246"/>
      <c r="E10" s="246"/>
      <c r="F10" s="246"/>
      <c r="G10" s="246"/>
      <c r="H10" s="378"/>
      <c r="I10" s="246"/>
      <c r="J10" s="246"/>
      <c r="K10" s="246"/>
      <c r="L10" s="246"/>
      <c r="M10" s="243"/>
      <c r="N10" s="243"/>
      <c r="O10" s="243"/>
      <c r="P10" s="243"/>
      <c r="Q10" s="243"/>
      <c r="R10" s="243"/>
      <c r="S10" s="243"/>
      <c r="T10" s="243"/>
      <c r="U10" s="243"/>
      <c r="V10" s="243"/>
      <c r="W10" s="243"/>
      <c r="X10" s="243"/>
      <c r="Y10" s="243"/>
      <c r="Z10" s="349"/>
      <c r="AA10" s="108"/>
      <c r="AB10" s="108"/>
      <c r="AC10" s="108"/>
      <c r="AD10" s="108"/>
      <c r="AE10" s="108"/>
      <c r="AF10" s="108"/>
      <c r="AG10" s="108"/>
      <c r="AH10" s="108"/>
      <c r="AI10" s="108"/>
      <c r="AJ10" s="108"/>
      <c r="AK10" s="108"/>
      <c r="AL10" s="108"/>
      <c r="AM10" s="108"/>
      <c r="AN10" s="108"/>
      <c r="AO10" s="108"/>
      <c r="AP10" s="108"/>
      <c r="AQ10" s="108"/>
      <c r="AR10" s="108"/>
      <c r="AS10" s="108"/>
      <c r="AT10" s="108"/>
      <c r="AU10" s="108"/>
      <c r="AV10" s="108"/>
      <c r="AW10" s="108"/>
      <c r="AX10" s="108"/>
      <c r="AY10" s="108"/>
      <c r="AZ10" s="108"/>
      <c r="BA10" s="108"/>
      <c r="BB10" s="108"/>
      <c r="BC10" s="108"/>
      <c r="BD10" s="108"/>
      <c r="BE10" s="108"/>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c r="CM10" s="19"/>
      <c r="CN10" s="19"/>
      <c r="CO10" s="19"/>
      <c r="CP10" s="19"/>
      <c r="CQ10" s="19"/>
      <c r="CR10" s="19"/>
      <c r="CS10" s="19"/>
      <c r="CT10" s="19"/>
      <c r="CU10" s="19"/>
      <c r="CV10" s="19"/>
      <c r="CW10" s="19"/>
      <c r="CX10" s="19"/>
    </row>
    <row r="11" spans="2:108" ht="13" x14ac:dyDescent="0.25">
      <c r="B11" s="359"/>
      <c r="C11" s="239" t="s">
        <v>257</v>
      </c>
      <c r="D11" s="241" t="s">
        <v>218</v>
      </c>
      <c r="E11" s="362" t="s">
        <v>258</v>
      </c>
      <c r="F11" s="12">
        <v>0</v>
      </c>
      <c r="G11" s="24"/>
      <c r="H11" s="24"/>
      <c r="I11" s="24"/>
      <c r="J11" s="24"/>
      <c r="K11" s="24"/>
      <c r="L11" s="24"/>
      <c r="M11" s="24"/>
      <c r="N11" s="24"/>
      <c r="O11" s="24"/>
      <c r="P11" s="24"/>
      <c r="Q11" s="24"/>
      <c r="R11" s="24"/>
      <c r="S11" s="24"/>
      <c r="T11" s="24"/>
      <c r="U11" s="24"/>
      <c r="V11" s="24"/>
      <c r="W11" s="24"/>
      <c r="X11" s="24"/>
      <c r="Y11" s="24"/>
      <c r="Z11" s="380"/>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row>
    <row r="12" spans="2:108" x14ac:dyDescent="0.25">
      <c r="B12" s="139"/>
      <c r="C12" s="140"/>
      <c r="D12" s="16">
        <v>1</v>
      </c>
      <c r="E12" s="362" t="s">
        <v>255</v>
      </c>
      <c r="F12" s="12">
        <v>652</v>
      </c>
      <c r="G12" s="24"/>
      <c r="H12" s="24"/>
      <c r="I12" s="24"/>
      <c r="J12" s="24"/>
      <c r="K12" s="24"/>
      <c r="L12" s="24"/>
      <c r="M12" s="24"/>
      <c r="N12" s="24"/>
      <c r="O12" s="24"/>
      <c r="P12" s="24"/>
      <c r="Q12" s="24"/>
      <c r="R12" s="24"/>
      <c r="S12" s="24"/>
      <c r="T12" s="24"/>
      <c r="U12" s="24"/>
      <c r="V12" s="24"/>
      <c r="W12" s="24"/>
      <c r="X12" s="24"/>
      <c r="Y12" s="24"/>
      <c r="Z12" s="52"/>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row>
    <row r="13" spans="2:108" hidden="1" x14ac:dyDescent="0.25">
      <c r="B13" s="139"/>
      <c r="C13" s="140"/>
      <c r="D13" s="14"/>
      <c r="E13" s="362" t="s">
        <v>259</v>
      </c>
      <c r="F13" s="23"/>
      <c r="G13" s="389"/>
      <c r="H13" s="24"/>
      <c r="I13" s="24"/>
      <c r="J13" s="24"/>
      <c r="K13" s="24"/>
      <c r="L13" s="24"/>
      <c r="M13" s="24"/>
      <c r="N13" s="24"/>
      <c r="O13" s="24"/>
      <c r="P13" s="24"/>
      <c r="Q13" s="24"/>
      <c r="R13" s="24"/>
      <c r="S13" s="24"/>
      <c r="T13" s="24"/>
      <c r="U13" s="24"/>
      <c r="V13" s="24"/>
      <c r="W13" s="24"/>
      <c r="X13" s="24"/>
      <c r="Y13" s="24"/>
      <c r="Z13" s="52"/>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row>
    <row r="14" spans="2:108" hidden="1" x14ac:dyDescent="0.25">
      <c r="B14" s="139"/>
      <c r="C14" s="140"/>
      <c r="D14" s="14"/>
      <c r="E14" s="362" t="s">
        <v>260</v>
      </c>
      <c r="F14" s="12"/>
      <c r="G14" s="389"/>
      <c r="H14" s="24"/>
      <c r="I14" s="24"/>
      <c r="J14" s="24"/>
      <c r="K14" s="24"/>
      <c r="L14" s="24"/>
      <c r="M14" s="24"/>
      <c r="N14" s="24"/>
      <c r="O14" s="24"/>
      <c r="P14"/>
      <c r="Q14"/>
      <c r="R14"/>
      <c r="S14"/>
      <c r="T14"/>
      <c r="U14"/>
      <c r="V14"/>
      <c r="W14"/>
      <c r="X14"/>
      <c r="Y14"/>
      <c r="Z14" s="52"/>
      <c r="AA14" s="108"/>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c r="BY14" s="108"/>
      <c r="BZ14" s="108"/>
      <c r="CA14" s="108"/>
      <c r="CB14" s="108"/>
      <c r="CC14" s="108"/>
      <c r="CD14" s="108"/>
      <c r="CE14" s="108"/>
      <c r="CF14" s="108"/>
      <c r="CG14" s="108"/>
      <c r="CH14" s="108"/>
      <c r="CI14" s="108"/>
      <c r="CJ14" s="108"/>
      <c r="CK14" s="108"/>
      <c r="CL14" s="108"/>
      <c r="CM14" s="108"/>
      <c r="CN14" s="108"/>
      <c r="CO14" s="108"/>
      <c r="CP14" s="108"/>
      <c r="CQ14" s="108"/>
      <c r="CR14" s="108"/>
      <c r="CS14" s="108"/>
      <c r="CT14" s="108"/>
      <c r="CU14" s="108"/>
      <c r="CV14" s="108"/>
      <c r="CW14" s="108"/>
      <c r="CX14" s="108"/>
      <c r="CY14" s="108"/>
      <c r="CZ14" s="108"/>
      <c r="DA14" s="108"/>
      <c r="DB14" s="108"/>
      <c r="DC14" s="108"/>
      <c r="DD14" s="108"/>
    </row>
    <row r="15" spans="2:108" hidden="1" x14ac:dyDescent="0.25">
      <c r="B15" s="139"/>
      <c r="C15" s="140"/>
      <c r="D15" s="14"/>
      <c r="E15" s="14"/>
      <c r="F15" s="24"/>
      <c r="G15"/>
      <c r="H15" s="379"/>
      <c r="I15"/>
      <c r="J15"/>
      <c r="K15"/>
      <c r="L15"/>
      <c r="M15"/>
      <c r="N15"/>
      <c r="O15"/>
      <c r="P15"/>
      <c r="Q15"/>
      <c r="R15"/>
      <c r="S15"/>
      <c r="T15"/>
      <c r="U15"/>
      <c r="V15"/>
      <c r="W15"/>
      <c r="X15"/>
      <c r="Y15"/>
      <c r="Z15" s="52"/>
      <c r="AA15" s="108"/>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c r="CC15" s="108"/>
      <c r="CD15" s="108"/>
      <c r="CE15" s="108"/>
      <c r="CF15" s="108"/>
      <c r="CG15" s="108"/>
      <c r="CH15" s="108"/>
      <c r="CI15" s="108"/>
      <c r="CJ15" s="108"/>
      <c r="CK15" s="108"/>
      <c r="CL15" s="108"/>
      <c r="CM15" s="108"/>
      <c r="CN15" s="108"/>
      <c r="CO15" s="108"/>
      <c r="CP15" s="108"/>
      <c r="CQ15" s="108"/>
      <c r="CR15" s="108"/>
      <c r="CS15" s="108"/>
      <c r="CT15" s="108"/>
      <c r="CU15" s="108"/>
      <c r="CV15" s="108"/>
      <c r="CW15" s="108"/>
      <c r="CX15" s="108"/>
      <c r="CY15" s="108"/>
      <c r="CZ15" s="108"/>
      <c r="DA15" s="108"/>
      <c r="DB15" s="108"/>
      <c r="DC15" s="108"/>
      <c r="DD15" s="108"/>
    </row>
    <row r="16" spans="2:108" ht="25" hidden="1" x14ac:dyDescent="0.25">
      <c r="B16" s="139"/>
      <c r="C16" s="140"/>
      <c r="D16" s="6"/>
      <c r="E16" s="128" t="s">
        <v>261</v>
      </c>
      <c r="F16" s="125" t="s">
        <v>262</v>
      </c>
      <c r="G16" s="125" t="s">
        <v>263</v>
      </c>
      <c r="H16" s="125" t="s">
        <v>264</v>
      </c>
      <c r="I16" s="125" t="s">
        <v>265</v>
      </c>
      <c r="J16" s="14"/>
      <c r="K16" s="14"/>
      <c r="L16" s="14"/>
      <c r="M16" s="2"/>
      <c r="N16" s="2"/>
      <c r="O16" s="2"/>
      <c r="P16" s="2"/>
      <c r="Q16" s="2"/>
      <c r="R16" s="2"/>
      <c r="S16" s="2"/>
      <c r="T16" s="2"/>
      <c r="U16" s="2"/>
      <c r="V16" s="2"/>
      <c r="W16" s="2"/>
      <c r="X16" s="2"/>
      <c r="Y16" s="2"/>
      <c r="Z16" s="52"/>
      <c r="AA16" s="108"/>
      <c r="AB16" s="108"/>
      <c r="AC16" s="108"/>
      <c r="AD16" s="108"/>
      <c r="AE16" s="108"/>
      <c r="AF16" s="108"/>
      <c r="AG16" s="108"/>
      <c r="AH16" s="108"/>
      <c r="AI16" s="108"/>
      <c r="AJ16" s="108"/>
      <c r="AK16" s="108"/>
      <c r="AL16" s="108"/>
      <c r="AM16" s="108"/>
      <c r="AN16" s="108"/>
      <c r="AO16" s="108"/>
      <c r="AP16" s="108"/>
      <c r="AQ16" s="108"/>
      <c r="AR16" s="108"/>
      <c r="AS16" s="108"/>
      <c r="AT16" s="108"/>
      <c r="AU16" s="108"/>
      <c r="AV16" s="108"/>
      <c r="AW16" s="108"/>
      <c r="AX16" s="108"/>
      <c r="AY16" s="108"/>
      <c r="AZ16" s="108"/>
      <c r="BA16" s="108"/>
      <c r="BB16" s="108"/>
      <c r="BC16" s="108"/>
      <c r="BD16" s="108"/>
      <c r="BE16" s="108"/>
      <c r="BF16" s="108"/>
      <c r="BG16" s="108"/>
      <c r="BH16" s="108"/>
      <c r="BI16" s="108"/>
      <c r="BJ16" s="108"/>
      <c r="BK16" s="108"/>
      <c r="BL16" s="108"/>
      <c r="BM16" s="108"/>
      <c r="BN16" s="108"/>
      <c r="BO16" s="108"/>
      <c r="BP16" s="108"/>
      <c r="BQ16" s="108"/>
      <c r="BR16" s="108"/>
      <c r="BS16" s="108"/>
      <c r="BT16" s="108"/>
      <c r="BU16" s="108"/>
      <c r="BV16" s="108"/>
      <c r="BW16" s="108"/>
      <c r="BX16" s="108"/>
      <c r="BY16" s="108"/>
      <c r="BZ16" s="108"/>
      <c r="CA16" s="108"/>
      <c r="CB16" s="108"/>
      <c r="CC16" s="108"/>
      <c r="CD16" s="108"/>
      <c r="CE16" s="108"/>
      <c r="CF16" s="108"/>
      <c r="CG16" s="108"/>
      <c r="CH16" s="108"/>
      <c r="CI16" s="108"/>
      <c r="CJ16" s="108"/>
      <c r="CK16" s="108"/>
      <c r="CL16" s="108"/>
      <c r="CM16" s="108"/>
      <c r="CN16" s="108"/>
      <c r="CO16" s="108"/>
      <c r="CP16" s="108"/>
      <c r="CQ16" s="108"/>
      <c r="CR16" s="108"/>
      <c r="CS16" s="108"/>
      <c r="CT16" s="108"/>
      <c r="CU16" s="108"/>
      <c r="CV16" s="108"/>
      <c r="CW16" s="108"/>
      <c r="CX16" s="108"/>
      <c r="CY16" s="108"/>
      <c r="CZ16" s="108"/>
      <c r="DA16" s="108"/>
      <c r="DB16" s="108"/>
      <c r="DC16" s="108"/>
      <c r="DD16" s="108"/>
    </row>
    <row r="17" spans="2:108" hidden="1" x14ac:dyDescent="0.25">
      <c r="B17" s="139"/>
      <c r="C17" s="140"/>
      <c r="D17" s="14"/>
      <c r="E17" s="124">
        <v>1</v>
      </c>
      <c r="F17" s="12"/>
      <c r="G17" s="12"/>
      <c r="H17" s="12"/>
      <c r="I17" s="12"/>
      <c r="J17" s="14"/>
      <c r="K17" s="14"/>
      <c r="L17" s="14"/>
      <c r="M17" s="2"/>
      <c r="N17" s="2"/>
      <c r="O17" s="2"/>
      <c r="P17" s="2"/>
      <c r="Q17" s="2"/>
      <c r="R17" s="2"/>
      <c r="S17" s="2"/>
      <c r="T17" s="2"/>
      <c r="U17" s="2"/>
      <c r="V17" s="2"/>
      <c r="W17" s="2"/>
      <c r="X17" s="2"/>
      <c r="Y17" s="2"/>
      <c r="Z17" s="52"/>
      <c r="AA17" s="108"/>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c r="BY17" s="108"/>
      <c r="BZ17" s="108"/>
      <c r="CA17" s="108"/>
      <c r="CB17" s="108"/>
      <c r="CC17" s="108"/>
      <c r="CD17" s="108"/>
      <c r="CE17" s="108"/>
      <c r="CF17" s="108"/>
      <c r="CG17" s="108"/>
      <c r="CH17" s="108"/>
      <c r="CI17" s="108"/>
      <c r="CJ17" s="108"/>
      <c r="CK17" s="108"/>
      <c r="CL17" s="108"/>
      <c r="CM17" s="108"/>
      <c r="CN17" s="108"/>
      <c r="CO17" s="108"/>
      <c r="CP17" s="108"/>
      <c r="CQ17" s="108"/>
      <c r="CR17" s="108"/>
      <c r="CS17" s="108"/>
      <c r="CT17" s="108"/>
      <c r="CU17" s="108"/>
      <c r="CV17" s="108"/>
      <c r="CW17" s="108"/>
      <c r="CX17" s="108"/>
      <c r="CY17" s="108"/>
      <c r="CZ17" s="108"/>
      <c r="DA17" s="108"/>
      <c r="DB17" s="108"/>
      <c r="DC17" s="108"/>
      <c r="DD17" s="108"/>
    </row>
    <row r="18" spans="2:108" hidden="1" x14ac:dyDescent="0.25">
      <c r="B18" s="139"/>
      <c r="C18" s="140"/>
      <c r="D18" s="2"/>
      <c r="E18" s="124">
        <v>2</v>
      </c>
      <c r="F18" s="12"/>
      <c r="G18" s="12"/>
      <c r="H18" s="12"/>
      <c r="I18" s="12"/>
      <c r="J18" s="14"/>
      <c r="K18" s="14"/>
      <c r="L18" s="14"/>
      <c r="M18" s="2"/>
      <c r="N18" s="2"/>
      <c r="O18" s="2"/>
      <c r="P18" s="2"/>
      <c r="Q18" s="2"/>
      <c r="R18" s="2"/>
      <c r="S18" s="2"/>
      <c r="T18" s="2"/>
      <c r="U18" s="2"/>
      <c r="V18" s="2"/>
      <c r="W18" s="2"/>
      <c r="X18" s="2"/>
      <c r="Y18" s="2"/>
      <c r="Z18" s="52"/>
      <c r="AA18" s="108"/>
      <c r="AB18" s="108"/>
      <c r="AC18" s="108"/>
      <c r="AD18" s="108"/>
      <c r="AE18" s="108"/>
      <c r="AF18" s="108"/>
      <c r="AG18" s="108"/>
      <c r="AH18" s="108"/>
      <c r="AI18" s="108"/>
      <c r="AJ18" s="108"/>
      <c r="AK18" s="108"/>
      <c r="AL18" s="108"/>
      <c r="AM18" s="108"/>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c r="BY18" s="108"/>
      <c r="BZ18" s="108"/>
      <c r="CA18" s="108"/>
      <c r="CB18" s="108"/>
      <c r="CC18" s="108"/>
      <c r="CD18" s="108"/>
      <c r="CE18" s="108"/>
      <c r="CF18" s="108"/>
      <c r="CG18" s="108"/>
      <c r="CH18" s="108"/>
      <c r="CI18" s="108"/>
      <c r="CJ18" s="108"/>
      <c r="CK18" s="108"/>
      <c r="CL18" s="108"/>
      <c r="CM18" s="108"/>
      <c r="CN18" s="108"/>
      <c r="CO18" s="108"/>
      <c r="CP18" s="108"/>
      <c r="CQ18" s="108"/>
      <c r="CR18" s="108"/>
      <c r="CS18" s="108"/>
      <c r="CT18" s="108"/>
      <c r="CU18" s="108"/>
      <c r="CV18" s="108"/>
      <c r="CW18" s="108"/>
      <c r="CX18" s="108"/>
      <c r="CY18" s="108"/>
      <c r="CZ18" s="108"/>
      <c r="DA18" s="108"/>
      <c r="DB18" s="108"/>
      <c r="DC18" s="108"/>
      <c r="DD18" s="108"/>
    </row>
    <row r="19" spans="2:108" hidden="1" x14ac:dyDescent="0.25">
      <c r="B19" s="139"/>
      <c r="C19" s="140"/>
      <c r="D19" s="14"/>
      <c r="E19" s="126">
        <v>3</v>
      </c>
      <c r="F19" s="12"/>
      <c r="G19" s="12"/>
      <c r="H19" s="12"/>
      <c r="I19" s="12"/>
      <c r="J19" s="14"/>
      <c r="K19" s="14"/>
      <c r="L19" s="14"/>
      <c r="M19" s="2"/>
      <c r="N19" s="2"/>
      <c r="O19" s="2"/>
      <c r="P19" s="2"/>
      <c r="Q19" s="2"/>
      <c r="R19" s="2"/>
      <c r="S19" s="2"/>
      <c r="T19" s="2"/>
      <c r="U19" s="2"/>
      <c r="V19" s="2"/>
      <c r="W19" s="2"/>
      <c r="X19" s="2"/>
      <c r="Y19" s="2"/>
      <c r="Z19" s="52"/>
      <c r="AA19" s="108"/>
      <c r="AB19" s="108"/>
      <c r="AC19" s="108"/>
      <c r="AD19" s="108"/>
      <c r="AE19" s="108"/>
      <c r="AF19" s="108"/>
      <c r="AG19" s="108"/>
      <c r="AH19" s="108"/>
      <c r="AI19" s="108"/>
      <c r="AJ19" s="108"/>
      <c r="AK19" s="108"/>
      <c r="AL19" s="108"/>
      <c r="AM19" s="108"/>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c r="BY19" s="108"/>
      <c r="BZ19" s="108"/>
      <c r="CA19" s="108"/>
      <c r="CB19" s="108"/>
      <c r="CC19" s="108"/>
      <c r="CD19" s="108"/>
      <c r="CE19" s="108"/>
      <c r="CF19" s="108"/>
      <c r="CG19" s="108"/>
      <c r="CH19" s="108"/>
      <c r="CI19" s="108"/>
      <c r="CJ19" s="108"/>
      <c r="CK19" s="108"/>
      <c r="CL19" s="108"/>
      <c r="CM19" s="108"/>
      <c r="CN19" s="108"/>
      <c r="CO19" s="108"/>
      <c r="CP19" s="108"/>
      <c r="CQ19" s="108"/>
      <c r="CR19" s="108"/>
      <c r="CS19" s="108"/>
      <c r="CT19" s="108"/>
      <c r="CU19" s="108"/>
      <c r="CV19" s="108"/>
      <c r="CW19" s="108"/>
      <c r="CX19" s="108"/>
      <c r="CY19" s="108"/>
      <c r="CZ19" s="108"/>
      <c r="DA19" s="108"/>
      <c r="DB19" s="108"/>
      <c r="DC19" s="108"/>
      <c r="DD19" s="108"/>
    </row>
    <row r="20" spans="2:108" hidden="1" x14ac:dyDescent="0.25">
      <c r="B20" s="139"/>
      <c r="C20" s="140"/>
      <c r="D20" s="14"/>
      <c r="E20" s="126">
        <v>4</v>
      </c>
      <c r="F20" s="12"/>
      <c r="G20" s="12"/>
      <c r="H20" s="12"/>
      <c r="I20" s="12"/>
      <c r="J20" s="14"/>
      <c r="K20" s="14"/>
      <c r="L20" s="14"/>
      <c r="M20" s="2"/>
      <c r="N20" s="2"/>
      <c r="O20" s="2"/>
      <c r="P20" s="2"/>
      <c r="Q20" s="2"/>
      <c r="R20" s="2"/>
      <c r="S20" s="2"/>
      <c r="T20" s="2"/>
      <c r="U20" s="2"/>
      <c r="V20" s="2"/>
      <c r="W20" s="2"/>
      <c r="X20" s="2"/>
      <c r="Y20" s="2"/>
      <c r="Z20" s="52"/>
      <c r="AA20" s="108"/>
      <c r="AB20" s="108"/>
      <c r="AC20" s="108"/>
      <c r="AD20" s="108"/>
      <c r="AE20" s="108"/>
      <c r="AF20" s="108"/>
      <c r="AG20" s="108"/>
      <c r="AH20" s="108"/>
      <c r="AI20" s="108"/>
      <c r="AJ20" s="108"/>
      <c r="AK20" s="108"/>
      <c r="AL20" s="108"/>
      <c r="AM20" s="108"/>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c r="BY20" s="108"/>
      <c r="BZ20" s="108"/>
      <c r="CA20" s="108"/>
      <c r="CB20" s="108"/>
      <c r="CC20" s="108"/>
      <c r="CD20" s="108"/>
      <c r="CE20" s="108"/>
      <c r="CF20" s="108"/>
      <c r="CG20" s="108"/>
      <c r="CH20" s="108"/>
      <c r="CI20" s="108"/>
      <c r="CJ20" s="108"/>
      <c r="CK20" s="108"/>
      <c r="CL20" s="108"/>
      <c r="CM20" s="108"/>
      <c r="CN20" s="108"/>
      <c r="CO20" s="108"/>
      <c r="CP20" s="108"/>
      <c r="CQ20" s="108"/>
      <c r="CR20" s="108"/>
      <c r="CS20" s="108"/>
      <c r="CT20" s="108"/>
      <c r="CU20" s="108"/>
      <c r="CV20" s="108"/>
      <c r="CW20" s="108"/>
      <c r="CX20" s="108"/>
      <c r="CY20" s="108"/>
      <c r="CZ20" s="108"/>
      <c r="DA20" s="108"/>
      <c r="DB20" s="108"/>
      <c r="DC20" s="108"/>
      <c r="DD20" s="108"/>
    </row>
    <row r="21" spans="2:108" hidden="1" x14ac:dyDescent="0.25">
      <c r="B21" s="139"/>
      <c r="C21" s="140"/>
      <c r="D21" s="14"/>
      <c r="E21" s="126">
        <v>5</v>
      </c>
      <c r="F21" s="12"/>
      <c r="G21" s="12"/>
      <c r="H21" s="12"/>
      <c r="I21" s="12"/>
      <c r="J21" s="14"/>
      <c r="K21" s="14"/>
      <c r="L21" s="14"/>
      <c r="M21" s="2"/>
      <c r="N21" s="2"/>
      <c r="O21" s="2"/>
      <c r="P21" s="2"/>
      <c r="Q21" s="2"/>
      <c r="R21" s="2"/>
      <c r="S21" s="2"/>
      <c r="T21" s="2"/>
      <c r="U21" s="2"/>
      <c r="V21" s="2"/>
      <c r="W21" s="2"/>
      <c r="X21" s="2"/>
      <c r="Y21" s="2"/>
      <c r="Z21" s="52"/>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c r="BY21" s="108"/>
      <c r="BZ21" s="108"/>
      <c r="CA21" s="108"/>
      <c r="CB21" s="108"/>
      <c r="CC21" s="108"/>
      <c r="CD21" s="108"/>
      <c r="CE21" s="108"/>
      <c r="CF21" s="108"/>
      <c r="CG21" s="108"/>
      <c r="CH21" s="108"/>
      <c r="CI21" s="108"/>
      <c r="CJ21" s="108"/>
      <c r="CK21" s="108"/>
      <c r="CL21" s="108"/>
      <c r="CM21" s="108"/>
      <c r="CN21" s="108"/>
      <c r="CO21" s="108"/>
      <c r="CP21" s="108"/>
      <c r="CQ21" s="108"/>
      <c r="CR21" s="108"/>
      <c r="CS21" s="108"/>
      <c r="CT21" s="108"/>
      <c r="CU21" s="108"/>
      <c r="CV21" s="108"/>
      <c r="CW21" s="108"/>
      <c r="CX21" s="108"/>
      <c r="CY21" s="108"/>
      <c r="CZ21" s="108"/>
      <c r="DA21" s="108"/>
      <c r="DB21" s="108"/>
      <c r="DC21" s="108"/>
      <c r="DD21" s="108"/>
    </row>
    <row r="22" spans="2:108" hidden="1" x14ac:dyDescent="0.25">
      <c r="B22" s="139"/>
      <c r="C22" s="140"/>
      <c r="D22" s="14"/>
      <c r="E22" s="126">
        <v>6</v>
      </c>
      <c r="F22" s="12"/>
      <c r="G22" s="12"/>
      <c r="H22" s="12"/>
      <c r="I22" s="12"/>
      <c r="J22" s="14"/>
      <c r="K22" s="14"/>
      <c r="L22" s="14"/>
      <c r="M22" s="2"/>
      <c r="N22" s="2"/>
      <c r="O22" s="2"/>
      <c r="P22" s="2"/>
      <c r="Q22" s="2"/>
      <c r="R22" s="2"/>
      <c r="S22" s="2"/>
      <c r="T22" s="2"/>
      <c r="U22" s="2"/>
      <c r="V22" s="2"/>
      <c r="W22" s="2"/>
      <c r="X22" s="2"/>
      <c r="Y22" s="2"/>
      <c r="Z22" s="52"/>
      <c r="AA22" s="108"/>
      <c r="AB22" s="108"/>
      <c r="AC22" s="108"/>
      <c r="AD22" s="108"/>
      <c r="AE22" s="108"/>
      <c r="AF22" s="108"/>
      <c r="AG22" s="108"/>
      <c r="AH22" s="108"/>
      <c r="AI22" s="108"/>
      <c r="AJ22" s="108"/>
      <c r="AK22" s="108"/>
      <c r="AL22" s="108"/>
      <c r="AM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c r="BY22" s="108"/>
      <c r="BZ22" s="108"/>
      <c r="CA22" s="108"/>
      <c r="CB22" s="108"/>
      <c r="CC22" s="108"/>
      <c r="CD22" s="108"/>
      <c r="CE22" s="108"/>
      <c r="CF22" s="108"/>
      <c r="CG22" s="108"/>
      <c r="CH22" s="108"/>
      <c r="CI22" s="108"/>
      <c r="CJ22" s="108"/>
      <c r="CK22" s="108"/>
      <c r="CL22" s="108"/>
      <c r="CM22" s="108"/>
      <c r="CN22" s="108"/>
      <c r="CO22" s="108"/>
      <c r="CP22" s="108"/>
      <c r="CQ22" s="108"/>
      <c r="CR22" s="108"/>
      <c r="CS22" s="108"/>
      <c r="CT22" s="108"/>
      <c r="CU22" s="108"/>
      <c r="CV22" s="108"/>
      <c r="CW22" s="108"/>
      <c r="CX22" s="108"/>
      <c r="CY22" s="108"/>
      <c r="CZ22" s="108"/>
      <c r="DA22" s="108"/>
      <c r="DB22" s="108"/>
      <c r="DC22" s="108"/>
      <c r="DD22" s="108"/>
    </row>
    <row r="23" spans="2:108" hidden="1" x14ac:dyDescent="0.25">
      <c r="B23" s="139"/>
      <c r="C23" s="140"/>
      <c r="D23" s="14"/>
      <c r="E23" s="126">
        <v>7</v>
      </c>
      <c r="F23" s="12"/>
      <c r="G23" s="12"/>
      <c r="H23" s="12"/>
      <c r="I23" s="12"/>
      <c r="J23" s="14"/>
      <c r="K23" s="14"/>
      <c r="L23" s="14"/>
      <c r="M23" s="2"/>
      <c r="N23" s="2"/>
      <c r="O23" s="2"/>
      <c r="P23" s="2"/>
      <c r="Q23" s="2"/>
      <c r="R23" s="2"/>
      <c r="S23" s="2"/>
      <c r="T23" s="2"/>
      <c r="U23" s="2"/>
      <c r="V23" s="2"/>
      <c r="W23" s="2"/>
      <c r="X23" s="2"/>
      <c r="Y23" s="2"/>
      <c r="Z23" s="52"/>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8"/>
      <c r="BJ23" s="108"/>
      <c r="BK23" s="108"/>
      <c r="BL23" s="108"/>
      <c r="BM23" s="108"/>
      <c r="BN23" s="108"/>
      <c r="BO23" s="108"/>
      <c r="BP23" s="108"/>
      <c r="BQ23" s="108"/>
      <c r="BR23" s="108"/>
      <c r="BS23" s="108"/>
      <c r="BT23" s="108"/>
      <c r="BU23" s="108"/>
      <c r="BV23" s="108"/>
      <c r="BW23" s="108"/>
      <c r="BX23" s="108"/>
      <c r="BY23" s="108"/>
      <c r="BZ23" s="108"/>
      <c r="CA23" s="108"/>
      <c r="CB23" s="108"/>
      <c r="CC23" s="108"/>
      <c r="CD23" s="108"/>
      <c r="CE23" s="108"/>
      <c r="CF23" s="108"/>
      <c r="CG23" s="108"/>
      <c r="CH23" s="108"/>
      <c r="CI23" s="108"/>
      <c r="CJ23" s="108"/>
      <c r="CK23" s="108"/>
      <c r="CL23" s="108"/>
      <c r="CM23" s="108"/>
      <c r="CN23" s="108"/>
      <c r="CO23" s="108"/>
      <c r="CP23" s="108"/>
      <c r="CQ23" s="108"/>
      <c r="CR23" s="108"/>
      <c r="CS23" s="108"/>
      <c r="CT23" s="108"/>
      <c r="CU23" s="108"/>
      <c r="CV23" s="108"/>
      <c r="CW23" s="108"/>
      <c r="CX23" s="108"/>
      <c r="CY23" s="108"/>
      <c r="CZ23" s="108"/>
      <c r="DA23" s="108"/>
      <c r="DB23" s="108"/>
      <c r="DC23" s="108"/>
      <c r="DD23" s="108"/>
    </row>
    <row r="24" spans="2:108" hidden="1" x14ac:dyDescent="0.25">
      <c r="B24" s="139"/>
      <c r="C24" s="140"/>
      <c r="D24" s="14"/>
      <c r="E24" s="126">
        <v>8</v>
      </c>
      <c r="F24" s="12"/>
      <c r="G24" s="12"/>
      <c r="H24" s="12"/>
      <c r="I24" s="12"/>
      <c r="J24" s="14"/>
      <c r="K24" s="14"/>
      <c r="L24" s="14"/>
      <c r="M24" s="2"/>
      <c r="N24" s="2"/>
      <c r="O24" s="2"/>
      <c r="P24" s="2"/>
      <c r="Q24" s="2"/>
      <c r="R24" s="2"/>
      <c r="S24" s="2"/>
      <c r="T24" s="2"/>
      <c r="U24" s="2"/>
      <c r="V24" s="2"/>
      <c r="W24" s="2"/>
      <c r="X24" s="2"/>
      <c r="Y24" s="2"/>
      <c r="Z24" s="52"/>
      <c r="AA24" s="108"/>
      <c r="AB24" s="108"/>
      <c r="AC24" s="108"/>
      <c r="AD24" s="108"/>
      <c r="AE24" s="108"/>
      <c r="AF24" s="108"/>
      <c r="AG24" s="108"/>
      <c r="AH24" s="108"/>
      <c r="AI24" s="108"/>
      <c r="AJ24" s="108"/>
      <c r="AK24" s="108"/>
      <c r="AL24" s="108"/>
      <c r="AM24" s="108"/>
      <c r="AN24" s="108"/>
      <c r="AO24" s="108"/>
      <c r="AP24" s="108"/>
      <c r="AQ24" s="108"/>
      <c r="AR24" s="108"/>
      <c r="AS24" s="108"/>
      <c r="AT24" s="108"/>
      <c r="AU24" s="108"/>
      <c r="AV24" s="108"/>
      <c r="AW24" s="108"/>
      <c r="AX24" s="108"/>
      <c r="AY24" s="108"/>
      <c r="AZ24" s="108"/>
      <c r="BA24" s="108"/>
      <c r="BB24" s="108"/>
      <c r="BC24" s="108"/>
      <c r="BD24" s="108"/>
      <c r="BE24" s="108"/>
      <c r="BF24" s="108"/>
      <c r="BG24" s="108"/>
      <c r="BH24" s="108"/>
      <c r="BI24" s="108"/>
      <c r="BJ24" s="108"/>
      <c r="BK24" s="108"/>
      <c r="BL24" s="108"/>
      <c r="BM24" s="108"/>
      <c r="BN24" s="108"/>
      <c r="BO24" s="108"/>
      <c r="BP24" s="108"/>
      <c r="BQ24" s="108"/>
      <c r="BR24" s="108"/>
      <c r="BS24" s="108"/>
      <c r="BT24" s="108"/>
      <c r="BU24" s="108"/>
      <c r="BV24" s="108"/>
      <c r="BW24" s="108"/>
      <c r="BX24" s="108"/>
      <c r="BY24" s="108"/>
      <c r="BZ24" s="108"/>
      <c r="CA24" s="108"/>
      <c r="CB24" s="108"/>
      <c r="CC24" s="108"/>
      <c r="CD24" s="108"/>
      <c r="CE24" s="108"/>
      <c r="CF24" s="108"/>
      <c r="CG24" s="108"/>
      <c r="CH24" s="108"/>
      <c r="CI24" s="108"/>
      <c r="CJ24" s="108"/>
      <c r="CK24" s="108"/>
      <c r="CL24" s="108"/>
      <c r="CM24" s="108"/>
      <c r="CN24" s="108"/>
      <c r="CO24" s="108"/>
      <c r="CP24" s="108"/>
      <c r="CQ24" s="108"/>
      <c r="CR24" s="108"/>
      <c r="CS24" s="108"/>
      <c r="CT24" s="108"/>
      <c r="CU24" s="108"/>
      <c r="CV24" s="108"/>
      <c r="CW24" s="108"/>
      <c r="CX24" s="108"/>
      <c r="CY24" s="108"/>
      <c r="CZ24" s="108"/>
      <c r="DA24" s="108"/>
      <c r="DB24" s="108"/>
      <c r="DC24" s="108"/>
      <c r="DD24" s="108"/>
    </row>
    <row r="25" spans="2:108" hidden="1" x14ac:dyDescent="0.25">
      <c r="B25" s="139"/>
      <c r="C25" s="140"/>
      <c r="D25" s="14"/>
      <c r="E25" s="126">
        <v>9</v>
      </c>
      <c r="F25" s="12"/>
      <c r="G25" s="12"/>
      <c r="H25" s="12"/>
      <c r="I25" s="12"/>
      <c r="J25" s="14"/>
      <c r="K25" s="14"/>
      <c r="L25" s="14"/>
      <c r="M25" s="2"/>
      <c r="N25" s="2"/>
      <c r="O25" s="2"/>
      <c r="P25" s="2"/>
      <c r="Q25" s="2"/>
      <c r="R25" s="2"/>
      <c r="S25" s="2"/>
      <c r="T25" s="2"/>
      <c r="U25" s="2"/>
      <c r="V25" s="2"/>
      <c r="W25" s="2"/>
      <c r="X25" s="2"/>
      <c r="Y25" s="2"/>
      <c r="Z25" s="52"/>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08"/>
      <c r="CR25" s="108"/>
      <c r="CS25" s="108"/>
      <c r="CT25" s="108"/>
      <c r="CU25" s="108"/>
      <c r="CV25" s="108"/>
      <c r="CW25" s="108"/>
      <c r="CX25" s="108"/>
      <c r="CY25" s="108"/>
      <c r="CZ25" s="108"/>
      <c r="DA25" s="108"/>
      <c r="DB25" s="108"/>
      <c r="DC25" s="108"/>
      <c r="DD25" s="108"/>
    </row>
    <row r="26" spans="2:108" x14ac:dyDescent="0.25">
      <c r="B26" s="139"/>
      <c r="C26" s="361"/>
      <c r="D26" s="14"/>
      <c r="E26" s="14"/>
      <c r="F26" s="14"/>
      <c r="G26" s="14"/>
      <c r="H26" s="14"/>
      <c r="I26" s="14"/>
      <c r="J26" s="14"/>
      <c r="K26" s="14"/>
      <c r="L26" s="14"/>
      <c r="M26" s="2"/>
      <c r="N26" s="2"/>
      <c r="O26" s="2"/>
      <c r="P26" s="2"/>
      <c r="Q26" s="2"/>
      <c r="R26" s="2"/>
      <c r="S26" s="2"/>
      <c r="T26" s="2"/>
      <c r="U26" s="2"/>
      <c r="V26" s="2"/>
      <c r="W26" s="2"/>
      <c r="X26" s="2"/>
      <c r="Y26" s="2"/>
      <c r="Z26" s="52"/>
      <c r="AA26" s="108"/>
      <c r="AB26" s="108"/>
      <c r="AC26" s="108"/>
      <c r="AD26" s="108"/>
      <c r="AE26" s="108"/>
      <c r="AF26" s="108"/>
      <c r="AG26" s="108"/>
      <c r="AH26" s="108"/>
      <c r="AI26" s="108"/>
      <c r="AJ26" s="108"/>
      <c r="AK26" s="108"/>
      <c r="AL26" s="108"/>
      <c r="AM26" s="108"/>
      <c r="AN26" s="108"/>
      <c r="AO26" s="108"/>
      <c r="AP26" s="108"/>
      <c r="AQ26" s="108"/>
      <c r="AR26" s="108"/>
      <c r="AS26" s="108"/>
      <c r="AT26" s="108"/>
      <c r="AU26" s="108"/>
      <c r="AV26" s="108"/>
      <c r="AW26" s="108"/>
      <c r="AX26" s="108"/>
      <c r="AY26" s="108"/>
      <c r="AZ26" s="108"/>
      <c r="BA26" s="108"/>
      <c r="BB26" s="108"/>
      <c r="BC26" s="108"/>
      <c r="BD26" s="108"/>
      <c r="BE26" s="108"/>
      <c r="BF26" s="108"/>
      <c r="BG26" s="108"/>
      <c r="BH26" s="108"/>
      <c r="BI26" s="108"/>
      <c r="BJ26" s="108"/>
      <c r="BK26" s="108"/>
      <c r="BL26" s="108"/>
      <c r="BM26" s="108"/>
      <c r="BN26" s="108"/>
      <c r="BO26" s="108"/>
      <c r="BP26" s="108"/>
      <c r="BQ26" s="108"/>
      <c r="BR26" s="108"/>
      <c r="BS26" s="108"/>
      <c r="BT26" s="108"/>
      <c r="BU26" s="108"/>
      <c r="BV26" s="108"/>
      <c r="BW26" s="108"/>
      <c r="BX26" s="108"/>
      <c r="BY26" s="108"/>
      <c r="BZ26" s="108"/>
      <c r="CA26" s="108"/>
      <c r="CB26" s="108"/>
      <c r="CC26" s="108"/>
      <c r="CD26" s="108"/>
      <c r="CE26" s="108"/>
      <c r="CF26" s="108"/>
      <c r="CG26" s="108"/>
      <c r="CH26" s="108"/>
      <c r="CI26" s="108"/>
      <c r="CJ26" s="108"/>
      <c r="CK26" s="108"/>
      <c r="CL26" s="108"/>
      <c r="CM26" s="108"/>
      <c r="CN26" s="108"/>
      <c r="CO26" s="108"/>
      <c r="CP26" s="108"/>
      <c r="CQ26" s="108"/>
      <c r="CR26" s="108"/>
      <c r="CS26" s="108"/>
      <c r="CT26" s="108"/>
      <c r="CU26" s="108"/>
      <c r="CV26" s="108"/>
      <c r="CW26" s="108"/>
      <c r="CX26" s="108"/>
      <c r="CY26" s="108"/>
      <c r="CZ26" s="108"/>
      <c r="DA26" s="108"/>
      <c r="DB26" s="108"/>
      <c r="DC26" s="108"/>
      <c r="DD26" s="108"/>
    </row>
    <row r="27" spans="2:108" x14ac:dyDescent="0.25">
      <c r="B27" s="71"/>
      <c r="C27" s="126" t="s">
        <v>266</v>
      </c>
      <c r="D27" s="124" t="s">
        <v>218</v>
      </c>
      <c r="E27" s="362" t="s">
        <v>258</v>
      </c>
      <c r="F27" s="12">
        <v>0</v>
      </c>
      <c r="G27" s="12">
        <v>1</v>
      </c>
      <c r="H27" s="12">
        <v>2</v>
      </c>
      <c r="I27" s="12">
        <v>3</v>
      </c>
      <c r="J27" s="12">
        <v>4</v>
      </c>
      <c r="K27" s="12">
        <v>5</v>
      </c>
      <c r="L27" s="12">
        <v>6</v>
      </c>
      <c r="M27" s="24"/>
      <c r="N27" s="354"/>
      <c r="O27" s="354"/>
      <c r="P27" s="358"/>
      <c r="Q27" s="358"/>
      <c r="R27" s="358"/>
      <c r="S27" s="358"/>
      <c r="T27" s="358"/>
      <c r="U27" s="358"/>
      <c r="V27" s="358"/>
      <c r="W27" s="358"/>
      <c r="X27" s="358"/>
      <c r="Y27" s="358"/>
      <c r="Z27" s="52"/>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8"/>
      <c r="BO27" s="108"/>
      <c r="BP27" s="108"/>
      <c r="BQ27" s="108"/>
      <c r="BR27" s="108"/>
      <c r="BS27" s="108"/>
      <c r="BT27" s="108"/>
      <c r="BU27" s="108"/>
      <c r="BV27" s="108"/>
      <c r="BW27" s="108"/>
      <c r="BX27" s="108"/>
      <c r="BY27" s="108"/>
      <c r="BZ27" s="108"/>
      <c r="CA27" s="108"/>
      <c r="CB27" s="108"/>
      <c r="CC27" s="108"/>
      <c r="CD27" s="108"/>
      <c r="CE27" s="108"/>
      <c r="CF27" s="108"/>
      <c r="CG27" s="108"/>
      <c r="CH27" s="108"/>
      <c r="CI27" s="108"/>
      <c r="CJ27" s="108"/>
      <c r="CK27" s="108"/>
      <c r="CL27" s="108"/>
      <c r="CM27" s="108"/>
      <c r="CN27" s="108"/>
      <c r="CO27" s="108"/>
      <c r="CP27" s="108"/>
      <c r="CQ27" s="108"/>
      <c r="CR27" s="108"/>
      <c r="CS27" s="108"/>
      <c r="CT27" s="108"/>
      <c r="CU27" s="108"/>
      <c r="CV27" s="108"/>
      <c r="CW27" s="108"/>
      <c r="CX27" s="108"/>
      <c r="CY27" s="108"/>
      <c r="CZ27" s="108"/>
      <c r="DA27" s="108"/>
      <c r="DB27" s="108"/>
      <c r="DC27" s="108"/>
      <c r="DD27" s="108"/>
    </row>
    <row r="28" spans="2:108" x14ac:dyDescent="0.25">
      <c r="B28" s="71"/>
      <c r="C28" s="2"/>
      <c r="D28" s="13">
        <v>7</v>
      </c>
      <c r="E28" s="362" t="s">
        <v>267</v>
      </c>
      <c r="F28" s="12">
        <v>3.8699999999999998E-2</v>
      </c>
      <c r="G28" s="12">
        <v>4.2299999999999997E-2</v>
      </c>
      <c r="H28" s="248">
        <v>3.015E-2</v>
      </c>
      <c r="I28" s="12">
        <v>2.835E-2</v>
      </c>
      <c r="J28" s="12">
        <v>3.015E-2</v>
      </c>
      <c r="K28" s="12">
        <v>2.3400000000000001E-2</v>
      </c>
      <c r="L28" s="12">
        <v>2.4750000000000001E-2</v>
      </c>
      <c r="M28" s="24"/>
      <c r="N28" s="354"/>
      <c r="O28" s="354"/>
      <c r="P28" s="358"/>
      <c r="Q28" s="358"/>
      <c r="R28" s="358"/>
      <c r="S28" s="358"/>
      <c r="T28" s="358"/>
      <c r="U28" s="358"/>
      <c r="V28" s="358"/>
      <c r="W28" s="358"/>
      <c r="X28" s="358"/>
      <c r="Y28" s="358"/>
      <c r="Z28" s="52"/>
      <c r="AA28" s="108"/>
      <c r="AB28" s="108"/>
      <c r="AC28" s="108"/>
      <c r="AD28" s="108"/>
      <c r="AE28" s="108"/>
      <c r="AF28" s="108"/>
      <c r="AG28" s="108"/>
      <c r="AH28" s="108"/>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8"/>
      <c r="BO28" s="108"/>
      <c r="BP28" s="108"/>
      <c r="BQ28" s="108"/>
      <c r="BR28" s="108"/>
      <c r="BS28" s="108"/>
      <c r="BT28" s="108"/>
      <c r="BU28" s="108"/>
      <c r="BV28" s="108"/>
      <c r="BW28" s="108"/>
      <c r="BX28" s="108"/>
      <c r="BY28" s="108"/>
      <c r="BZ28" s="108"/>
      <c r="CA28" s="108"/>
      <c r="CB28" s="108"/>
      <c r="CC28" s="108"/>
      <c r="CD28" s="108"/>
      <c r="CE28" s="108"/>
      <c r="CF28" s="108"/>
      <c r="CG28" s="108"/>
      <c r="CH28" s="108"/>
      <c r="CI28" s="108"/>
      <c r="CJ28" s="108"/>
      <c r="CK28" s="108"/>
      <c r="CL28" s="108"/>
      <c r="CM28" s="108"/>
      <c r="CN28" s="108"/>
      <c r="CO28" s="108"/>
      <c r="CP28" s="108"/>
      <c r="CQ28" s="108"/>
      <c r="CR28" s="108"/>
      <c r="CS28" s="108"/>
      <c r="CT28" s="108"/>
      <c r="CU28" s="108"/>
      <c r="CV28" s="108"/>
      <c r="CW28" s="108"/>
      <c r="CX28" s="108"/>
      <c r="CY28" s="108"/>
      <c r="CZ28" s="108"/>
      <c r="DA28" s="108"/>
      <c r="DB28" s="108"/>
      <c r="DC28" s="108"/>
      <c r="DD28" s="108"/>
    </row>
    <row r="29" spans="2:108" x14ac:dyDescent="0.25">
      <c r="B29" s="71"/>
      <c r="C29" s="2"/>
      <c r="D29" s="2"/>
      <c r="E29" s="362" t="s">
        <v>268</v>
      </c>
      <c r="F29" s="12">
        <v>1</v>
      </c>
      <c r="G29" s="12">
        <v>1</v>
      </c>
      <c r="H29" s="12">
        <v>1</v>
      </c>
      <c r="I29" s="12">
        <v>1</v>
      </c>
      <c r="J29" s="12">
        <v>1</v>
      </c>
      <c r="K29" s="12">
        <v>1</v>
      </c>
      <c r="L29" s="12">
        <v>1</v>
      </c>
      <c r="M29" s="24"/>
      <c r="N29" s="354"/>
      <c r="O29" s="354"/>
      <c r="P29" s="358"/>
      <c r="Q29" s="358"/>
      <c r="R29" s="358"/>
      <c r="S29" s="358"/>
      <c r="T29" s="358"/>
      <c r="U29" s="358"/>
      <c r="V29" s="358"/>
      <c r="W29" s="358"/>
      <c r="X29" s="358"/>
      <c r="Y29" s="358"/>
      <c r="Z29" s="52"/>
      <c r="AA29" s="108"/>
      <c r="AB29" s="108"/>
      <c r="AC29" s="108"/>
      <c r="AD29" s="108"/>
      <c r="AE29" s="108"/>
      <c r="AF29" s="108"/>
      <c r="AG29" s="108"/>
      <c r="AH29" s="108"/>
      <c r="AI29" s="108"/>
      <c r="AJ29" s="108"/>
      <c r="AK29" s="108"/>
      <c r="AL29" s="108"/>
      <c r="AM29" s="108"/>
      <c r="AN29" s="108"/>
      <c r="AO29" s="108"/>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8"/>
      <c r="BO29" s="108"/>
      <c r="BP29" s="108"/>
      <c r="BQ29" s="108"/>
      <c r="BR29" s="108"/>
      <c r="BS29" s="108"/>
      <c r="BT29" s="108"/>
      <c r="BU29" s="108"/>
      <c r="BV29" s="108"/>
      <c r="BW29" s="108"/>
      <c r="BX29" s="108"/>
      <c r="BY29" s="108"/>
      <c r="BZ29" s="108"/>
      <c r="CA29" s="108"/>
      <c r="CB29" s="108"/>
      <c r="CC29" s="108"/>
      <c r="CD29" s="108"/>
      <c r="CE29" s="108"/>
      <c r="CF29" s="108"/>
      <c r="CG29" s="108"/>
      <c r="CH29" s="108"/>
      <c r="CI29" s="108"/>
      <c r="CJ29" s="108"/>
      <c r="CK29" s="108"/>
      <c r="CL29" s="108"/>
      <c r="CM29" s="108"/>
      <c r="CN29" s="108"/>
      <c r="CO29" s="108"/>
      <c r="CP29" s="108"/>
      <c r="CQ29" s="108"/>
      <c r="CR29" s="108"/>
      <c r="CS29" s="108"/>
      <c r="CT29" s="108"/>
      <c r="CU29" s="108"/>
      <c r="CV29" s="108"/>
      <c r="CW29" s="108"/>
      <c r="CX29" s="108"/>
      <c r="CY29" s="108"/>
      <c r="CZ29" s="108"/>
      <c r="DA29" s="108"/>
      <c r="DB29" s="108"/>
      <c r="DC29" s="108"/>
      <c r="DD29" s="108"/>
    </row>
    <row r="30" spans="2:108" hidden="1" x14ac:dyDescent="0.25">
      <c r="B30" s="71"/>
      <c r="C30" s="2"/>
      <c r="D30" s="14"/>
      <c r="E30" s="362" t="s">
        <v>269</v>
      </c>
      <c r="F30" s="12"/>
      <c r="G30" s="12"/>
      <c r="H30" s="12"/>
      <c r="I30" s="12"/>
      <c r="J30" s="12"/>
      <c r="K30" s="12"/>
      <c r="L30" s="12"/>
      <c r="M30" s="24"/>
      <c r="N30" s="354"/>
      <c r="O30" s="354"/>
      <c r="P30" s="358"/>
      <c r="Q30" s="358"/>
      <c r="R30" s="358"/>
      <c r="S30" s="358"/>
      <c r="T30" s="358"/>
      <c r="U30" s="358"/>
      <c r="V30" s="358"/>
      <c r="W30" s="358"/>
      <c r="X30" s="358"/>
      <c r="Y30" s="358"/>
      <c r="Z30" s="52"/>
      <c r="AA30" s="108"/>
      <c r="AB30" s="108"/>
      <c r="AC30" s="108"/>
      <c r="AD30" s="108"/>
      <c r="AE30" s="108"/>
      <c r="AF30" s="108"/>
      <c r="AG30" s="108"/>
      <c r="AH30" s="108"/>
      <c r="AI30" s="108"/>
      <c r="AJ30" s="108"/>
      <c r="AK30" s="108"/>
      <c r="AL30" s="108"/>
      <c r="AM30" s="108"/>
      <c r="AN30" s="108"/>
      <c r="AO30" s="108"/>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8"/>
      <c r="BO30" s="108"/>
      <c r="BP30" s="108"/>
      <c r="BQ30" s="108"/>
      <c r="BR30" s="108"/>
      <c r="BS30" s="108"/>
      <c r="BT30" s="108"/>
      <c r="BU30" s="108"/>
      <c r="BV30" s="108"/>
      <c r="BW30" s="108"/>
      <c r="BX30" s="108"/>
      <c r="BY30" s="108"/>
      <c r="BZ30" s="108"/>
      <c r="CA30" s="108"/>
      <c r="CB30" s="108"/>
      <c r="CC30" s="108"/>
      <c r="CD30" s="108"/>
      <c r="CE30" s="108"/>
      <c r="CF30" s="108"/>
      <c r="CG30" s="108"/>
      <c r="CH30" s="108"/>
      <c r="CI30" s="108"/>
      <c r="CJ30" s="108"/>
      <c r="CK30" s="108"/>
      <c r="CL30" s="108"/>
      <c r="CM30" s="108"/>
      <c r="CN30" s="108"/>
      <c r="CO30" s="108"/>
      <c r="CP30" s="108"/>
      <c r="CQ30" s="108"/>
      <c r="CR30" s="108"/>
      <c r="CS30" s="108"/>
      <c r="CT30" s="108"/>
      <c r="CU30" s="108"/>
      <c r="CV30" s="108"/>
      <c r="CW30" s="108"/>
      <c r="CX30" s="108"/>
      <c r="CY30" s="108"/>
      <c r="CZ30" s="108"/>
      <c r="DA30" s="108"/>
      <c r="DB30" s="108"/>
      <c r="DC30" s="108"/>
      <c r="DD30" s="108"/>
    </row>
    <row r="31" spans="2:108" hidden="1" x14ac:dyDescent="0.25">
      <c r="B31" s="71"/>
      <c r="C31" s="2"/>
      <c r="D31" s="14"/>
      <c r="E31" s="362" t="s">
        <v>270</v>
      </c>
      <c r="F31" s="23"/>
      <c r="G31" s="23"/>
      <c r="H31" s="23"/>
      <c r="I31" s="23"/>
      <c r="J31" s="23"/>
      <c r="K31" s="23"/>
      <c r="L31" s="23"/>
      <c r="M31" s="354"/>
      <c r="N31" s="354"/>
      <c r="O31" s="354"/>
      <c r="P31" s="358"/>
      <c r="Q31" s="358"/>
      <c r="R31" s="358"/>
      <c r="S31" s="358"/>
      <c r="T31" s="358"/>
      <c r="U31" s="358"/>
      <c r="V31" s="358"/>
      <c r="W31" s="358"/>
      <c r="X31" s="358"/>
      <c r="Y31" s="358"/>
      <c r="Z31" s="52"/>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8"/>
      <c r="BO31" s="108"/>
      <c r="BP31" s="108"/>
      <c r="BQ31" s="108"/>
      <c r="BR31" s="108"/>
      <c r="BS31" s="108"/>
      <c r="BT31" s="108"/>
      <c r="BU31" s="108"/>
      <c r="BV31" s="108"/>
      <c r="BW31" s="108"/>
      <c r="BX31" s="108"/>
      <c r="BY31" s="108"/>
      <c r="BZ31" s="108"/>
      <c r="CA31" s="108"/>
      <c r="CB31" s="108"/>
      <c r="CC31" s="108"/>
      <c r="CD31" s="108"/>
      <c r="CE31" s="108"/>
      <c r="CF31" s="108"/>
      <c r="CG31" s="108"/>
      <c r="CH31" s="108"/>
      <c r="CI31" s="108"/>
      <c r="CJ31" s="108"/>
      <c r="CK31" s="108"/>
      <c r="CL31" s="108"/>
      <c r="CM31" s="108"/>
      <c r="CN31" s="108"/>
      <c r="CO31" s="108"/>
      <c r="CP31" s="108"/>
      <c r="CQ31" s="108"/>
      <c r="CR31" s="108"/>
      <c r="CS31" s="108"/>
      <c r="CT31" s="108"/>
      <c r="CU31" s="108"/>
      <c r="CV31" s="108"/>
      <c r="CW31" s="108"/>
      <c r="CX31" s="108"/>
      <c r="CY31" s="108"/>
      <c r="CZ31" s="108"/>
      <c r="DA31" s="108"/>
      <c r="DB31" s="108"/>
      <c r="DC31" s="108"/>
      <c r="DD31" s="108"/>
    </row>
    <row r="32" spans="2:108" x14ac:dyDescent="0.25">
      <c r="B32" s="71"/>
      <c r="C32" s="2"/>
      <c r="D32" s="2"/>
      <c r="E32" s="2"/>
      <c r="F32" s="2"/>
      <c r="G32" s="2"/>
      <c r="H32" s="140"/>
      <c r="I32" s="4"/>
      <c r="J32" s="2"/>
      <c r="K32" s="14"/>
      <c r="L32" s="14"/>
      <c r="M32" s="24"/>
      <c r="N32" s="24"/>
      <c r="O32" s="24"/>
      <c r="P32" s="2"/>
      <c r="Q32" s="2"/>
      <c r="R32" s="2"/>
      <c r="S32" s="2"/>
      <c r="T32" s="2"/>
      <c r="U32" s="2"/>
      <c r="V32" s="2"/>
      <c r="W32" s="2"/>
      <c r="X32" s="2"/>
      <c r="Y32"/>
      <c r="Z32" s="52"/>
      <c r="AA32" s="108"/>
      <c r="AB32" s="108"/>
      <c r="AC32" s="108"/>
      <c r="AD32" s="108"/>
      <c r="AE32" s="108"/>
      <c r="AF32" s="108"/>
      <c r="AG32" s="108"/>
      <c r="AH32" s="108"/>
      <c r="AI32" s="108"/>
      <c r="AJ32" s="108"/>
      <c r="AK32" s="108"/>
      <c r="AL32" s="108"/>
      <c r="AM32" s="108"/>
      <c r="AN32" s="108"/>
      <c r="AO32" s="108"/>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8"/>
      <c r="BO32" s="108"/>
      <c r="BP32" s="108"/>
      <c r="BQ32" s="108"/>
      <c r="BR32" s="108"/>
      <c r="BS32" s="108"/>
      <c r="BT32" s="108"/>
      <c r="BU32" s="108"/>
      <c r="BV32" s="108"/>
      <c r="BW32" s="108"/>
      <c r="BX32" s="108"/>
      <c r="BY32" s="108"/>
      <c r="BZ32" s="108"/>
      <c r="CA32" s="108"/>
      <c r="CB32" s="108"/>
      <c r="CC32" s="108"/>
      <c r="CD32" s="108"/>
      <c r="CE32" s="108"/>
      <c r="CF32" s="108"/>
      <c r="CG32" s="108"/>
      <c r="CH32" s="108"/>
      <c r="CI32" s="108"/>
      <c r="CJ32" s="108"/>
      <c r="CK32" s="108"/>
      <c r="CL32" s="108"/>
      <c r="CM32" s="108"/>
      <c r="CN32" s="108"/>
      <c r="CO32" s="108"/>
      <c r="CP32" s="108"/>
      <c r="CQ32" s="108"/>
      <c r="CR32" s="108"/>
      <c r="CS32" s="108"/>
      <c r="CT32" s="108"/>
      <c r="CU32" s="108"/>
      <c r="CV32" s="108"/>
      <c r="CW32" s="108"/>
      <c r="CX32" s="108"/>
      <c r="CY32" s="108"/>
      <c r="CZ32" s="108"/>
      <c r="DA32" s="108"/>
      <c r="DB32" s="108"/>
      <c r="DC32" s="108"/>
      <c r="DD32" s="108"/>
    </row>
    <row r="33" spans="2:56" x14ac:dyDescent="0.25">
      <c r="B33" s="71"/>
      <c r="C33" s="2"/>
      <c r="D33" s="127" t="s">
        <v>138</v>
      </c>
      <c r="E33" s="126" t="s">
        <v>271</v>
      </c>
      <c r="F33" s="12">
        <v>0.6</v>
      </c>
      <c r="G33" s="14"/>
      <c r="H33" s="14"/>
      <c r="I33" s="14"/>
      <c r="J33" s="14"/>
      <c r="K33" s="14"/>
      <c r="L33" s="14"/>
      <c r="M33" s="2"/>
      <c r="N33" s="2"/>
      <c r="O33" s="2"/>
      <c r="P33" s="2"/>
      <c r="Q33" s="2"/>
      <c r="R33" s="2"/>
      <c r="S33" s="2"/>
      <c r="T33" s="2"/>
      <c r="U33" s="2"/>
      <c r="V33" s="2"/>
      <c r="W33" s="2"/>
      <c r="X33" s="2"/>
      <c r="Y33"/>
      <c r="Z33" s="52"/>
      <c r="AH33" s="108"/>
    </row>
    <row r="34" spans="2:56" hidden="1" x14ac:dyDescent="0.25">
      <c r="B34" s="71"/>
      <c r="C34" s="2"/>
      <c r="D34" s="14"/>
      <c r="E34" s="126" t="s">
        <v>272</v>
      </c>
      <c r="F34" s="12"/>
      <c r="G34" s="14"/>
      <c r="H34" s="14"/>
      <c r="I34" s="14"/>
      <c r="J34" s="14"/>
      <c r="K34" s="14"/>
      <c r="L34" s="14"/>
      <c r="M34" s="2"/>
      <c r="N34" s="2"/>
      <c r="O34" s="2"/>
      <c r="P34" s="2"/>
      <c r="Q34" s="2"/>
      <c r="R34" s="2"/>
      <c r="S34" s="2"/>
      <c r="T34" s="2"/>
      <c r="U34" s="2"/>
      <c r="V34" s="2"/>
      <c r="W34" s="2"/>
      <c r="X34" s="2"/>
      <c r="Y34" s="2"/>
      <c r="Z34" s="52"/>
      <c r="AH34" s="108"/>
    </row>
    <row r="35" spans="2:56" ht="15.4" hidden="1" customHeight="1" x14ac:dyDescent="0.25">
      <c r="B35" s="71"/>
      <c r="C35" s="2"/>
      <c r="D35" s="14"/>
      <c r="E35" s="126" t="s">
        <v>273</v>
      </c>
      <c r="F35" s="12"/>
      <c r="G35" s="14"/>
      <c r="H35" s="14"/>
      <c r="I35" s="14"/>
      <c r="J35" s="14"/>
      <c r="K35" s="14"/>
      <c r="L35" s="14"/>
      <c r="M35" s="2"/>
      <c r="N35" s="2"/>
      <c r="O35" s="2"/>
      <c r="P35" s="2"/>
      <c r="Q35" s="2"/>
      <c r="R35" s="2"/>
      <c r="S35" s="2"/>
      <c r="T35" s="2"/>
      <c r="U35" s="2"/>
      <c r="V35" s="2"/>
      <c r="W35" s="2"/>
      <c r="X35" s="2"/>
      <c r="Y35" s="2"/>
      <c r="Z35" s="52"/>
      <c r="AH35" s="108"/>
    </row>
    <row r="36" spans="2:56" ht="15.4" customHeight="1" thickBot="1" x14ac:dyDescent="0.3">
      <c r="B36" s="72"/>
      <c r="C36" s="50"/>
      <c r="D36" s="123"/>
      <c r="E36" s="123"/>
      <c r="F36" s="123"/>
      <c r="G36" s="123"/>
      <c r="H36" s="123"/>
      <c r="I36" s="123"/>
      <c r="J36" s="123"/>
      <c r="K36" s="123"/>
      <c r="L36" s="123"/>
      <c r="M36" s="50"/>
      <c r="N36" s="50"/>
      <c r="O36" s="50"/>
      <c r="P36" s="50"/>
      <c r="Q36" s="50"/>
      <c r="R36" s="50"/>
      <c r="S36" s="50"/>
      <c r="T36" s="50"/>
      <c r="U36" s="50"/>
      <c r="V36" s="50"/>
      <c r="W36" s="50"/>
      <c r="X36" s="50"/>
      <c r="Y36" s="50"/>
      <c r="Z36" s="51"/>
      <c r="AH36" s="108"/>
      <c r="BC36" s="19"/>
      <c r="BD36" s="19"/>
    </row>
    <row r="37" spans="2:56" s="36" customFormat="1" ht="45" customHeight="1" thickBot="1" x14ac:dyDescent="0.3">
      <c r="B37" s="242" t="s">
        <v>20</v>
      </c>
      <c r="C37" s="245"/>
      <c r="D37" s="245"/>
      <c r="E37" s="245"/>
      <c r="F37" s="246"/>
      <c r="G37" s="246"/>
      <c r="H37" s="378"/>
      <c r="I37" s="246"/>
      <c r="J37" s="246"/>
      <c r="K37" s="246"/>
      <c r="L37" s="246"/>
      <c r="M37" s="243"/>
      <c r="N37" s="243"/>
      <c r="O37" s="243"/>
      <c r="P37" s="243"/>
      <c r="Q37" s="243"/>
      <c r="R37" s="243"/>
      <c r="S37" s="243"/>
      <c r="T37" s="243"/>
      <c r="U37" s="243"/>
      <c r="V37" s="243"/>
      <c r="W37" s="243"/>
      <c r="X37" s="243"/>
      <c r="Y37" s="243"/>
      <c r="Z37" s="247"/>
      <c r="AA37" s="19"/>
      <c r="AB37" s="19"/>
      <c r="AC37" s="19"/>
      <c r="AD37" s="19"/>
      <c r="AE37" s="19"/>
      <c r="AF37" s="19"/>
      <c r="AG37" s="19"/>
      <c r="AH37" s="108"/>
      <c r="AI37" s="19"/>
      <c r="AJ37" s="19"/>
      <c r="AK37" s="19"/>
      <c r="AL37" s="19"/>
      <c r="AM37" s="19"/>
      <c r="AN37" s="19"/>
      <c r="AO37" s="19"/>
      <c r="AP37" s="19"/>
      <c r="AQ37" s="19"/>
      <c r="AR37" s="19"/>
      <c r="AS37" s="19"/>
      <c r="AT37" s="19"/>
      <c r="AU37" s="19"/>
      <c r="AV37" s="19"/>
      <c r="AW37" s="19"/>
      <c r="AX37" s="19"/>
    </row>
    <row r="38" spans="2:56" ht="11.5" customHeight="1" x14ac:dyDescent="0.25">
      <c r="B38" s="71"/>
      <c r="C38" s="239" t="s">
        <v>257</v>
      </c>
      <c r="D38" s="240" t="s">
        <v>218</v>
      </c>
      <c r="E38" s="241" t="s">
        <v>258</v>
      </c>
      <c r="F38" s="12">
        <v>0</v>
      </c>
      <c r="G38" s="24"/>
      <c r="H38" s="24"/>
      <c r="I38"/>
      <c r="J38"/>
      <c r="K38"/>
      <c r="L38"/>
      <c r="M38" s="24"/>
      <c r="N38" s="24"/>
      <c r="O38" s="24"/>
      <c r="P38" s="24"/>
      <c r="Q38" s="24"/>
      <c r="R38" s="24"/>
      <c r="S38" s="24"/>
      <c r="T38" s="24"/>
      <c r="U38" s="24"/>
      <c r="V38" s="24"/>
      <c r="W38" s="24"/>
      <c r="X38" s="24"/>
      <c r="Y38" s="24"/>
      <c r="Z38" s="380"/>
      <c r="AA38" s="228"/>
      <c r="AB38" s="228"/>
      <c r="AH38" s="108"/>
      <c r="BC38" s="19"/>
      <c r="BD38" s="19"/>
    </row>
    <row r="39" spans="2:56" ht="11.5" customHeight="1" x14ac:dyDescent="0.25">
      <c r="B39" s="139"/>
      <c r="C39" s="140"/>
      <c r="D39" s="13">
        <v>1</v>
      </c>
      <c r="E39" s="124" t="s">
        <v>255</v>
      </c>
      <c r="F39" s="12">
        <v>10</v>
      </c>
      <c r="G39" s="24"/>
      <c r="H39" s="24"/>
      <c r="I39"/>
      <c r="J39"/>
      <c r="K39"/>
      <c r="L39"/>
      <c r="M39" s="24"/>
      <c r="N39" s="24"/>
      <c r="O39" s="24"/>
      <c r="P39" s="390"/>
      <c r="Q39" s="390"/>
      <c r="R39" s="390"/>
      <c r="S39" s="390"/>
      <c r="T39" s="390"/>
      <c r="U39" s="390"/>
      <c r="V39" s="390"/>
      <c r="W39" s="390"/>
      <c r="X39" s="390"/>
      <c r="Y39" s="24"/>
      <c r="Z39" s="52"/>
      <c r="AA39" s="228"/>
      <c r="AB39" s="228"/>
      <c r="AH39" s="108"/>
      <c r="BC39" s="19"/>
      <c r="BD39" s="19"/>
    </row>
    <row r="40" spans="2:56" ht="11.5" hidden="1" customHeight="1" x14ac:dyDescent="0.25">
      <c r="B40" s="139"/>
      <c r="C40" s="140"/>
      <c r="D40" s="14"/>
      <c r="E40" s="124" t="s">
        <v>259</v>
      </c>
      <c r="F40" s="23"/>
      <c r="G40" s="389"/>
      <c r="H40" s="24"/>
      <c r="I40"/>
      <c r="J40"/>
      <c r="K40"/>
      <c r="L40"/>
      <c r="M40" s="24"/>
      <c r="N40" s="24"/>
      <c r="O40" s="24"/>
      <c r="P40" s="390"/>
      <c r="Q40" s="390"/>
      <c r="R40" s="390"/>
      <c r="S40" s="390"/>
      <c r="T40" s="390"/>
      <c r="U40" s="390"/>
      <c r="V40" s="390"/>
      <c r="W40" s="390"/>
      <c r="X40" s="390"/>
      <c r="Y40" s="390"/>
      <c r="Z40" s="52"/>
      <c r="AA40" s="228"/>
      <c r="AB40" s="228"/>
      <c r="AC40" s="228"/>
      <c r="AD40" s="228"/>
      <c r="AE40" s="228"/>
      <c r="AF40" s="228"/>
      <c r="AG40" s="228"/>
      <c r="AH40" s="228"/>
      <c r="AI40" s="228"/>
      <c r="AJ40" s="228"/>
      <c r="AK40" s="228"/>
      <c r="AL40" s="228"/>
      <c r="AM40" s="228"/>
      <c r="AN40" s="228"/>
      <c r="AO40" s="228"/>
      <c r="AP40" s="228"/>
      <c r="AQ40" s="228"/>
      <c r="AR40" s="228"/>
      <c r="AS40" s="228"/>
      <c r="AT40" s="228"/>
      <c r="AU40" s="228"/>
      <c r="AV40" s="228"/>
      <c r="AW40" s="228"/>
      <c r="AX40" s="228"/>
      <c r="AY40" s="228"/>
      <c r="AZ40" s="228"/>
      <c r="BA40" s="228"/>
      <c r="BB40" s="228"/>
      <c r="BC40" s="228"/>
      <c r="BD40" s="228"/>
    </row>
    <row r="41" spans="2:56" ht="11.5" hidden="1" customHeight="1" x14ac:dyDescent="0.25">
      <c r="B41" s="139"/>
      <c r="C41" s="140"/>
      <c r="D41" s="14"/>
      <c r="E41" s="124" t="s">
        <v>260</v>
      </c>
      <c r="F41" s="12"/>
      <c r="G41" s="389"/>
      <c r="H41" s="24"/>
      <c r="I41"/>
      <c r="J41"/>
      <c r="K41"/>
      <c r="L41"/>
      <c r="M41" s="24"/>
      <c r="N41" s="24"/>
      <c r="O41" s="24"/>
      <c r="P41" s="390"/>
      <c r="Q41" s="390"/>
      <c r="R41" s="390"/>
      <c r="S41" s="390"/>
      <c r="T41" s="390"/>
      <c r="U41" s="390"/>
      <c r="V41" s="390"/>
      <c r="W41" s="390"/>
      <c r="X41" s="390"/>
      <c r="Y41" s="390"/>
      <c r="Z41" s="52"/>
      <c r="AA41" s="228"/>
      <c r="AB41" s="228"/>
      <c r="AC41" s="228"/>
      <c r="AD41" s="228"/>
      <c r="AE41" s="228"/>
      <c r="AF41" s="228"/>
      <c r="AG41" s="228"/>
      <c r="AH41" s="228"/>
      <c r="AI41" s="228"/>
      <c r="AJ41" s="228"/>
      <c r="AK41" s="228"/>
      <c r="AL41" s="228"/>
      <c r="AM41" s="228"/>
      <c r="AN41" s="228"/>
      <c r="AO41" s="228"/>
      <c r="AP41" s="228"/>
      <c r="AQ41" s="228"/>
      <c r="AR41" s="228"/>
      <c r="AS41" s="228"/>
      <c r="AT41" s="228"/>
      <c r="AU41" s="228"/>
      <c r="AV41" s="228"/>
      <c r="AW41" s="228"/>
      <c r="AX41" s="228"/>
      <c r="AY41" s="228"/>
      <c r="AZ41" s="228"/>
      <c r="BA41" s="228"/>
      <c r="BB41" s="228"/>
      <c r="BC41" s="228"/>
      <c r="BD41" s="228"/>
    </row>
    <row r="42" spans="2:56" ht="11.5" hidden="1" customHeight="1" x14ac:dyDescent="0.25">
      <c r="B42" s="139"/>
      <c r="C42" s="140"/>
      <c r="D42" s="14"/>
      <c r="E42" s="14"/>
      <c r="F42" s="24"/>
      <c r="G42" s="24"/>
      <c r="H42" s="24"/>
      <c r="I42" s="24"/>
      <c r="J42" s="24"/>
      <c r="K42" s="24"/>
      <c r="L42" s="24"/>
      <c r="M42" s="24"/>
      <c r="N42"/>
      <c r="O42"/>
      <c r="P42"/>
      <c r="Q42"/>
      <c r="R42"/>
      <c r="S42"/>
      <c r="T42"/>
      <c r="U42"/>
      <c r="V42"/>
      <c r="W42"/>
      <c r="X42"/>
      <c r="Y42"/>
      <c r="Z42" s="52"/>
      <c r="AA42" s="228"/>
      <c r="AB42" s="228"/>
      <c r="AC42" s="228"/>
      <c r="AD42" s="228"/>
      <c r="AE42" s="228"/>
      <c r="AF42" s="228"/>
      <c r="AG42" s="228"/>
      <c r="AH42" s="228"/>
      <c r="AI42" s="228"/>
      <c r="AJ42" s="228"/>
      <c r="AK42" s="228"/>
      <c r="AL42" s="228"/>
      <c r="AM42" s="228"/>
      <c r="AN42" s="228"/>
      <c r="AO42" s="228"/>
      <c r="AP42" s="228"/>
      <c r="AQ42" s="228"/>
      <c r="AR42" s="228"/>
      <c r="AS42" s="228"/>
      <c r="AT42" s="228"/>
      <c r="AU42" s="228"/>
      <c r="AV42" s="228"/>
      <c r="AW42" s="228"/>
      <c r="AX42" s="228"/>
      <c r="AY42" s="228"/>
      <c r="AZ42" s="228"/>
      <c r="BA42" s="228"/>
      <c r="BB42" s="228"/>
      <c r="BC42" s="228"/>
      <c r="BD42" s="228"/>
    </row>
    <row r="43" spans="2:56" ht="25" hidden="1" customHeight="1" x14ac:dyDescent="0.25">
      <c r="B43" s="139"/>
      <c r="C43" s="140"/>
      <c r="D43" s="2"/>
      <c r="E43" s="128" t="s">
        <v>276</v>
      </c>
      <c r="F43" s="125" t="s">
        <v>262</v>
      </c>
      <c r="G43" s="125" t="s">
        <v>263</v>
      </c>
      <c r="H43" s="125" t="s">
        <v>264</v>
      </c>
      <c r="I43" s="125" t="s">
        <v>265</v>
      </c>
      <c r="J43" s="14"/>
      <c r="K43" s="14"/>
      <c r="L43" s="14"/>
      <c r="M43" s="2"/>
      <c r="N43" s="2"/>
      <c r="O43" s="2"/>
      <c r="P43" s="2"/>
      <c r="Q43" s="2"/>
      <c r="R43" s="2"/>
      <c r="S43" s="2"/>
      <c r="T43" s="2"/>
      <c r="U43" s="2"/>
      <c r="V43" s="2"/>
      <c r="W43" s="2"/>
      <c r="X43" s="2"/>
      <c r="Y43" s="2"/>
      <c r="Z43" s="52"/>
      <c r="AA43" s="228"/>
      <c r="AB43" s="228"/>
      <c r="AC43" s="228"/>
      <c r="AD43" s="228"/>
      <c r="AE43" s="228"/>
      <c r="AF43" s="228"/>
      <c r="AG43" s="228"/>
      <c r="AH43" s="228"/>
      <c r="AI43" s="228"/>
      <c r="AJ43" s="228"/>
      <c r="AK43" s="228"/>
      <c r="AL43" s="228"/>
      <c r="AM43" s="228"/>
      <c r="AN43" s="228"/>
      <c r="AO43" s="228"/>
      <c r="AP43" s="228"/>
      <c r="AQ43" s="228"/>
      <c r="AR43" s="228"/>
      <c r="AS43" s="228"/>
      <c r="AT43" s="228"/>
      <c r="AU43" s="228"/>
      <c r="AV43" s="228"/>
      <c r="AW43" s="228"/>
      <c r="AX43" s="228"/>
      <c r="AY43" s="228"/>
      <c r="AZ43" s="228"/>
      <c r="BA43" s="228"/>
      <c r="BB43" s="228"/>
      <c r="BC43" s="228"/>
      <c r="BD43" s="228"/>
    </row>
    <row r="44" spans="2:56" ht="11.5" hidden="1" customHeight="1" x14ac:dyDescent="0.25">
      <c r="B44" s="139"/>
      <c r="C44" s="140"/>
      <c r="D44" s="2"/>
      <c r="E44" s="126">
        <v>1</v>
      </c>
      <c r="F44" s="23"/>
      <c r="G44" s="23"/>
      <c r="H44" s="23"/>
      <c r="I44" s="23"/>
      <c r="J44" s="14"/>
      <c r="K44" s="14"/>
      <c r="L44" s="14"/>
      <c r="M44" s="2"/>
      <c r="N44" s="2"/>
      <c r="O44" s="2"/>
      <c r="P44" s="2"/>
      <c r="Q44" s="2"/>
      <c r="R44" s="2"/>
      <c r="S44" s="2"/>
      <c r="T44" s="2"/>
      <c r="U44" s="2"/>
      <c r="V44" s="2"/>
      <c r="W44" s="2"/>
      <c r="X44" s="2"/>
      <c r="Y44" s="2"/>
      <c r="Z44" s="52"/>
      <c r="AA44" s="228"/>
      <c r="AB44" s="228"/>
      <c r="AC44" s="228"/>
      <c r="AD44" s="228"/>
      <c r="AE44" s="228"/>
      <c r="AF44" s="228"/>
      <c r="AG44" s="228"/>
      <c r="AH44" s="228"/>
      <c r="AI44" s="228"/>
      <c r="AJ44" s="228"/>
      <c r="AK44" s="228"/>
      <c r="AL44" s="228"/>
      <c r="AM44" s="228"/>
      <c r="AN44" s="228"/>
      <c r="AO44" s="228"/>
      <c r="AP44" s="228"/>
      <c r="AQ44" s="228"/>
      <c r="AR44" s="228"/>
      <c r="AS44" s="228"/>
      <c r="AT44" s="228"/>
      <c r="AU44" s="228"/>
      <c r="AV44" s="228"/>
      <c r="AW44" s="228"/>
      <c r="AX44" s="228"/>
      <c r="AY44" s="228"/>
      <c r="AZ44" s="228"/>
      <c r="BA44" s="228"/>
      <c r="BB44" s="228"/>
      <c r="BC44" s="228"/>
      <c r="BD44" s="228"/>
    </row>
    <row r="45" spans="2:56" ht="11.5" hidden="1" customHeight="1" x14ac:dyDescent="0.25">
      <c r="B45" s="139"/>
      <c r="C45" s="140"/>
      <c r="D45" s="2"/>
      <c r="E45" s="126">
        <v>2</v>
      </c>
      <c r="F45" s="12"/>
      <c r="G45" s="12"/>
      <c r="H45" s="12"/>
      <c r="I45" s="12"/>
      <c r="J45" s="14"/>
      <c r="K45" s="14"/>
      <c r="L45" s="14"/>
      <c r="M45" s="2"/>
      <c r="N45" s="2"/>
      <c r="O45" s="2"/>
      <c r="P45" s="2"/>
      <c r="Q45" s="2"/>
      <c r="R45" s="2"/>
      <c r="S45" s="2"/>
      <c r="T45" s="2"/>
      <c r="U45" s="2"/>
      <c r="V45" s="2"/>
      <c r="W45" s="2"/>
      <c r="X45" s="2"/>
      <c r="Y45" s="2"/>
      <c r="Z45" s="52"/>
      <c r="AA45" s="228"/>
      <c r="AB45" s="228"/>
      <c r="AC45" s="228"/>
      <c r="AD45" s="228"/>
      <c r="AE45" s="228"/>
      <c r="AF45" s="228"/>
      <c r="AG45" s="228"/>
      <c r="AH45" s="228"/>
      <c r="AI45" s="228"/>
      <c r="AJ45" s="228"/>
      <c r="AK45" s="228"/>
      <c r="AL45" s="228"/>
      <c r="AM45" s="228"/>
      <c r="AN45" s="228"/>
      <c r="AO45" s="228"/>
      <c r="AP45" s="228"/>
      <c r="AQ45" s="228"/>
      <c r="AR45" s="228"/>
      <c r="AS45" s="228"/>
      <c r="AT45" s="228"/>
      <c r="AU45" s="228"/>
      <c r="AV45" s="228"/>
      <c r="AW45" s="228"/>
      <c r="AX45" s="228"/>
      <c r="AY45" s="228"/>
      <c r="AZ45" s="228"/>
      <c r="BA45" s="228"/>
      <c r="BB45" s="228"/>
      <c r="BC45" s="228"/>
      <c r="BD45" s="228"/>
    </row>
    <row r="46" spans="2:56" ht="11.5" hidden="1" customHeight="1" x14ac:dyDescent="0.25">
      <c r="B46" s="139"/>
      <c r="C46" s="140"/>
      <c r="D46" s="14"/>
      <c r="E46" s="126">
        <v>3</v>
      </c>
      <c r="F46" s="12"/>
      <c r="G46" s="12"/>
      <c r="H46" s="12"/>
      <c r="I46" s="12"/>
      <c r="J46" s="14"/>
      <c r="K46" s="14"/>
      <c r="L46" s="14"/>
      <c r="M46" s="2"/>
      <c r="N46" s="2"/>
      <c r="O46" s="2"/>
      <c r="P46" s="2"/>
      <c r="Q46" s="2"/>
      <c r="R46" s="2"/>
      <c r="S46" s="2"/>
      <c r="T46" s="2"/>
      <c r="U46" s="2"/>
      <c r="V46" s="2"/>
      <c r="W46" s="2"/>
      <c r="X46" s="2"/>
      <c r="Y46" s="2"/>
      <c r="Z46" s="52"/>
      <c r="AA46" s="228"/>
      <c r="AB46" s="228"/>
      <c r="AC46" s="228"/>
      <c r="AD46" s="228"/>
      <c r="AE46" s="228"/>
      <c r="AF46" s="228"/>
      <c r="AG46" s="228"/>
      <c r="AH46" s="228"/>
      <c r="AI46" s="228"/>
      <c r="AJ46" s="228"/>
      <c r="AK46" s="228"/>
      <c r="AL46" s="228"/>
      <c r="AM46" s="228"/>
      <c r="AN46" s="228"/>
      <c r="AO46" s="228"/>
      <c r="AP46" s="228"/>
      <c r="AQ46" s="228"/>
      <c r="AR46" s="228"/>
      <c r="AS46" s="228"/>
      <c r="AT46" s="228"/>
      <c r="AU46" s="228"/>
      <c r="AV46" s="228"/>
      <c r="AW46" s="228"/>
      <c r="AX46" s="228"/>
      <c r="AY46" s="228"/>
      <c r="AZ46" s="228"/>
      <c r="BA46" s="228"/>
      <c r="BB46" s="228"/>
      <c r="BC46" s="228"/>
      <c r="BD46" s="228"/>
    </row>
    <row r="47" spans="2:56" ht="11.5" hidden="1" customHeight="1" x14ac:dyDescent="0.25">
      <c r="B47" s="139"/>
      <c r="C47" s="140"/>
      <c r="D47" s="14"/>
      <c r="E47" s="126">
        <v>4</v>
      </c>
      <c r="F47" s="12"/>
      <c r="G47" s="12"/>
      <c r="H47" s="12"/>
      <c r="I47" s="12"/>
      <c r="J47" s="14"/>
      <c r="K47" s="14"/>
      <c r="L47" s="14"/>
      <c r="M47" s="2"/>
      <c r="N47" s="2"/>
      <c r="O47" s="2"/>
      <c r="P47" s="2"/>
      <c r="Q47" s="2"/>
      <c r="R47" s="2"/>
      <c r="S47" s="2"/>
      <c r="T47" s="2"/>
      <c r="U47" s="2"/>
      <c r="V47" s="2"/>
      <c r="W47" s="2"/>
      <c r="X47" s="2"/>
      <c r="Y47" s="2"/>
      <c r="Z47" s="52"/>
      <c r="AA47" s="228"/>
      <c r="AB47" s="228"/>
      <c r="AC47" s="228"/>
      <c r="AD47" s="228"/>
      <c r="AE47" s="228"/>
      <c r="AF47" s="228"/>
      <c r="AG47" s="228"/>
      <c r="AH47" s="228"/>
      <c r="AI47" s="228"/>
      <c r="AJ47" s="228"/>
      <c r="AK47" s="228"/>
      <c r="AL47" s="228"/>
      <c r="AM47" s="228"/>
      <c r="AN47" s="228"/>
      <c r="AO47" s="228"/>
      <c r="AP47" s="228"/>
      <c r="AQ47" s="228"/>
      <c r="AR47" s="228"/>
      <c r="AS47" s="228"/>
      <c r="AT47" s="228"/>
      <c r="AU47" s="228"/>
      <c r="AV47" s="228"/>
      <c r="AW47" s="228"/>
      <c r="AX47" s="228"/>
      <c r="AY47" s="228"/>
      <c r="AZ47" s="228"/>
      <c r="BA47" s="228"/>
      <c r="BB47" s="228"/>
      <c r="BC47" s="228"/>
      <c r="BD47" s="228"/>
    </row>
    <row r="48" spans="2:56" ht="11.5" hidden="1" customHeight="1" x14ac:dyDescent="0.25">
      <c r="B48" s="139"/>
      <c r="C48" s="140"/>
      <c r="D48" s="14"/>
      <c r="E48" s="126">
        <v>5</v>
      </c>
      <c r="F48" s="12"/>
      <c r="G48" s="12"/>
      <c r="H48" s="12"/>
      <c r="I48" s="12"/>
      <c r="J48" s="14"/>
      <c r="K48" s="14"/>
      <c r="L48" s="14"/>
      <c r="M48" s="2"/>
      <c r="N48" s="2"/>
      <c r="O48" s="2"/>
      <c r="P48" s="2"/>
      <c r="Q48" s="2"/>
      <c r="R48" s="2"/>
      <c r="S48" s="2"/>
      <c r="T48" s="2"/>
      <c r="U48" s="2"/>
      <c r="V48" s="2"/>
      <c r="W48" s="2"/>
      <c r="X48" s="2"/>
      <c r="Y48" s="2"/>
      <c r="Z48" s="52"/>
      <c r="AA48" s="228"/>
      <c r="AB48" s="228"/>
      <c r="AC48" s="228"/>
      <c r="AD48" s="228"/>
      <c r="AE48" s="228"/>
      <c r="AF48" s="228"/>
      <c r="AG48" s="228"/>
      <c r="AH48" s="228"/>
      <c r="AI48" s="228"/>
      <c r="AJ48" s="228"/>
      <c r="AK48" s="228"/>
      <c r="AL48" s="228"/>
      <c r="AM48" s="228"/>
      <c r="AN48" s="228"/>
      <c r="AO48" s="228"/>
      <c r="AP48" s="228"/>
      <c r="AQ48" s="228"/>
      <c r="AR48" s="228"/>
      <c r="AS48" s="228"/>
      <c r="AT48" s="228"/>
      <c r="AU48" s="228"/>
      <c r="AV48" s="228"/>
      <c r="AW48" s="228"/>
      <c r="AX48" s="228"/>
      <c r="AY48" s="228"/>
      <c r="AZ48" s="228"/>
      <c r="BA48" s="228"/>
      <c r="BB48" s="228"/>
      <c r="BC48" s="228"/>
      <c r="BD48" s="228"/>
    </row>
    <row r="49" spans="2:107" ht="11.5" hidden="1" customHeight="1" x14ac:dyDescent="0.25">
      <c r="B49" s="139"/>
      <c r="C49" s="140"/>
      <c r="D49" s="14"/>
      <c r="E49" s="126">
        <v>6</v>
      </c>
      <c r="F49" s="12"/>
      <c r="G49" s="12"/>
      <c r="H49" s="12"/>
      <c r="I49" s="12"/>
      <c r="J49" s="14"/>
      <c r="K49" s="14"/>
      <c r="L49" s="14"/>
      <c r="M49" s="2"/>
      <c r="N49" s="2"/>
      <c r="O49" s="2"/>
      <c r="P49" s="2"/>
      <c r="Q49" s="2"/>
      <c r="R49" s="2"/>
      <c r="S49" s="2"/>
      <c r="T49" s="2"/>
      <c r="U49" s="2"/>
      <c r="V49" s="2"/>
      <c r="W49" s="2"/>
      <c r="X49" s="2"/>
      <c r="Y49" s="2"/>
      <c r="Z49" s="52"/>
      <c r="AA49" s="228"/>
      <c r="AB49" s="228"/>
      <c r="AC49" s="228"/>
      <c r="AD49" s="228"/>
      <c r="AE49" s="228"/>
      <c r="AF49" s="228"/>
      <c r="AG49" s="228"/>
      <c r="AH49" s="228"/>
      <c r="AI49" s="228"/>
      <c r="AJ49" s="228"/>
      <c r="AK49" s="228"/>
      <c r="AL49" s="228"/>
      <c r="AM49" s="228"/>
      <c r="AN49" s="228"/>
      <c r="AO49" s="228"/>
      <c r="AP49" s="228"/>
      <c r="AQ49" s="228"/>
      <c r="AR49" s="228"/>
      <c r="AS49" s="228"/>
      <c r="AT49" s="228"/>
      <c r="AU49" s="228"/>
      <c r="AV49" s="228"/>
      <c r="AW49" s="228"/>
      <c r="AX49" s="228"/>
      <c r="AY49" s="228"/>
      <c r="AZ49" s="228"/>
      <c r="BA49" s="228"/>
      <c r="BB49" s="228"/>
      <c r="BC49" s="228"/>
      <c r="BD49" s="228"/>
    </row>
    <row r="50" spans="2:107" ht="11.5" hidden="1" customHeight="1" x14ac:dyDescent="0.25">
      <c r="B50" s="139"/>
      <c r="C50" s="140"/>
      <c r="D50" s="14"/>
      <c r="E50" s="126">
        <v>7</v>
      </c>
      <c r="F50" s="12"/>
      <c r="G50" s="12"/>
      <c r="H50" s="12"/>
      <c r="I50" s="12"/>
      <c r="J50" s="14"/>
      <c r="K50" s="14"/>
      <c r="L50" s="14"/>
      <c r="M50" s="2"/>
      <c r="N50" s="2"/>
      <c r="O50" s="2"/>
      <c r="P50" s="2"/>
      <c r="Q50" s="2"/>
      <c r="R50" s="2"/>
      <c r="S50" s="2"/>
      <c r="T50" s="2"/>
      <c r="U50" s="2"/>
      <c r="V50" s="2"/>
      <c r="W50" s="2"/>
      <c r="X50" s="2"/>
      <c r="Y50" s="2"/>
      <c r="Z50" s="52"/>
      <c r="AA50" s="228"/>
      <c r="AB50" s="228"/>
      <c r="AC50" s="228"/>
      <c r="AD50" s="228"/>
      <c r="AE50" s="228"/>
      <c r="AF50" s="228"/>
      <c r="AG50" s="228"/>
      <c r="AH50" s="228"/>
      <c r="AI50" s="228"/>
      <c r="AJ50" s="228"/>
      <c r="AK50" s="228"/>
      <c r="AL50" s="228"/>
      <c r="AM50" s="228"/>
      <c r="AN50" s="228"/>
      <c r="AO50" s="228"/>
      <c r="AP50" s="228"/>
      <c r="AQ50" s="228"/>
      <c r="AR50" s="228"/>
      <c r="AS50" s="228"/>
      <c r="AT50" s="228"/>
      <c r="AU50" s="228"/>
      <c r="AV50" s="228"/>
      <c r="AW50" s="228"/>
      <c r="AX50" s="228"/>
      <c r="AY50" s="228"/>
      <c r="AZ50" s="228"/>
      <c r="BA50" s="228"/>
      <c r="BB50" s="228"/>
      <c r="BC50" s="228"/>
      <c r="BD50" s="228"/>
    </row>
    <row r="51" spans="2:107" ht="11.5" hidden="1" customHeight="1" x14ac:dyDescent="0.25">
      <c r="B51" s="139"/>
      <c r="C51" s="140"/>
      <c r="D51" s="14"/>
      <c r="E51" s="126">
        <v>8</v>
      </c>
      <c r="F51" s="12"/>
      <c r="G51" s="12"/>
      <c r="H51" s="12"/>
      <c r="I51" s="12"/>
      <c r="J51" s="14"/>
      <c r="K51" s="14"/>
      <c r="L51" s="14"/>
      <c r="M51" s="2"/>
      <c r="N51" s="2"/>
      <c r="O51" s="2"/>
      <c r="P51" s="2"/>
      <c r="Q51" s="2"/>
      <c r="R51" s="2"/>
      <c r="S51" s="2"/>
      <c r="T51" s="2"/>
      <c r="U51" s="2"/>
      <c r="V51" s="2"/>
      <c r="W51" s="2"/>
      <c r="X51" s="2"/>
      <c r="Y51" s="2"/>
      <c r="Z51" s="52"/>
      <c r="AA51" s="228"/>
      <c r="AB51" s="228"/>
      <c r="AC51" s="228"/>
      <c r="AD51" s="228"/>
      <c r="AE51" s="228"/>
      <c r="AF51" s="228"/>
      <c r="AG51" s="228"/>
      <c r="AH51" s="228"/>
      <c r="AI51" s="228"/>
      <c r="AJ51" s="228"/>
      <c r="AK51" s="228"/>
      <c r="AL51" s="228"/>
      <c r="AM51" s="228"/>
      <c r="AN51" s="228"/>
      <c r="AO51" s="228"/>
      <c r="AP51" s="228"/>
      <c r="AQ51" s="228"/>
      <c r="AR51" s="228"/>
      <c r="AS51" s="228"/>
      <c r="AT51" s="228"/>
      <c r="AU51" s="228"/>
      <c r="AV51" s="228"/>
      <c r="AW51" s="228"/>
      <c r="AX51" s="228"/>
      <c r="AY51" s="228"/>
      <c r="AZ51" s="228"/>
      <c r="BA51" s="228"/>
      <c r="BB51" s="228"/>
      <c r="BC51" s="228"/>
      <c r="BD51" s="228"/>
    </row>
    <row r="52" spans="2:107" ht="11.5" hidden="1" customHeight="1" x14ac:dyDescent="0.25">
      <c r="B52" s="139"/>
      <c r="C52" s="140"/>
      <c r="D52" s="14"/>
      <c r="E52" s="126">
        <v>9</v>
      </c>
      <c r="F52" s="12"/>
      <c r="G52" s="12"/>
      <c r="H52" s="12"/>
      <c r="I52" s="12"/>
      <c r="J52" s="14"/>
      <c r="K52" s="14"/>
      <c r="L52" s="14"/>
      <c r="M52" s="2"/>
      <c r="N52" s="2"/>
      <c r="O52" s="2"/>
      <c r="P52" s="2"/>
      <c r="Q52" s="2"/>
      <c r="R52" s="2"/>
      <c r="S52" s="2"/>
      <c r="T52" s="2"/>
      <c r="U52" s="2"/>
      <c r="V52" s="2"/>
      <c r="W52" s="2"/>
      <c r="X52" s="2"/>
      <c r="Y52" s="2"/>
      <c r="Z52" s="52"/>
      <c r="AA52" s="228"/>
      <c r="AB52" s="228"/>
      <c r="AC52" s="228"/>
      <c r="AD52" s="228"/>
      <c r="AE52" s="228"/>
      <c r="AF52" s="228"/>
      <c r="AG52" s="228"/>
      <c r="AH52" s="228"/>
      <c r="AI52" s="228"/>
      <c r="AJ52" s="228"/>
      <c r="AK52" s="228"/>
      <c r="AL52" s="228"/>
      <c r="AM52" s="228"/>
      <c r="AN52" s="228"/>
      <c r="AO52" s="228"/>
      <c r="AP52" s="228"/>
      <c r="AQ52" s="228"/>
      <c r="AR52" s="228"/>
      <c r="AS52" s="228"/>
      <c r="AT52" s="228"/>
      <c r="AU52" s="228"/>
      <c r="AV52" s="228"/>
      <c r="AW52" s="228"/>
      <c r="AX52" s="228"/>
      <c r="AY52" s="228"/>
      <c r="AZ52" s="228"/>
      <c r="BA52" s="228"/>
      <c r="BB52" s="228"/>
      <c r="BC52" s="228"/>
      <c r="BD52" s="228"/>
    </row>
    <row r="53" spans="2:107" x14ac:dyDescent="0.25">
      <c r="B53" s="139"/>
      <c r="C53" s="140"/>
      <c r="D53" s="14"/>
      <c r="E53" s="14"/>
      <c r="F53" s="14"/>
      <c r="G53" s="14"/>
      <c r="H53" s="14"/>
      <c r="I53" s="14"/>
      <c r="J53" s="14"/>
      <c r="K53" s="14"/>
      <c r="L53" s="14"/>
      <c r="M53" s="2"/>
      <c r="N53" s="2"/>
      <c r="O53" s="2"/>
      <c r="P53" s="2"/>
      <c r="Q53" s="2"/>
      <c r="R53" s="2"/>
      <c r="S53" s="2"/>
      <c r="T53" s="2"/>
      <c r="U53" s="2"/>
      <c r="V53" s="2"/>
      <c r="W53" s="2"/>
      <c r="X53" s="2"/>
      <c r="Y53" s="2"/>
      <c r="Z53" s="52"/>
      <c r="AA53" s="228"/>
      <c r="AB53" s="228"/>
      <c r="AC53" s="228"/>
      <c r="AD53" s="228"/>
      <c r="AE53" s="228"/>
      <c r="AF53" s="228"/>
      <c r="AG53" s="228"/>
      <c r="AH53" s="228"/>
      <c r="AI53" s="228"/>
      <c r="AJ53" s="228"/>
      <c r="AK53" s="228"/>
      <c r="AL53" s="228"/>
      <c r="AM53" s="228"/>
      <c r="AN53" s="228"/>
      <c r="AO53" s="228"/>
      <c r="AP53" s="228"/>
      <c r="AQ53" s="228"/>
      <c r="AR53" s="228"/>
      <c r="AS53" s="228"/>
      <c r="AT53" s="228"/>
      <c r="AU53" s="228"/>
      <c r="AV53" s="228"/>
      <c r="AW53" s="228"/>
      <c r="AX53" s="228"/>
      <c r="AY53" s="228"/>
      <c r="AZ53" s="228"/>
      <c r="BA53" s="228"/>
      <c r="BB53" s="228"/>
      <c r="BC53" s="228"/>
      <c r="BD53" s="228"/>
    </row>
    <row r="54" spans="2:107" x14ac:dyDescent="0.25">
      <c r="B54" s="71"/>
      <c r="C54" s="126" t="s">
        <v>266</v>
      </c>
      <c r="D54" s="124" t="s">
        <v>218</v>
      </c>
      <c r="E54" s="124" t="s">
        <v>258</v>
      </c>
      <c r="F54" s="12">
        <v>0</v>
      </c>
      <c r="G54" s="12">
        <v>1</v>
      </c>
      <c r="H54" s="12">
        <v>2</v>
      </c>
      <c r="I54" s="12">
        <v>3</v>
      </c>
      <c r="J54" s="12">
        <v>4</v>
      </c>
      <c r="K54" s="12">
        <v>5</v>
      </c>
      <c r="L54" s="12">
        <v>6</v>
      </c>
      <c r="M54" s="24"/>
      <c r="N54" s="358"/>
      <c r="O54" s="358"/>
      <c r="P54" s="358"/>
      <c r="Q54" s="358"/>
      <c r="R54" s="358"/>
      <c r="S54" s="358"/>
      <c r="T54" s="358"/>
      <c r="U54" s="358"/>
      <c r="V54" s="358"/>
      <c r="W54" s="358"/>
      <c r="X54" s="358"/>
      <c r="Y54" s="358"/>
      <c r="Z54" s="52"/>
      <c r="AB54" s="228"/>
      <c r="AC54" s="228"/>
      <c r="AD54" s="228"/>
      <c r="AE54" s="228"/>
      <c r="AF54" s="228"/>
      <c r="AG54" s="228"/>
      <c r="AH54" s="228"/>
      <c r="AI54" s="228"/>
      <c r="AJ54" s="228"/>
      <c r="AK54" s="228"/>
      <c r="AL54" s="228"/>
      <c r="AM54" s="228"/>
      <c r="AN54" s="228"/>
      <c r="AO54" s="228"/>
      <c r="AP54" s="228"/>
      <c r="AQ54" s="228"/>
      <c r="AR54" s="228"/>
      <c r="AS54" s="228"/>
      <c r="AT54" s="228"/>
      <c r="AU54" s="228"/>
      <c r="AV54" s="228"/>
      <c r="AW54" s="228"/>
      <c r="AX54" s="228"/>
      <c r="AY54" s="228"/>
      <c r="AZ54" s="228"/>
      <c r="BA54" s="228"/>
      <c r="BB54" s="228"/>
      <c r="BC54" s="228"/>
      <c r="BD54" s="228"/>
    </row>
    <row r="55" spans="2:107" x14ac:dyDescent="0.25">
      <c r="B55" s="71"/>
      <c r="C55" s="2"/>
      <c r="D55" s="12">
        <v>7</v>
      </c>
      <c r="E55" s="124" t="s">
        <v>267</v>
      </c>
      <c r="F55" s="12">
        <v>4.7300000000000002E-2</v>
      </c>
      <c r="G55" s="12">
        <v>5.1700000000000003E-2</v>
      </c>
      <c r="H55" s="248">
        <v>3.6850000000000001E-2</v>
      </c>
      <c r="I55" s="12">
        <v>3.465E-2</v>
      </c>
      <c r="J55" s="12">
        <v>3.6850000000000001E-2</v>
      </c>
      <c r="K55" s="12">
        <v>2.86E-2</v>
      </c>
      <c r="L55" s="12">
        <v>3.0249999999999999E-2</v>
      </c>
      <c r="M55" s="24"/>
      <c r="N55" s="358"/>
      <c r="O55" s="358"/>
      <c r="P55" s="358"/>
      <c r="Q55" s="358"/>
      <c r="R55" s="358"/>
      <c r="S55" s="358"/>
      <c r="T55" s="358"/>
      <c r="U55" s="358"/>
      <c r="V55" s="358"/>
      <c r="W55" s="358"/>
      <c r="X55" s="358"/>
      <c r="Y55" s="358"/>
      <c r="Z55" s="52"/>
      <c r="AB55" s="228"/>
      <c r="AC55" s="228"/>
      <c r="AD55" s="228"/>
      <c r="AE55" s="228"/>
      <c r="AF55" s="228"/>
      <c r="AG55" s="228"/>
      <c r="AH55" s="228"/>
      <c r="AI55" s="228"/>
      <c r="AJ55" s="228"/>
      <c r="AK55" s="228"/>
      <c r="AL55" s="228"/>
      <c r="AM55" s="228"/>
      <c r="AN55" s="228"/>
      <c r="AO55" s="228"/>
      <c r="AP55" s="228"/>
      <c r="AQ55" s="228"/>
      <c r="AR55" s="228"/>
      <c r="AS55" s="228"/>
      <c r="AT55" s="228"/>
      <c r="AU55" s="228"/>
      <c r="AV55" s="228"/>
      <c r="AW55" s="228"/>
      <c r="AX55" s="228"/>
      <c r="AY55" s="228"/>
      <c r="AZ55" s="228"/>
      <c r="BA55" s="228"/>
      <c r="BB55" s="228"/>
      <c r="BC55" s="228"/>
      <c r="BD55" s="228"/>
    </row>
    <row r="56" spans="2:107" x14ac:dyDescent="0.25">
      <c r="B56" s="71"/>
      <c r="C56" s="2"/>
      <c r="D56" s="2"/>
      <c r="E56" s="124" t="s">
        <v>268</v>
      </c>
      <c r="F56" s="12">
        <v>1</v>
      </c>
      <c r="G56" s="12">
        <v>1</v>
      </c>
      <c r="H56" s="12">
        <v>1</v>
      </c>
      <c r="I56" s="12">
        <v>1</v>
      </c>
      <c r="J56" s="12">
        <v>1</v>
      </c>
      <c r="K56" s="12">
        <v>1</v>
      </c>
      <c r="L56" s="12">
        <v>1</v>
      </c>
      <c r="M56" s="24"/>
      <c r="N56" s="358"/>
      <c r="O56" s="358"/>
      <c r="P56" s="358"/>
      <c r="Q56" s="358"/>
      <c r="R56" s="358"/>
      <c r="S56" s="358"/>
      <c r="T56" s="358"/>
      <c r="U56" s="358"/>
      <c r="V56" s="358"/>
      <c r="W56" s="358"/>
      <c r="X56" s="358"/>
      <c r="Y56" s="358"/>
      <c r="Z56" s="52"/>
      <c r="AB56" s="228"/>
      <c r="AC56" s="228"/>
      <c r="AD56" s="228"/>
      <c r="AE56" s="228"/>
      <c r="AF56" s="228"/>
      <c r="AG56" s="228"/>
      <c r="AH56" s="228"/>
      <c r="AI56" s="228"/>
      <c r="AJ56" s="228"/>
      <c r="AK56" s="228"/>
      <c r="AL56" s="228"/>
      <c r="AM56" s="228"/>
      <c r="AN56" s="228"/>
      <c r="AO56" s="228"/>
      <c r="AP56" s="228"/>
      <c r="AQ56" s="228"/>
      <c r="AR56" s="228"/>
      <c r="AS56" s="228"/>
      <c r="AT56" s="228"/>
      <c r="AU56" s="228"/>
      <c r="AV56" s="228"/>
      <c r="AW56" s="228"/>
      <c r="AX56" s="228"/>
      <c r="AY56" s="228"/>
      <c r="AZ56" s="228"/>
      <c r="BA56" s="228"/>
      <c r="BB56" s="228"/>
      <c r="BC56" s="228"/>
      <c r="BD56" s="228"/>
    </row>
    <row r="57" spans="2:107" hidden="1" x14ac:dyDescent="0.25">
      <c r="B57" s="71"/>
      <c r="C57" s="2"/>
      <c r="D57" s="14"/>
      <c r="E57" s="124" t="s">
        <v>269</v>
      </c>
      <c r="F57" s="12"/>
      <c r="G57" s="12"/>
      <c r="H57" s="12"/>
      <c r="I57" s="12"/>
      <c r="J57" s="12"/>
      <c r="K57" s="12"/>
      <c r="L57" s="12"/>
      <c r="M57" s="24"/>
      <c r="N57" s="358"/>
      <c r="O57" s="358"/>
      <c r="P57" s="358"/>
      <c r="Q57" s="358"/>
      <c r="R57" s="358"/>
      <c r="S57" s="358"/>
      <c r="T57" s="358"/>
      <c r="U57" s="358"/>
      <c r="V57" s="358"/>
      <c r="W57" s="358"/>
      <c r="X57" s="358"/>
      <c r="Y57" s="358"/>
      <c r="Z57" s="52"/>
      <c r="AB57" s="228"/>
      <c r="AC57" s="228"/>
      <c r="AD57" s="228"/>
      <c r="AE57" s="228"/>
      <c r="AF57" s="228"/>
      <c r="AG57" s="228"/>
      <c r="AH57" s="228"/>
      <c r="AI57" s="228"/>
      <c r="AJ57" s="228"/>
      <c r="AK57" s="228"/>
      <c r="AL57" s="228"/>
      <c r="AM57" s="228"/>
      <c r="AN57" s="228"/>
      <c r="AO57" s="228"/>
      <c r="AP57" s="228"/>
      <c r="AQ57" s="228"/>
      <c r="AR57" s="228"/>
      <c r="AS57" s="228"/>
      <c r="AT57" s="228"/>
      <c r="AU57" s="228"/>
      <c r="AV57" s="228"/>
      <c r="AW57" s="228"/>
      <c r="AX57" s="228"/>
      <c r="AY57" s="228"/>
      <c r="AZ57" s="228"/>
      <c r="BA57" s="228"/>
      <c r="BB57" s="228"/>
      <c r="BC57" s="228"/>
      <c r="BD57" s="228"/>
    </row>
    <row r="58" spans="2:107" hidden="1" x14ac:dyDescent="0.25">
      <c r="B58" s="71"/>
      <c r="C58" s="2"/>
      <c r="D58" s="14"/>
      <c r="E58" s="124" t="s">
        <v>270</v>
      </c>
      <c r="F58" s="23"/>
      <c r="G58" s="23"/>
      <c r="H58" s="23"/>
      <c r="I58" s="353"/>
      <c r="J58" s="354"/>
      <c r="K58" s="354"/>
      <c r="L58" s="354"/>
      <c r="M58" s="24"/>
      <c r="N58" s="358"/>
      <c r="O58" s="358"/>
      <c r="P58" s="358"/>
      <c r="Q58" s="358"/>
      <c r="R58" s="358"/>
      <c r="S58" s="358"/>
      <c r="T58" s="358"/>
      <c r="U58" s="358"/>
      <c r="V58" s="358"/>
      <c r="W58" s="358"/>
      <c r="X58" s="358"/>
      <c r="Y58" s="358"/>
      <c r="Z58" s="52"/>
      <c r="AB58" s="228"/>
      <c r="AC58" s="228"/>
      <c r="AD58" s="228"/>
      <c r="AE58" s="228"/>
      <c r="AF58" s="228"/>
      <c r="AG58" s="228"/>
      <c r="AH58" s="228"/>
      <c r="AI58" s="228"/>
      <c r="AJ58" s="228"/>
      <c r="AK58" s="228"/>
      <c r="AL58" s="228"/>
      <c r="AM58" s="228"/>
      <c r="AN58" s="228"/>
      <c r="AO58" s="228"/>
      <c r="AP58" s="228"/>
      <c r="AQ58" s="228"/>
      <c r="AR58" s="228"/>
      <c r="AS58" s="228"/>
      <c r="AT58" s="228"/>
      <c r="AU58" s="228"/>
      <c r="AV58" s="228"/>
      <c r="AW58" s="228"/>
      <c r="AX58" s="228"/>
      <c r="AY58" s="228"/>
      <c r="AZ58" s="228"/>
      <c r="BA58" s="228"/>
      <c r="BB58" s="228"/>
      <c r="BC58" s="228"/>
      <c r="BD58" s="228"/>
    </row>
    <row r="59" spans="2:107" x14ac:dyDescent="0.25">
      <c r="B59" s="71"/>
      <c r="C59" s="2"/>
      <c r="D59" s="14"/>
      <c r="E59" s="14"/>
      <c r="F59" s="14"/>
      <c r="G59" s="14"/>
      <c r="H59" s="14"/>
      <c r="I59" s="14"/>
      <c r="J59" s="14"/>
      <c r="K59" s="14"/>
      <c r="L59" s="14"/>
      <c r="M59" s="14"/>
      <c r="N59" s="2"/>
      <c r="O59" s="2"/>
      <c r="P59" s="2"/>
      <c r="Q59" s="14"/>
      <c r="R59" s="2"/>
      <c r="S59" s="2"/>
      <c r="T59" s="2"/>
      <c r="U59" s="2"/>
      <c r="V59" s="2"/>
      <c r="W59" s="2"/>
      <c r="X59" s="2"/>
      <c r="Y59" s="2"/>
      <c r="Z59" s="52"/>
      <c r="AB59" s="228"/>
      <c r="AC59" s="228"/>
      <c r="AD59" s="228"/>
      <c r="AE59" s="228"/>
      <c r="AF59" s="228"/>
      <c r="AG59" s="228"/>
      <c r="AH59" s="228"/>
      <c r="AI59" s="228"/>
      <c r="AJ59" s="228"/>
      <c r="AK59" s="228"/>
      <c r="AL59" s="228"/>
      <c r="AM59" s="228"/>
      <c r="AN59" s="228"/>
      <c r="AO59" s="228"/>
      <c r="AP59" s="228"/>
      <c r="AQ59" s="228"/>
      <c r="AR59" s="228"/>
      <c r="AS59" s="228"/>
      <c r="AT59" s="228"/>
      <c r="AU59" s="228"/>
      <c r="AV59" s="228"/>
      <c r="AW59" s="228"/>
      <c r="AX59" s="228"/>
      <c r="AY59" s="228"/>
      <c r="AZ59" s="228"/>
      <c r="BA59" s="228"/>
      <c r="BB59" s="228"/>
      <c r="BC59" s="228"/>
      <c r="BD59" s="228"/>
    </row>
    <row r="60" spans="2:107" x14ac:dyDescent="0.25">
      <c r="B60" s="71"/>
      <c r="C60" s="2"/>
      <c r="D60" s="127" t="s">
        <v>138</v>
      </c>
      <c r="E60" s="124" t="s">
        <v>271</v>
      </c>
      <c r="F60" s="12">
        <v>1E-3</v>
      </c>
      <c r="G60" s="14"/>
      <c r="H60" s="14"/>
      <c r="I60" s="14"/>
      <c r="J60" s="14"/>
      <c r="K60" s="14"/>
      <c r="L60" s="14"/>
      <c r="M60" s="14"/>
      <c r="N60" s="2"/>
      <c r="O60" s="2"/>
      <c r="P60" s="2"/>
      <c r="Q60" s="2"/>
      <c r="R60" s="2"/>
      <c r="S60" s="2"/>
      <c r="T60" s="2"/>
      <c r="U60" s="2"/>
      <c r="V60" s="2"/>
      <c r="W60" s="2"/>
      <c r="X60" s="2"/>
      <c r="Y60" s="2"/>
      <c r="Z60" s="52"/>
      <c r="BC60" s="19"/>
      <c r="BD60" s="19"/>
    </row>
    <row r="61" spans="2:107" hidden="1" x14ac:dyDescent="0.25">
      <c r="B61" s="71"/>
      <c r="C61" s="2"/>
      <c r="D61" s="14"/>
      <c r="E61" s="126" t="s">
        <v>272</v>
      </c>
      <c r="F61" s="23">
        <v>0.6</v>
      </c>
      <c r="G61" s="14"/>
      <c r="H61" s="14"/>
      <c r="I61" s="14"/>
      <c r="J61" s="14"/>
      <c r="K61" s="14"/>
      <c r="L61" s="14"/>
      <c r="M61" s="14"/>
      <c r="N61" s="2"/>
      <c r="O61" s="2"/>
      <c r="P61" s="2"/>
      <c r="Q61" s="2"/>
      <c r="R61" s="2"/>
      <c r="S61" s="2"/>
      <c r="T61" s="2"/>
      <c r="U61" s="2"/>
      <c r="V61" s="2"/>
      <c r="W61" s="2"/>
      <c r="X61" s="2"/>
      <c r="Y61" s="2"/>
      <c r="Z61" s="52"/>
      <c r="BC61" s="19"/>
      <c r="BD61" s="19"/>
    </row>
    <row r="62" spans="2:107" hidden="1" x14ac:dyDescent="0.25">
      <c r="B62" s="71"/>
      <c r="C62" s="2"/>
      <c r="D62" s="14"/>
      <c r="E62" s="126" t="s">
        <v>273</v>
      </c>
      <c r="F62" s="12">
        <v>0.6</v>
      </c>
      <c r="G62" s="14"/>
      <c r="H62" s="14"/>
      <c r="I62" s="14"/>
      <c r="J62" s="14"/>
      <c r="K62" s="14"/>
      <c r="L62" s="14"/>
      <c r="M62" s="2"/>
      <c r="N62" s="2"/>
      <c r="O62" s="2"/>
      <c r="P62" s="2"/>
      <c r="Q62" s="2"/>
      <c r="R62" s="2"/>
      <c r="S62" s="2"/>
      <c r="T62" s="2"/>
      <c r="U62" s="2"/>
      <c r="V62" s="2"/>
      <c r="W62" s="2"/>
      <c r="X62" s="2"/>
      <c r="Y62" s="2"/>
      <c r="Z62" s="52"/>
      <c r="BC62" s="19"/>
      <c r="BD62" s="19"/>
    </row>
    <row r="63" spans="2:107" ht="13" thickBot="1" x14ac:dyDescent="0.3">
      <c r="B63" s="72"/>
      <c r="C63" s="50"/>
      <c r="D63" s="123"/>
      <c r="E63" s="123"/>
      <c r="F63" s="123"/>
      <c r="G63" s="123"/>
      <c r="H63" s="123"/>
      <c r="I63" s="123"/>
      <c r="J63" s="123"/>
      <c r="K63" s="123"/>
      <c r="L63" s="123"/>
      <c r="M63" s="50"/>
      <c r="N63" s="50"/>
      <c r="O63" s="50"/>
      <c r="P63" s="50"/>
      <c r="Q63" s="50"/>
      <c r="R63" s="50"/>
      <c r="S63" s="50"/>
      <c r="T63" s="50"/>
      <c r="U63" s="50"/>
      <c r="V63" s="50"/>
      <c r="W63" s="50"/>
      <c r="X63" s="50"/>
      <c r="Y63" s="50"/>
      <c r="Z63" s="51"/>
      <c r="BC63" s="19"/>
      <c r="BD63" s="19"/>
    </row>
    <row r="64" spans="2:107" s="36" customFormat="1" ht="45" hidden="1" customHeight="1" thickBot="1" x14ac:dyDescent="0.3">
      <c r="B64" s="398" t="s">
        <v>21</v>
      </c>
      <c r="C64" s="399"/>
      <c r="D64" s="399"/>
      <c r="E64" s="399"/>
      <c r="F64" s="400"/>
      <c r="G64" s="400"/>
      <c r="H64" s="400"/>
      <c r="I64" s="400"/>
      <c r="J64" s="400"/>
      <c r="K64" s="400"/>
      <c r="L64" s="400"/>
      <c r="M64" s="243"/>
      <c r="N64" s="243"/>
      <c r="O64" s="243"/>
      <c r="P64" s="243"/>
      <c r="Q64" s="243"/>
      <c r="R64" s="243"/>
      <c r="S64" s="243"/>
      <c r="T64" s="243"/>
      <c r="U64" s="243"/>
      <c r="V64" s="243"/>
      <c r="W64" s="243"/>
      <c r="X64" s="243"/>
      <c r="Y64" s="243"/>
      <c r="Z64" s="247"/>
      <c r="AA64" s="19"/>
      <c r="AB64" s="19"/>
      <c r="DC64" s="19"/>
    </row>
    <row r="65" spans="2:59" ht="13" hidden="1" x14ac:dyDescent="0.25">
      <c r="B65" s="143"/>
      <c r="C65" s="141" t="s">
        <v>277</v>
      </c>
      <c r="D65" s="144" t="s">
        <v>218</v>
      </c>
      <c r="E65" s="142" t="s">
        <v>258</v>
      </c>
      <c r="F65" s="12">
        <v>1</v>
      </c>
      <c r="G65" s="24"/>
      <c r="H65" s="24"/>
      <c r="I65" s="24"/>
      <c r="J65" s="24"/>
      <c r="K65" s="24"/>
      <c r="L65" s="24"/>
      <c r="M65" s="24"/>
      <c r="N65" s="24"/>
      <c r="O65" s="24"/>
      <c r="P65" s="24"/>
      <c r="Q65" s="24"/>
      <c r="R65"/>
      <c r="S65"/>
      <c r="T65"/>
      <c r="U65"/>
      <c r="V65"/>
      <c r="W65"/>
      <c r="X65"/>
      <c r="Y65"/>
      <c r="Z65" s="380"/>
      <c r="BC65" s="19"/>
      <c r="BD65" s="19"/>
    </row>
    <row r="66" spans="2:59" hidden="1" x14ac:dyDescent="0.25">
      <c r="B66" s="139"/>
      <c r="C66" s="140"/>
      <c r="D66" s="13">
        <v>1</v>
      </c>
      <c r="E66" s="124" t="s">
        <v>255</v>
      </c>
      <c r="F66" s="12">
        <v>0.9</v>
      </c>
      <c r="G66" s="24"/>
      <c r="H66" s="24"/>
      <c r="I66" s="24"/>
      <c r="J66" s="24"/>
      <c r="K66" s="24"/>
      <c r="L66" s="24"/>
      <c r="M66" s="24"/>
      <c r="N66" s="24"/>
      <c r="O66" s="24"/>
      <c r="P66"/>
      <c r="Q66"/>
      <c r="R66"/>
      <c r="S66"/>
      <c r="T66"/>
      <c r="U66"/>
      <c r="V66"/>
      <c r="W66"/>
      <c r="X66"/>
      <c r="Y66"/>
      <c r="Z66" s="52"/>
    </row>
    <row r="67" spans="2:59" ht="12.65" hidden="1" customHeight="1" x14ac:dyDescent="0.25">
      <c r="B67" s="139"/>
      <c r="C67" s="140"/>
      <c r="D67" s="14"/>
      <c r="E67" s="124" t="s">
        <v>259</v>
      </c>
      <c r="F67" s="23"/>
      <c r="G67" s="389"/>
      <c r="H67" s="24"/>
      <c r="I67" s="24"/>
      <c r="J67" s="24"/>
      <c r="K67" s="24"/>
      <c r="L67" s="24"/>
      <c r="M67" s="24"/>
      <c r="N67" s="24"/>
      <c r="O67" s="24"/>
      <c r="P67"/>
      <c r="Q67"/>
      <c r="R67"/>
      <c r="S67"/>
      <c r="T67"/>
      <c r="U67"/>
      <c r="V67"/>
      <c r="W67"/>
      <c r="X67"/>
      <c r="Y67"/>
      <c r="Z67" s="52"/>
    </row>
    <row r="68" spans="2:59" ht="12.65" hidden="1" customHeight="1" x14ac:dyDescent="0.25">
      <c r="B68" s="139"/>
      <c r="C68" s="140"/>
      <c r="D68" s="14"/>
      <c r="E68" s="124" t="s">
        <v>260</v>
      </c>
      <c r="F68" s="12"/>
      <c r="G68" s="389"/>
      <c r="H68" s="24"/>
      <c r="I68" s="24"/>
      <c r="J68" s="24"/>
      <c r="K68" s="24"/>
      <c r="L68" s="24"/>
      <c r="M68" s="24"/>
      <c r="N68" s="24"/>
      <c r="O68" s="24"/>
      <c r="P68"/>
      <c r="Q68"/>
      <c r="R68"/>
      <c r="S68"/>
      <c r="T68"/>
      <c r="U68"/>
      <c r="V68"/>
      <c r="W68"/>
      <c r="X68"/>
      <c r="Y68"/>
      <c r="Z68" s="52"/>
    </row>
    <row r="69" spans="2:59" hidden="1" x14ac:dyDescent="0.25">
      <c r="B69" s="139"/>
      <c r="C69" s="140"/>
      <c r="D69" s="14"/>
      <c r="E69" s="14"/>
      <c r="F69" s="24"/>
      <c r="G69" s="24"/>
      <c r="H69" s="24"/>
      <c r="I69" s="24"/>
      <c r="J69" s="24"/>
      <c r="K69" s="24"/>
      <c r="L69" s="24"/>
      <c r="M69" s="24"/>
      <c r="N69" s="24"/>
      <c r="O69" s="24"/>
      <c r="P69"/>
      <c r="Q69"/>
      <c r="R69"/>
      <c r="S69"/>
      <c r="T69"/>
      <c r="U69"/>
      <c r="V69"/>
      <c r="W69"/>
      <c r="X69"/>
      <c r="Y69"/>
      <c r="Z69" s="52"/>
      <c r="BG69" s="19">
        <f>55-39</f>
        <v>16</v>
      </c>
    </row>
    <row r="70" spans="2:59" ht="25" hidden="1" x14ac:dyDescent="0.25">
      <c r="B70" s="139"/>
      <c r="C70" s="140"/>
      <c r="D70" s="14"/>
      <c r="E70" s="128" t="s">
        <v>276</v>
      </c>
      <c r="F70" s="125" t="s">
        <v>262</v>
      </c>
      <c r="G70" s="125" t="s">
        <v>263</v>
      </c>
      <c r="H70" s="125" t="s">
        <v>264</v>
      </c>
      <c r="I70" s="125" t="s">
        <v>265</v>
      </c>
      <c r="J70" s="14"/>
      <c r="K70" s="14"/>
      <c r="L70" s="14"/>
      <c r="M70" s="14"/>
      <c r="N70" s="2"/>
      <c r="O70" s="2"/>
      <c r="P70" s="2"/>
      <c r="Q70" s="2"/>
      <c r="R70" s="2"/>
      <c r="S70" s="2"/>
      <c r="T70" s="2"/>
      <c r="U70" s="2"/>
      <c r="V70" s="2"/>
      <c r="W70" s="2"/>
      <c r="X70" s="2"/>
      <c r="Y70" s="2"/>
      <c r="Z70" s="52"/>
    </row>
    <row r="71" spans="2:59" hidden="1" x14ac:dyDescent="0.25">
      <c r="B71" s="139"/>
      <c r="C71" s="140"/>
      <c r="D71" s="14"/>
      <c r="E71" s="126">
        <v>1</v>
      </c>
      <c r="F71" s="12"/>
      <c r="G71" s="12"/>
      <c r="H71" s="12"/>
      <c r="I71" s="12"/>
      <c r="J71" s="14"/>
      <c r="K71" s="14"/>
      <c r="L71" s="14"/>
      <c r="M71" s="2"/>
      <c r="N71" s="2"/>
      <c r="O71" s="2"/>
      <c r="P71" s="2"/>
      <c r="Q71" s="2"/>
      <c r="R71" s="2"/>
      <c r="S71" s="2"/>
      <c r="T71" s="2"/>
      <c r="U71" s="2"/>
      <c r="V71" s="2"/>
      <c r="W71" s="2"/>
      <c r="X71" s="2"/>
      <c r="Y71" s="2"/>
      <c r="Z71" s="52"/>
    </row>
    <row r="72" spans="2:59" hidden="1" x14ac:dyDescent="0.25">
      <c r="B72" s="139"/>
      <c r="C72" s="140"/>
      <c r="D72" s="14"/>
      <c r="E72" s="126">
        <v>2</v>
      </c>
      <c r="F72" s="12"/>
      <c r="G72" s="12"/>
      <c r="H72" s="12"/>
      <c r="I72" s="12"/>
      <c r="J72" s="14"/>
      <c r="K72" s="14"/>
      <c r="L72" s="14"/>
      <c r="M72" s="2"/>
      <c r="N72" s="2"/>
      <c r="O72" s="2"/>
      <c r="P72" s="2"/>
      <c r="Q72" s="2"/>
      <c r="R72" s="2"/>
      <c r="S72" s="2"/>
      <c r="T72" s="2"/>
      <c r="U72" s="2"/>
      <c r="V72" s="2"/>
      <c r="W72" s="2"/>
      <c r="X72" s="2"/>
      <c r="Y72" s="2"/>
      <c r="Z72" s="52"/>
    </row>
    <row r="73" spans="2:59" hidden="1" x14ac:dyDescent="0.25">
      <c r="B73" s="139"/>
      <c r="C73" s="140"/>
      <c r="D73" s="14"/>
      <c r="E73" s="126">
        <v>3</v>
      </c>
      <c r="F73" s="12"/>
      <c r="G73" s="12"/>
      <c r="H73" s="12"/>
      <c r="I73" s="12"/>
      <c r="J73" s="14"/>
      <c r="K73" s="14"/>
      <c r="L73" s="14"/>
      <c r="M73" s="2"/>
      <c r="N73" s="2"/>
      <c r="O73" s="2"/>
      <c r="P73" s="2"/>
      <c r="Q73" s="2"/>
      <c r="R73" s="2"/>
      <c r="S73" s="2"/>
      <c r="T73" s="2"/>
      <c r="U73" s="2"/>
      <c r="V73" s="2"/>
      <c r="W73" s="2"/>
      <c r="X73" s="2"/>
      <c r="Y73" s="2"/>
      <c r="Z73" s="52"/>
    </row>
    <row r="74" spans="2:59" hidden="1" x14ac:dyDescent="0.25">
      <c r="B74" s="139"/>
      <c r="C74" s="140"/>
      <c r="D74" s="14"/>
      <c r="E74" s="126">
        <v>4</v>
      </c>
      <c r="F74" s="12"/>
      <c r="G74" s="12"/>
      <c r="H74" s="12"/>
      <c r="I74" s="12"/>
      <c r="J74" s="14"/>
      <c r="K74" s="14"/>
      <c r="L74" s="14"/>
      <c r="M74" s="2"/>
      <c r="N74" s="2"/>
      <c r="O74" s="2"/>
      <c r="P74" s="2"/>
      <c r="Q74" s="2"/>
      <c r="R74" s="2"/>
      <c r="S74" s="2"/>
      <c r="T74" s="2"/>
      <c r="U74" s="2"/>
      <c r="V74" s="2"/>
      <c r="W74" s="2"/>
      <c r="X74" s="2"/>
      <c r="Y74" s="2"/>
      <c r="Z74" s="52"/>
    </row>
    <row r="75" spans="2:59" hidden="1" x14ac:dyDescent="0.25">
      <c r="B75" s="139"/>
      <c r="C75" s="140"/>
      <c r="D75" s="14"/>
      <c r="E75" s="126">
        <v>5</v>
      </c>
      <c r="F75" s="12"/>
      <c r="G75" s="12"/>
      <c r="H75" s="12"/>
      <c r="I75" s="12"/>
      <c r="J75" s="14"/>
      <c r="K75" s="14"/>
      <c r="L75" s="14"/>
      <c r="M75" s="2"/>
      <c r="N75" s="2"/>
      <c r="O75" s="2"/>
      <c r="P75" s="2"/>
      <c r="Q75" s="2"/>
      <c r="R75" s="2"/>
      <c r="S75" s="2"/>
      <c r="T75" s="2"/>
      <c r="U75" s="2"/>
      <c r="V75" s="2"/>
      <c r="W75" s="2"/>
      <c r="X75" s="2"/>
      <c r="Y75" s="2"/>
      <c r="Z75" s="52"/>
    </row>
    <row r="76" spans="2:59" hidden="1" x14ac:dyDescent="0.25">
      <c r="B76" s="139"/>
      <c r="C76" s="140"/>
      <c r="D76" s="14"/>
      <c r="E76" s="126">
        <v>6</v>
      </c>
      <c r="F76" s="12"/>
      <c r="G76" s="12"/>
      <c r="H76" s="12"/>
      <c r="I76" s="12"/>
      <c r="J76" s="14"/>
      <c r="K76" s="14"/>
      <c r="L76" s="14"/>
      <c r="M76" s="2"/>
      <c r="N76" s="2"/>
      <c r="O76" s="2"/>
      <c r="P76" s="2"/>
      <c r="Q76" s="2"/>
      <c r="R76" s="2"/>
      <c r="S76" s="2"/>
      <c r="T76" s="2"/>
      <c r="U76" s="2"/>
      <c r="V76" s="2"/>
      <c r="W76" s="2"/>
      <c r="X76" s="2"/>
      <c r="Y76" s="2"/>
      <c r="Z76" s="52"/>
    </row>
    <row r="77" spans="2:59" hidden="1" x14ac:dyDescent="0.25">
      <c r="B77" s="139"/>
      <c r="C77" s="140"/>
      <c r="D77" s="14"/>
      <c r="E77" s="126">
        <v>7</v>
      </c>
      <c r="F77" s="12"/>
      <c r="G77" s="12"/>
      <c r="H77" s="12"/>
      <c r="I77" s="12"/>
      <c r="J77" s="14"/>
      <c r="K77" s="14"/>
      <c r="L77" s="14"/>
      <c r="M77" s="2"/>
      <c r="N77" s="2"/>
      <c r="O77" s="2"/>
      <c r="P77" s="2"/>
      <c r="Q77" s="2"/>
      <c r="R77" s="2"/>
      <c r="S77" s="2"/>
      <c r="T77" s="2"/>
      <c r="U77" s="2"/>
      <c r="V77" s="2"/>
      <c r="W77" s="2"/>
      <c r="X77" s="2"/>
      <c r="Y77" s="2"/>
      <c r="Z77" s="52"/>
    </row>
    <row r="78" spans="2:59" hidden="1" x14ac:dyDescent="0.25">
      <c r="B78" s="139"/>
      <c r="C78" s="140"/>
      <c r="D78" s="14"/>
      <c r="E78" s="126">
        <v>8</v>
      </c>
      <c r="F78" s="12"/>
      <c r="G78" s="12"/>
      <c r="H78" s="12"/>
      <c r="I78" s="12"/>
      <c r="J78" s="14"/>
      <c r="K78" s="14"/>
      <c r="L78" s="14"/>
      <c r="M78" s="2"/>
      <c r="N78" s="2"/>
      <c r="O78" s="2"/>
      <c r="P78" s="2"/>
      <c r="Q78" s="2"/>
      <c r="R78" s="2"/>
      <c r="S78" s="2"/>
      <c r="T78" s="2"/>
      <c r="U78" s="2"/>
      <c r="V78" s="2"/>
      <c r="W78" s="2"/>
      <c r="X78" s="2"/>
      <c r="Y78" s="2"/>
      <c r="Z78" s="52"/>
    </row>
    <row r="79" spans="2:59" hidden="1" x14ac:dyDescent="0.25">
      <c r="B79" s="139"/>
      <c r="C79" s="140"/>
      <c r="D79" s="14"/>
      <c r="E79" s="126">
        <v>9</v>
      </c>
      <c r="F79" s="12"/>
      <c r="G79" s="12"/>
      <c r="H79" s="12"/>
      <c r="I79" s="12"/>
      <c r="J79" s="14"/>
      <c r="K79" s="14"/>
      <c r="L79" s="14"/>
      <c r="M79" s="2"/>
      <c r="N79" s="2"/>
      <c r="O79" s="2"/>
      <c r="P79" s="2"/>
      <c r="Q79" s="2"/>
      <c r="R79" s="2"/>
      <c r="S79" s="2"/>
      <c r="T79" s="2"/>
      <c r="U79" s="2"/>
      <c r="V79" s="2"/>
      <c r="W79" s="2"/>
      <c r="X79" s="2"/>
      <c r="Y79" s="2"/>
      <c r="Z79" s="52"/>
    </row>
    <row r="80" spans="2:59" hidden="1" x14ac:dyDescent="0.25">
      <c r="B80" s="139"/>
      <c r="C80" s="140"/>
      <c r="D80" s="14"/>
      <c r="E80" s="14"/>
      <c r="F80" s="14"/>
      <c r="G80" s="14"/>
      <c r="H80" s="14"/>
      <c r="I80" s="14"/>
      <c r="J80" s="14"/>
      <c r="K80" s="14"/>
      <c r="L80" s="14"/>
      <c r="M80" s="2"/>
      <c r="N80" s="2"/>
      <c r="O80" s="2"/>
      <c r="P80" s="2"/>
      <c r="Q80" s="2"/>
      <c r="R80" s="2"/>
      <c r="S80" s="2"/>
      <c r="T80" s="2"/>
      <c r="U80" s="2"/>
      <c r="V80" s="2"/>
      <c r="W80" s="2"/>
      <c r="X80" s="2"/>
      <c r="Y80" s="2"/>
      <c r="Z80" s="52"/>
    </row>
    <row r="81" spans="2:107" hidden="1" x14ac:dyDescent="0.25">
      <c r="B81" s="71"/>
      <c r="C81" s="126" t="s">
        <v>266</v>
      </c>
      <c r="D81" s="124" t="s">
        <v>218</v>
      </c>
      <c r="E81" s="124" t="s">
        <v>258</v>
      </c>
      <c r="F81" s="12">
        <v>0</v>
      </c>
      <c r="G81" s="12">
        <v>0.25</v>
      </c>
      <c r="H81" s="12">
        <v>1</v>
      </c>
      <c r="I81" s="12">
        <v>10</v>
      </c>
      <c r="J81" s="12">
        <v>15</v>
      </c>
      <c r="K81" s="12">
        <v>25</v>
      </c>
      <c r="L81" s="12">
        <v>50</v>
      </c>
      <c r="M81" s="24"/>
      <c r="N81" s="354"/>
      <c r="O81" s="354"/>
      <c r="P81" s="358"/>
      <c r="Q81" s="358"/>
      <c r="R81" s="358"/>
      <c r="S81" s="358"/>
      <c r="T81" s="358"/>
      <c r="U81" s="358"/>
      <c r="V81" s="358"/>
      <c r="W81" s="358"/>
      <c r="X81" s="358"/>
      <c r="Y81" s="358"/>
      <c r="Z81" s="52"/>
    </row>
    <row r="82" spans="2:107" hidden="1" x14ac:dyDescent="0.25">
      <c r="B82" s="71"/>
      <c r="C82" s="2"/>
      <c r="D82" s="13">
        <v>7</v>
      </c>
      <c r="E82" s="124" t="s">
        <v>278</v>
      </c>
      <c r="F82" s="12">
        <v>0.2</v>
      </c>
      <c r="G82" s="12">
        <v>0.3</v>
      </c>
      <c r="H82" s="248">
        <v>0.35</v>
      </c>
      <c r="I82" s="12">
        <v>0.45</v>
      </c>
      <c r="J82" s="12">
        <v>0.55000000000000004</v>
      </c>
      <c r="K82" s="12">
        <v>0.7</v>
      </c>
      <c r="L82" s="12">
        <v>1.04</v>
      </c>
      <c r="M82" s="24"/>
      <c r="N82" s="354"/>
      <c r="O82" s="354"/>
      <c r="P82" s="358"/>
      <c r="Q82" s="358"/>
      <c r="R82" s="358"/>
      <c r="S82" s="358"/>
      <c r="T82" s="358"/>
      <c r="U82" s="358"/>
      <c r="V82" s="358"/>
      <c r="W82" s="358"/>
      <c r="X82" s="358"/>
      <c r="Y82" s="358"/>
      <c r="Z82" s="52"/>
    </row>
    <row r="83" spans="2:107" hidden="1" x14ac:dyDescent="0.25">
      <c r="B83" s="71"/>
      <c r="C83" s="2"/>
      <c r="D83" s="2"/>
      <c r="E83" s="124" t="s">
        <v>268</v>
      </c>
      <c r="F83" s="23">
        <v>1</v>
      </c>
      <c r="G83" s="23">
        <v>1</v>
      </c>
      <c r="H83" s="23">
        <v>1</v>
      </c>
      <c r="I83" s="23">
        <v>1</v>
      </c>
      <c r="J83" s="23">
        <v>1</v>
      </c>
      <c r="K83" s="23">
        <v>1</v>
      </c>
      <c r="L83" s="23">
        <v>1</v>
      </c>
      <c r="M83" s="24"/>
      <c r="N83" s="354"/>
      <c r="O83" s="354"/>
      <c r="P83" s="358"/>
      <c r="Q83" s="358"/>
      <c r="R83" s="358"/>
      <c r="S83" s="358"/>
      <c r="T83" s="358"/>
      <c r="U83" s="358"/>
      <c r="V83" s="358"/>
      <c r="W83" s="358"/>
      <c r="X83" s="358"/>
      <c r="Y83" s="358"/>
      <c r="Z83" s="52"/>
    </row>
    <row r="84" spans="2:107" hidden="1" x14ac:dyDescent="0.25">
      <c r="B84" s="71"/>
      <c r="C84" s="2"/>
      <c r="D84" s="14"/>
      <c r="E84" s="124" t="s">
        <v>269</v>
      </c>
      <c r="F84" s="12"/>
      <c r="G84" s="12"/>
      <c r="H84" s="12"/>
      <c r="I84" s="12"/>
      <c r="J84" s="12"/>
      <c r="K84" s="12"/>
      <c r="L84" s="12"/>
      <c r="M84" s="24"/>
      <c r="N84" s="354"/>
      <c r="O84" s="354"/>
      <c r="P84" s="358"/>
      <c r="Q84" s="358"/>
      <c r="R84" s="358"/>
      <c r="S84" s="358"/>
      <c r="T84" s="358"/>
      <c r="U84" s="358"/>
      <c r="V84" s="358"/>
      <c r="W84" s="358"/>
      <c r="X84" s="358"/>
      <c r="Y84" s="358"/>
      <c r="Z84" s="52"/>
    </row>
    <row r="85" spans="2:107" hidden="1" x14ac:dyDescent="0.25">
      <c r="B85" s="71"/>
      <c r="C85" s="2"/>
      <c r="D85" s="14"/>
      <c r="E85" s="124" t="s">
        <v>270</v>
      </c>
      <c r="F85" s="12"/>
      <c r="G85" s="12"/>
      <c r="H85" s="12"/>
      <c r="I85" s="12"/>
      <c r="J85" s="12"/>
      <c r="K85" s="12"/>
      <c r="L85" s="12"/>
      <c r="M85" s="24"/>
      <c r="N85" s="354"/>
      <c r="O85" s="354"/>
      <c r="P85" s="358"/>
      <c r="Q85" s="358"/>
      <c r="R85" s="358"/>
      <c r="S85" s="358"/>
      <c r="T85" s="358"/>
      <c r="U85" s="358"/>
      <c r="V85" s="358"/>
      <c r="W85" s="358"/>
      <c r="X85" s="358"/>
      <c r="Y85" s="358"/>
      <c r="Z85" s="52"/>
    </row>
    <row r="86" spans="2:107" hidden="1" x14ac:dyDescent="0.25">
      <c r="B86" s="71"/>
      <c r="C86" s="2"/>
      <c r="D86" s="14"/>
      <c r="E86" s="14"/>
      <c r="F86" s="14"/>
      <c r="G86" s="14"/>
      <c r="H86" s="14"/>
      <c r="I86" s="14"/>
      <c r="J86" s="14"/>
      <c r="K86" s="14"/>
      <c r="L86" s="14"/>
      <c r="M86" s="14"/>
      <c r="N86" s="14"/>
      <c r="O86" s="2"/>
      <c r="P86" s="2"/>
      <c r="Q86" s="2"/>
      <c r="R86" s="2"/>
      <c r="S86" s="2"/>
      <c r="T86" s="2"/>
      <c r="U86" s="2"/>
      <c r="V86" s="2"/>
      <c r="W86" s="2"/>
      <c r="X86" s="2"/>
      <c r="Y86" s="2"/>
      <c r="Z86" s="52"/>
    </row>
    <row r="87" spans="2:107" hidden="1" x14ac:dyDescent="0.25">
      <c r="B87" s="71"/>
      <c r="C87" s="2"/>
      <c r="D87" s="127" t="s">
        <v>138</v>
      </c>
      <c r="E87" s="124" t="s">
        <v>271</v>
      </c>
      <c r="F87" s="12">
        <v>1</v>
      </c>
      <c r="G87" s="14"/>
      <c r="H87" s="14"/>
      <c r="I87" s="14"/>
      <c r="J87" s="14"/>
      <c r="K87" s="14"/>
      <c r="L87" s="14"/>
      <c r="M87" s="14"/>
      <c r="N87" s="2"/>
      <c r="O87" s="2"/>
      <c r="P87" s="2"/>
      <c r="Q87" s="2"/>
      <c r="R87" s="2"/>
      <c r="S87" s="2"/>
      <c r="T87" s="2"/>
      <c r="U87" s="2"/>
      <c r="V87" s="2"/>
      <c r="W87" s="2"/>
      <c r="X87" s="2"/>
      <c r="Y87" s="2"/>
      <c r="Z87" s="52"/>
    </row>
    <row r="88" spans="2:107" hidden="1" x14ac:dyDescent="0.25">
      <c r="B88" s="71"/>
      <c r="C88" s="2"/>
      <c r="D88" s="14"/>
      <c r="E88" s="124" t="s">
        <v>272</v>
      </c>
      <c r="F88" s="12">
        <v>1</v>
      </c>
      <c r="G88" s="14"/>
      <c r="H88" s="14"/>
      <c r="I88" s="14"/>
      <c r="J88" s="14"/>
      <c r="K88" s="14"/>
      <c r="L88" s="14"/>
      <c r="M88" s="14"/>
      <c r="N88" s="2"/>
      <c r="O88" s="2"/>
      <c r="P88" s="2"/>
      <c r="Q88" s="2"/>
      <c r="R88" s="2"/>
      <c r="S88" s="2"/>
      <c r="T88" s="2"/>
      <c r="U88" s="2"/>
      <c r="V88" s="2"/>
      <c r="W88" s="2"/>
      <c r="X88" s="2"/>
      <c r="Y88" s="2"/>
      <c r="Z88" s="52"/>
    </row>
    <row r="89" spans="2:107" hidden="1" x14ac:dyDescent="0.25">
      <c r="B89" s="71"/>
      <c r="C89" s="2"/>
      <c r="D89" s="14"/>
      <c r="E89" s="126" t="s">
        <v>273</v>
      </c>
      <c r="F89" s="23">
        <v>1</v>
      </c>
      <c r="G89" s="14"/>
      <c r="H89" s="14"/>
      <c r="I89" s="14"/>
      <c r="J89" s="14"/>
      <c r="K89" s="14"/>
      <c r="L89" s="14"/>
      <c r="M89" s="14"/>
      <c r="N89" s="2"/>
      <c r="O89" s="2"/>
      <c r="P89" s="2"/>
      <c r="Q89" s="2"/>
      <c r="R89" s="2"/>
      <c r="S89" s="2"/>
      <c r="T89" s="2"/>
      <c r="U89" s="2"/>
      <c r="V89" s="2"/>
      <c r="W89" s="2"/>
      <c r="X89" s="2"/>
      <c r="Y89" s="2"/>
      <c r="Z89" s="52"/>
    </row>
    <row r="90" spans="2:107" ht="13" hidden="1" thickBot="1" x14ac:dyDescent="0.3">
      <c r="B90" s="72"/>
      <c r="C90" s="50"/>
      <c r="D90" s="123"/>
      <c r="E90" s="123"/>
      <c r="F90" s="123"/>
      <c r="G90" s="123"/>
      <c r="H90" s="123"/>
      <c r="I90" s="123"/>
      <c r="J90" s="123"/>
      <c r="K90" s="123"/>
      <c r="L90" s="123"/>
      <c r="M90" s="50"/>
      <c r="N90" s="50"/>
      <c r="O90" s="50"/>
      <c r="P90" s="50"/>
      <c r="Q90" s="50"/>
      <c r="R90" s="50"/>
      <c r="S90" s="50"/>
      <c r="T90" s="50"/>
      <c r="U90" s="50"/>
      <c r="V90" s="50"/>
      <c r="W90" s="50"/>
      <c r="X90" s="50"/>
      <c r="Y90" s="50"/>
      <c r="Z90" s="51"/>
    </row>
    <row r="91" spans="2:107" s="36" customFormat="1" ht="45" hidden="1" customHeight="1" thickBot="1" x14ac:dyDescent="0.3">
      <c r="B91" s="398" t="s">
        <v>22</v>
      </c>
      <c r="C91" s="399"/>
      <c r="D91" s="399"/>
      <c r="E91" s="399"/>
      <c r="F91" s="400"/>
      <c r="G91" s="400"/>
      <c r="H91" s="400"/>
      <c r="I91" s="400"/>
      <c r="J91" s="400"/>
      <c r="K91" s="400"/>
      <c r="L91" s="400"/>
      <c r="M91" s="243"/>
      <c r="N91" s="243"/>
      <c r="O91" s="243"/>
      <c r="P91" s="243"/>
      <c r="Q91" s="243"/>
      <c r="R91" s="243"/>
      <c r="S91" s="243"/>
      <c r="T91" s="243"/>
      <c r="U91" s="243"/>
      <c r="V91" s="243"/>
      <c r="W91" s="243"/>
      <c r="X91" s="243"/>
      <c r="Y91" s="243"/>
      <c r="Z91" s="247"/>
      <c r="BC91" s="244"/>
      <c r="BD91" s="244"/>
      <c r="DC91" s="19"/>
    </row>
    <row r="92" spans="2:107" ht="15" hidden="1" x14ac:dyDescent="0.25">
      <c r="B92" s="143"/>
      <c r="C92" s="141" t="s">
        <v>279</v>
      </c>
      <c r="D92" s="144" t="s">
        <v>218</v>
      </c>
      <c r="E92" s="142" t="s">
        <v>258</v>
      </c>
      <c r="F92" s="12">
        <v>1</v>
      </c>
      <c r="G92" s="24"/>
      <c r="H92" s="24"/>
      <c r="I92" s="24"/>
      <c r="J92" s="24"/>
      <c r="K92" s="24"/>
      <c r="L92" s="24"/>
      <c r="M92" s="24"/>
      <c r="N92" s="24"/>
      <c r="O92" s="24"/>
      <c r="P92"/>
      <c r="Q92"/>
      <c r="R92"/>
      <c r="S92"/>
      <c r="T92"/>
      <c r="U92"/>
      <c r="V92"/>
      <c r="W92"/>
      <c r="X92"/>
      <c r="Y92"/>
      <c r="Z92" s="380"/>
    </row>
    <row r="93" spans="2:107" hidden="1" x14ac:dyDescent="0.25">
      <c r="B93" s="139"/>
      <c r="C93" s="140"/>
      <c r="D93" s="13">
        <v>1</v>
      </c>
      <c r="E93" s="124" t="s">
        <v>255</v>
      </c>
      <c r="F93" s="12">
        <v>0.01</v>
      </c>
      <c r="G93" s="24"/>
      <c r="H93" s="24"/>
      <c r="I93" s="24"/>
      <c r="J93" s="24"/>
      <c r="K93" s="24"/>
      <c r="L93" s="24"/>
      <c r="M93" s="24"/>
      <c r="N93" s="24"/>
      <c r="O93" s="24"/>
      <c r="P93"/>
      <c r="Q93"/>
      <c r="R93"/>
      <c r="S93"/>
      <c r="T93"/>
      <c r="U93"/>
      <c r="V93"/>
      <c r="W93"/>
      <c r="X93"/>
      <c r="Y93"/>
      <c r="Z93" s="52"/>
    </row>
    <row r="94" spans="2:107" hidden="1" x14ac:dyDescent="0.25">
      <c r="B94" s="139"/>
      <c r="C94" s="140"/>
      <c r="D94" s="14"/>
      <c r="E94" s="124" t="s">
        <v>259</v>
      </c>
      <c r="F94" s="23">
        <v>0</v>
      </c>
      <c r="G94" s="389">
        <v>10</v>
      </c>
      <c r="H94" s="24">
        <v>0</v>
      </c>
      <c r="I94" s="24"/>
      <c r="J94" s="24"/>
      <c r="K94" s="24"/>
      <c r="L94" s="24"/>
      <c r="M94" s="24"/>
      <c r="N94" s="24"/>
      <c r="O94" s="24"/>
      <c r="P94"/>
      <c r="Q94"/>
      <c r="R94"/>
      <c r="S94"/>
      <c r="T94"/>
      <c r="U94"/>
      <c r="V94"/>
      <c r="W94"/>
      <c r="X94"/>
      <c r="Y94"/>
      <c r="Z94" s="52"/>
    </row>
    <row r="95" spans="2:107" hidden="1" x14ac:dyDescent="0.25">
      <c r="B95" s="139"/>
      <c r="C95" s="140"/>
      <c r="D95" s="14"/>
      <c r="E95" s="124" t="s">
        <v>260</v>
      </c>
      <c r="F95" s="12">
        <v>0</v>
      </c>
      <c r="G95" s="389">
        <v>10</v>
      </c>
      <c r="H95" s="24">
        <v>0</v>
      </c>
      <c r="I95" s="24"/>
      <c r="J95" s="24"/>
      <c r="K95" s="24"/>
      <c r="L95" s="24"/>
      <c r="M95" s="24"/>
      <c r="N95" s="24"/>
      <c r="O95" s="24"/>
      <c r="P95"/>
      <c r="Q95"/>
      <c r="R95"/>
      <c r="S95"/>
      <c r="T95"/>
      <c r="U95"/>
      <c r="V95"/>
      <c r="W95"/>
      <c r="X95"/>
      <c r="Y95"/>
      <c r="Z95" s="52"/>
    </row>
    <row r="96" spans="2:107" hidden="1" x14ac:dyDescent="0.25">
      <c r="B96" s="139"/>
      <c r="C96" s="140"/>
      <c r="D96" s="14"/>
      <c r="E96" s="14"/>
      <c r="F96" s="24"/>
      <c r="G96" s="24"/>
      <c r="H96" s="24"/>
      <c r="I96" s="24"/>
      <c r="J96" s="354"/>
      <c r="K96" s="354"/>
      <c r="L96" s="354"/>
      <c r="M96" s="354"/>
      <c r="N96" s="354"/>
      <c r="O96" s="354"/>
      <c r="P96" s="354"/>
      <c r="Q96" s="358"/>
      <c r="R96" s="358"/>
      <c r="S96" s="358"/>
      <c r="T96" s="358"/>
      <c r="U96" s="358"/>
      <c r="V96" s="358"/>
      <c r="W96" s="358"/>
      <c r="X96" s="358"/>
      <c r="Y96" s="358"/>
      <c r="Z96" s="52"/>
    </row>
    <row r="97" spans="2:26" ht="25" hidden="1" x14ac:dyDescent="0.25">
      <c r="B97" s="139"/>
      <c r="C97" s="140"/>
      <c r="D97" s="24"/>
      <c r="E97" s="128" t="s">
        <v>276</v>
      </c>
      <c r="F97" s="125" t="s">
        <v>262</v>
      </c>
      <c r="G97" s="125" t="s">
        <v>263</v>
      </c>
      <c r="H97" s="125" t="s">
        <v>264</v>
      </c>
      <c r="I97" s="125" t="s">
        <v>265</v>
      </c>
      <c r="J97" s="24"/>
      <c r="K97" s="24"/>
      <c r="L97" s="24"/>
      <c r="M97" s="14"/>
      <c r="N97" s="2"/>
      <c r="O97" s="2"/>
      <c r="P97" s="2"/>
      <c r="Q97" s="2"/>
      <c r="R97" s="2"/>
      <c r="S97" s="2"/>
      <c r="T97" s="2"/>
      <c r="U97" s="2"/>
      <c r="V97" s="2"/>
      <c r="W97" s="2"/>
      <c r="X97" s="2"/>
      <c r="Y97" s="2"/>
      <c r="Z97" s="52"/>
    </row>
    <row r="98" spans="2:26" hidden="1" x14ac:dyDescent="0.25">
      <c r="B98" s="401" t="s">
        <v>280</v>
      </c>
      <c r="C98" s="402"/>
      <c r="D98" s="402"/>
      <c r="E98" s="126">
        <v>1</v>
      </c>
      <c r="F98" s="12">
        <v>1</v>
      </c>
      <c r="G98" s="12">
        <v>7</v>
      </c>
      <c r="H98" s="12">
        <v>6</v>
      </c>
      <c r="I98" s="12">
        <v>7</v>
      </c>
      <c r="J98" s="24"/>
      <c r="K98" s="24"/>
      <c r="L98" s="24"/>
      <c r="M98" s="14"/>
      <c r="N98" s="2"/>
      <c r="O98" s="2"/>
      <c r="P98" s="2"/>
      <c r="Q98" s="2"/>
      <c r="R98" s="2"/>
      <c r="S98" s="2"/>
      <c r="T98" s="2"/>
      <c r="U98" s="2"/>
      <c r="V98" s="2"/>
      <c r="W98" s="2"/>
      <c r="X98" s="2"/>
      <c r="Y98" s="2"/>
      <c r="Z98" s="52"/>
    </row>
    <row r="99" spans="2:26" hidden="1" x14ac:dyDescent="0.25">
      <c r="B99" s="139"/>
      <c r="C99" s="140"/>
      <c r="D99" s="2"/>
      <c r="E99" s="126">
        <v>2</v>
      </c>
      <c r="F99" s="12">
        <v>2</v>
      </c>
      <c r="G99" s="12">
        <v>7</v>
      </c>
      <c r="H99" s="12">
        <v>6</v>
      </c>
      <c r="I99" s="12">
        <v>7</v>
      </c>
      <c r="J99" s="24"/>
      <c r="K99" s="24"/>
      <c r="L99" s="24"/>
      <c r="M99" s="14"/>
      <c r="N99" s="2"/>
      <c r="O99" s="2"/>
      <c r="P99" s="2"/>
      <c r="Q99" s="2"/>
      <c r="R99" s="2"/>
      <c r="S99" s="2"/>
      <c r="T99" s="2"/>
      <c r="U99" s="2"/>
      <c r="V99" s="2"/>
      <c r="W99" s="2"/>
      <c r="X99" s="2"/>
      <c r="Y99" s="2"/>
      <c r="Z99" s="52"/>
    </row>
    <row r="100" spans="2:26" hidden="1" x14ac:dyDescent="0.25">
      <c r="B100" s="139"/>
      <c r="C100" s="140"/>
      <c r="D100" s="14"/>
      <c r="E100" s="126">
        <v>3</v>
      </c>
      <c r="F100" s="12">
        <v>3</v>
      </c>
      <c r="G100" s="12">
        <v>7</v>
      </c>
      <c r="H100" s="12">
        <v>6</v>
      </c>
      <c r="I100" s="12">
        <v>7</v>
      </c>
      <c r="J100" s="24"/>
      <c r="K100" s="24"/>
      <c r="L100" s="24"/>
      <c r="M100" s="2"/>
      <c r="N100" s="2"/>
      <c r="O100" s="2"/>
      <c r="P100" s="2"/>
      <c r="Q100" s="2"/>
      <c r="R100" s="2"/>
      <c r="S100" s="2"/>
      <c r="T100" s="2"/>
      <c r="U100" s="2"/>
      <c r="V100" s="2"/>
      <c r="W100" s="2"/>
      <c r="X100" s="2"/>
      <c r="Y100" s="2"/>
      <c r="Z100" s="52"/>
    </row>
    <row r="101" spans="2:26" hidden="1" x14ac:dyDescent="0.25">
      <c r="B101" s="139"/>
      <c r="C101" s="140"/>
      <c r="D101" s="14"/>
      <c r="E101" s="126">
        <v>4</v>
      </c>
      <c r="F101" s="12">
        <v>1</v>
      </c>
      <c r="G101" s="12">
        <v>365</v>
      </c>
      <c r="H101" s="12">
        <v>336</v>
      </c>
      <c r="I101" s="12">
        <v>365</v>
      </c>
      <c r="J101" s="24"/>
      <c r="K101" s="24"/>
      <c r="L101" s="24"/>
      <c r="M101" s="2"/>
      <c r="N101" s="2"/>
      <c r="O101" s="2"/>
      <c r="P101" s="2"/>
      <c r="Q101" s="2"/>
      <c r="R101" s="2"/>
      <c r="S101" s="2"/>
      <c r="T101" s="2"/>
      <c r="U101" s="2"/>
      <c r="V101" s="2"/>
      <c r="W101" s="2"/>
      <c r="X101" s="2"/>
      <c r="Y101" s="2"/>
      <c r="Z101" s="52"/>
    </row>
    <row r="102" spans="2:26" hidden="1" x14ac:dyDescent="0.25">
      <c r="B102" s="139"/>
      <c r="C102" s="140"/>
      <c r="D102" s="14"/>
      <c r="E102" s="126">
        <v>5</v>
      </c>
      <c r="F102" s="12">
        <v>2</v>
      </c>
      <c r="G102" s="12">
        <v>365</v>
      </c>
      <c r="H102" s="12">
        <v>336</v>
      </c>
      <c r="I102" s="12">
        <v>365</v>
      </c>
      <c r="J102" s="24"/>
      <c r="K102" s="24"/>
      <c r="L102" s="24"/>
      <c r="M102" s="2"/>
      <c r="N102" s="2"/>
      <c r="O102" s="2"/>
      <c r="P102" s="2"/>
      <c r="Q102" s="2"/>
      <c r="R102" s="2"/>
      <c r="S102" s="2"/>
      <c r="T102" s="2"/>
      <c r="U102" s="2"/>
      <c r="V102" s="2"/>
      <c r="W102" s="2"/>
      <c r="X102" s="2"/>
      <c r="Y102" s="2"/>
      <c r="Z102" s="52"/>
    </row>
    <row r="103" spans="2:26" hidden="1" x14ac:dyDescent="0.25">
      <c r="B103" s="139"/>
      <c r="C103" s="140"/>
      <c r="D103" s="14"/>
      <c r="E103" s="126">
        <v>6</v>
      </c>
      <c r="F103" s="12">
        <v>3</v>
      </c>
      <c r="G103" s="12">
        <v>365</v>
      </c>
      <c r="H103" s="12">
        <v>336</v>
      </c>
      <c r="I103" s="12">
        <v>365</v>
      </c>
      <c r="J103" s="24"/>
      <c r="K103" s="24"/>
      <c r="L103" s="24"/>
      <c r="M103" s="2"/>
      <c r="N103" s="2"/>
      <c r="O103" s="2"/>
      <c r="P103" s="2"/>
      <c r="Q103" s="2"/>
      <c r="R103" s="2"/>
      <c r="S103" s="2"/>
      <c r="T103" s="2"/>
      <c r="U103" s="2"/>
      <c r="V103" s="2"/>
      <c r="W103" s="2"/>
      <c r="X103" s="2"/>
      <c r="Y103" s="2"/>
      <c r="Z103" s="52"/>
    </row>
    <row r="104" spans="2:26" hidden="1" x14ac:dyDescent="0.25">
      <c r="B104" s="139"/>
      <c r="C104" s="140"/>
      <c r="D104" s="14"/>
      <c r="E104" s="126">
        <v>7</v>
      </c>
      <c r="F104" s="12"/>
      <c r="G104" s="12"/>
      <c r="H104" s="12"/>
      <c r="I104" s="12"/>
      <c r="J104" s="24"/>
      <c r="K104" s="24"/>
      <c r="L104" s="24"/>
      <c r="M104" s="2"/>
      <c r="N104" s="2"/>
      <c r="O104" s="2"/>
      <c r="P104" s="2"/>
      <c r="Q104" s="2"/>
      <c r="R104" s="2"/>
      <c r="S104" s="2"/>
      <c r="T104" s="2"/>
      <c r="U104" s="2"/>
      <c r="V104" s="2"/>
      <c r="W104" s="2"/>
      <c r="X104" s="2"/>
      <c r="Y104" s="2"/>
      <c r="Z104" s="52"/>
    </row>
    <row r="105" spans="2:26" hidden="1" x14ac:dyDescent="0.25">
      <c r="B105" s="139"/>
      <c r="C105" s="140"/>
      <c r="D105" s="14"/>
      <c r="E105" s="126">
        <v>8</v>
      </c>
      <c r="F105" s="12"/>
      <c r="G105" s="12"/>
      <c r="H105" s="12"/>
      <c r="I105" s="12"/>
      <c r="J105" s="24"/>
      <c r="K105" s="24"/>
      <c r="L105" s="24"/>
      <c r="M105" s="2"/>
      <c r="N105" s="2"/>
      <c r="O105" s="2"/>
      <c r="P105" s="2"/>
      <c r="Q105" s="2"/>
      <c r="R105" s="2"/>
      <c r="S105" s="2"/>
      <c r="T105" s="2"/>
      <c r="U105" s="2"/>
      <c r="V105" s="2"/>
      <c r="W105" s="2"/>
      <c r="X105" s="2"/>
      <c r="Y105" s="2"/>
      <c r="Z105" s="52"/>
    </row>
    <row r="106" spans="2:26" hidden="1" x14ac:dyDescent="0.25">
      <c r="B106" s="139"/>
      <c r="C106" s="140"/>
      <c r="D106" s="14"/>
      <c r="E106" s="126">
        <v>9</v>
      </c>
      <c r="F106" s="12"/>
      <c r="G106" s="12"/>
      <c r="H106" s="12"/>
      <c r="I106" s="12"/>
      <c r="J106" s="24"/>
      <c r="K106" s="24"/>
      <c r="L106" s="24"/>
      <c r="M106" s="2"/>
      <c r="N106" s="2"/>
      <c r="O106" s="2"/>
      <c r="P106" s="2"/>
      <c r="Q106" s="2"/>
      <c r="R106" s="2"/>
      <c r="S106" s="2"/>
      <c r="T106" s="2"/>
      <c r="U106" s="2"/>
      <c r="V106" s="2"/>
      <c r="W106" s="2"/>
      <c r="X106" s="2"/>
      <c r="Y106" s="2"/>
      <c r="Z106" s="52"/>
    </row>
    <row r="107" spans="2:26" hidden="1" x14ac:dyDescent="0.25">
      <c r="B107" s="139"/>
      <c r="C107" s="140"/>
      <c r="D107" s="14"/>
      <c r="E107" s="14"/>
      <c r="F107" s="14"/>
      <c r="G107" s="14"/>
      <c r="H107" s="14"/>
      <c r="I107" s="14"/>
      <c r="J107" s="24"/>
      <c r="K107" s="24"/>
      <c r="L107" s="24"/>
      <c r="M107" s="2"/>
      <c r="N107" s="2"/>
      <c r="O107" s="2"/>
      <c r="P107" s="2"/>
      <c r="Q107" s="2"/>
      <c r="R107" s="2"/>
      <c r="S107" s="2"/>
      <c r="T107" s="2"/>
      <c r="U107" s="2"/>
      <c r="V107" s="2"/>
      <c r="W107" s="2"/>
      <c r="X107" s="2"/>
      <c r="Y107" s="2"/>
      <c r="Z107" s="52"/>
    </row>
    <row r="108" spans="2:26" hidden="1" x14ac:dyDescent="0.25">
      <c r="B108" s="71"/>
      <c r="C108" s="126" t="s">
        <v>266</v>
      </c>
      <c r="D108" s="124" t="s">
        <v>218</v>
      </c>
      <c r="E108" s="124" t="s">
        <v>258</v>
      </c>
      <c r="F108" s="12">
        <v>0</v>
      </c>
      <c r="G108" s="12">
        <v>1</v>
      </c>
      <c r="H108" s="12">
        <v>5</v>
      </c>
      <c r="I108" s="12">
        <v>10</v>
      </c>
      <c r="J108" s="12">
        <v>15</v>
      </c>
      <c r="K108" s="12">
        <v>25</v>
      </c>
      <c r="L108" s="24"/>
      <c r="M108" s="24"/>
      <c r="N108" s="24"/>
      <c r="O108" s="24"/>
      <c r="P108" s="24"/>
      <c r="Q108" s="24"/>
      <c r="R108" s="24"/>
      <c r="S108"/>
      <c r="T108" s="358"/>
      <c r="U108" s="358"/>
      <c r="V108" s="358"/>
      <c r="W108" s="358"/>
      <c r="X108" s="358"/>
      <c r="Y108" s="358"/>
      <c r="Z108" s="52"/>
    </row>
    <row r="109" spans="2:26" ht="14.5" hidden="1" x14ac:dyDescent="0.25">
      <c r="B109" s="71"/>
      <c r="C109" s="2"/>
      <c r="D109" s="12">
        <v>6</v>
      </c>
      <c r="E109" s="124" t="s">
        <v>281</v>
      </c>
      <c r="F109" s="12">
        <v>2.9</v>
      </c>
      <c r="G109" s="12">
        <v>5.2</v>
      </c>
      <c r="H109" s="248">
        <v>8.8000000000000007</v>
      </c>
      <c r="I109" s="12">
        <v>15.3</v>
      </c>
      <c r="J109" s="12">
        <v>17.899999999999999</v>
      </c>
      <c r="K109" s="12">
        <v>19.899999999999999</v>
      </c>
      <c r="L109" s="24"/>
      <c r="M109" s="24"/>
      <c r="N109" s="24"/>
      <c r="O109" s="24"/>
      <c r="P109" s="24"/>
      <c r="Q109" s="24"/>
      <c r="R109" s="24"/>
      <c r="S109"/>
      <c r="T109" s="358"/>
      <c r="U109" s="358"/>
      <c r="V109" s="358"/>
      <c r="W109" s="358"/>
      <c r="X109" s="358"/>
      <c r="Y109" s="358"/>
      <c r="Z109" s="52"/>
    </row>
    <row r="110" spans="2:26" hidden="1" x14ac:dyDescent="0.25">
      <c r="B110" s="71"/>
      <c r="C110" s="2"/>
      <c r="D110" s="2"/>
      <c r="E110" s="124" t="s">
        <v>268</v>
      </c>
      <c r="F110" s="12">
        <v>1</v>
      </c>
      <c r="G110" s="12">
        <v>1</v>
      </c>
      <c r="H110" s="12">
        <v>1</v>
      </c>
      <c r="I110" s="12">
        <v>1</v>
      </c>
      <c r="J110" s="12">
        <v>1</v>
      </c>
      <c r="K110" s="12">
        <v>1</v>
      </c>
      <c r="L110" s="24"/>
      <c r="M110" s="24"/>
      <c r="N110" s="24"/>
      <c r="O110" s="24"/>
      <c r="P110" s="24"/>
      <c r="Q110" s="24"/>
      <c r="R110" s="24"/>
      <c r="S110"/>
      <c r="T110" s="358"/>
      <c r="U110" s="358"/>
      <c r="V110" s="358"/>
      <c r="W110" s="358"/>
      <c r="X110" s="358"/>
      <c r="Y110" s="358"/>
      <c r="Z110" s="52"/>
    </row>
    <row r="111" spans="2:26" hidden="1" x14ac:dyDescent="0.25">
      <c r="B111" s="71"/>
      <c r="C111" s="2"/>
      <c r="D111" s="14"/>
      <c r="E111" s="124" t="s">
        <v>269</v>
      </c>
      <c r="F111" s="12">
        <v>0</v>
      </c>
      <c r="G111" s="12">
        <v>0.46583850931677001</v>
      </c>
      <c r="H111" s="12">
        <v>0</v>
      </c>
      <c r="I111" s="12"/>
      <c r="J111" s="12"/>
      <c r="K111" s="12"/>
      <c r="L111" s="24"/>
      <c r="M111"/>
      <c r="N111"/>
      <c r="O111"/>
      <c r="P111"/>
      <c r="Q111"/>
      <c r="R111"/>
      <c r="S111"/>
      <c r="T111" s="358"/>
      <c r="U111" s="358"/>
      <c r="V111" s="358"/>
      <c r="W111" s="358"/>
      <c r="X111" s="358"/>
      <c r="Y111" s="358"/>
      <c r="Z111" s="52"/>
    </row>
    <row r="112" spans="2:26" hidden="1" x14ac:dyDescent="0.25">
      <c r="B112" s="71"/>
      <c r="C112" s="2"/>
      <c r="D112" s="14"/>
      <c r="E112" s="124" t="s">
        <v>270</v>
      </c>
      <c r="F112" s="23">
        <v>0</v>
      </c>
      <c r="G112" s="23">
        <v>0.31055900621117999</v>
      </c>
      <c r="H112" s="23">
        <v>0</v>
      </c>
      <c r="I112" s="354"/>
      <c r="J112" s="354"/>
      <c r="K112" s="354"/>
      <c r="L112" s="354"/>
      <c r="M112" s="358"/>
      <c r="N112" s="358"/>
      <c r="O112" s="358"/>
      <c r="P112" s="358"/>
      <c r="Q112" s="358"/>
      <c r="R112" s="358"/>
      <c r="S112" s="358"/>
      <c r="T112" s="358"/>
      <c r="U112" s="358"/>
      <c r="V112" s="358"/>
      <c r="W112" s="358"/>
      <c r="X112" s="358"/>
      <c r="Y112" s="358"/>
      <c r="Z112" s="52"/>
    </row>
    <row r="113" spans="2:108" hidden="1" x14ac:dyDescent="0.25">
      <c r="B113" s="71"/>
      <c r="C113" s="2"/>
      <c r="D113" s="14"/>
      <c r="E113" s="14"/>
      <c r="F113" s="14"/>
      <c r="G113" s="14"/>
      <c r="H113" s="14"/>
      <c r="I113" s="14"/>
      <c r="J113" s="24"/>
      <c r="K113" s="24"/>
      <c r="L113" s="24"/>
      <c r="M113" s="2"/>
      <c r="N113" s="2"/>
      <c r="O113" s="2"/>
      <c r="P113" s="2"/>
      <c r="Q113" s="2"/>
      <c r="R113" s="2"/>
      <c r="S113" s="2"/>
      <c r="T113" s="2"/>
      <c r="U113" s="2"/>
      <c r="V113" s="2"/>
      <c r="W113" s="2"/>
      <c r="X113" s="2"/>
      <c r="Y113" s="2"/>
      <c r="Z113" s="52"/>
    </row>
    <row r="114" spans="2:108" hidden="1" x14ac:dyDescent="0.25">
      <c r="B114" s="71"/>
      <c r="C114" s="2"/>
      <c r="D114" s="127" t="s">
        <v>138</v>
      </c>
      <c r="E114" s="126" t="s">
        <v>271</v>
      </c>
      <c r="F114" s="12">
        <v>1</v>
      </c>
      <c r="G114" s="14"/>
      <c r="H114" s="14"/>
      <c r="I114" s="14"/>
      <c r="J114" s="14"/>
      <c r="K114" s="14"/>
      <c r="L114" s="14"/>
      <c r="M114" s="2"/>
      <c r="N114" s="2"/>
      <c r="O114" s="2"/>
      <c r="P114" s="2"/>
      <c r="Q114" s="2"/>
      <c r="R114" s="2"/>
      <c r="S114" s="2"/>
      <c r="T114" s="2"/>
      <c r="U114" s="2"/>
      <c r="V114" s="2"/>
      <c r="W114" s="2"/>
      <c r="X114" s="2"/>
      <c r="Y114" s="2"/>
      <c r="Z114" s="52"/>
    </row>
    <row r="115" spans="2:108" hidden="1" x14ac:dyDescent="0.25">
      <c r="B115" s="71"/>
      <c r="C115" s="2"/>
      <c r="D115" s="14"/>
      <c r="E115" s="126" t="s">
        <v>272</v>
      </c>
      <c r="F115" s="12">
        <v>1</v>
      </c>
      <c r="G115" s="14"/>
      <c r="H115" s="14"/>
      <c r="I115" s="14"/>
      <c r="J115" s="14"/>
      <c r="K115" s="14"/>
      <c r="L115" s="14"/>
      <c r="M115" s="2"/>
      <c r="N115" s="2"/>
      <c r="O115" s="2"/>
      <c r="P115" s="2"/>
      <c r="Q115" s="2"/>
      <c r="R115" s="2"/>
      <c r="S115" s="2"/>
      <c r="T115" s="2"/>
      <c r="U115" s="2"/>
      <c r="V115" s="2"/>
      <c r="W115" s="2"/>
      <c r="X115" s="2"/>
      <c r="Y115" s="2"/>
      <c r="Z115" s="52"/>
    </row>
    <row r="116" spans="2:108" hidden="1" x14ac:dyDescent="0.25">
      <c r="B116" s="71"/>
      <c r="C116" s="2"/>
      <c r="D116" s="14"/>
      <c r="E116" s="126" t="s">
        <v>273</v>
      </c>
      <c r="F116" s="12">
        <v>1</v>
      </c>
      <c r="G116" s="14"/>
      <c r="H116" s="14"/>
      <c r="I116" s="14"/>
      <c r="J116" s="14"/>
      <c r="K116" s="14"/>
      <c r="L116" s="14"/>
      <c r="M116" s="2"/>
      <c r="N116" s="2"/>
      <c r="O116" s="2"/>
      <c r="P116" s="2"/>
      <c r="Q116" s="2"/>
      <c r="R116" s="2"/>
      <c r="S116" s="2"/>
      <c r="T116" s="2"/>
      <c r="U116" s="2"/>
      <c r="V116" s="2"/>
      <c r="W116" s="2"/>
      <c r="X116" s="2"/>
      <c r="Y116" s="2"/>
      <c r="Z116" s="52"/>
    </row>
    <row r="117" spans="2:108" ht="13" hidden="1" thickBot="1" x14ac:dyDescent="0.3">
      <c r="B117" s="72"/>
      <c r="C117" s="50"/>
      <c r="D117" s="123"/>
      <c r="E117" s="123"/>
      <c r="F117" s="123"/>
      <c r="G117" s="123"/>
      <c r="H117" s="123"/>
      <c r="I117" s="123"/>
      <c r="J117" s="123"/>
      <c r="K117" s="123"/>
      <c r="L117" s="123"/>
      <c r="M117" s="50"/>
      <c r="N117" s="50"/>
      <c r="O117" s="50"/>
      <c r="P117" s="50"/>
      <c r="Q117" s="50"/>
      <c r="R117" s="50"/>
      <c r="S117" s="50"/>
      <c r="T117" s="50"/>
      <c r="U117" s="50"/>
      <c r="V117" s="50"/>
      <c r="W117" s="50"/>
      <c r="X117" s="50"/>
      <c r="Y117" s="50"/>
      <c r="Z117" s="51"/>
    </row>
    <row r="118" spans="2:108" s="36" customFormat="1" ht="45" hidden="1" customHeight="1" thickBot="1" x14ac:dyDescent="0.3">
      <c r="B118" s="398" t="s">
        <v>23</v>
      </c>
      <c r="C118" s="399"/>
      <c r="D118" s="399"/>
      <c r="E118" s="399"/>
      <c r="F118" s="400"/>
      <c r="G118" s="400"/>
      <c r="H118" s="400"/>
      <c r="I118" s="400"/>
      <c r="J118" s="400"/>
      <c r="K118" s="400"/>
      <c r="L118" s="400"/>
      <c r="M118" s="243"/>
      <c r="N118" s="243"/>
      <c r="O118" s="243"/>
      <c r="P118" s="243"/>
      <c r="Q118" s="243"/>
      <c r="R118" s="243"/>
      <c r="S118" s="243"/>
      <c r="T118" s="243"/>
      <c r="U118" s="243"/>
      <c r="V118" s="243"/>
      <c r="W118" s="243"/>
      <c r="X118" s="243"/>
      <c r="Y118" s="243"/>
      <c r="Z118" s="247"/>
      <c r="BC118" s="244"/>
      <c r="BD118" s="244"/>
      <c r="DC118" s="19"/>
    </row>
    <row r="119" spans="2:108" ht="13" hidden="1" x14ac:dyDescent="0.25">
      <c r="B119" s="143"/>
      <c r="C119" s="141" t="s">
        <v>282</v>
      </c>
      <c r="D119" s="144" t="s">
        <v>218</v>
      </c>
      <c r="E119" s="142" t="s">
        <v>258</v>
      </c>
      <c r="F119" s="12">
        <v>1</v>
      </c>
      <c r="G119" s="24"/>
      <c r="H119" s="24"/>
      <c r="I119" s="24"/>
      <c r="J119" s="24"/>
      <c r="K119" s="24"/>
      <c r="L119" s="24"/>
      <c r="M119" s="24"/>
      <c r="N119" s="24"/>
      <c r="O119" s="24"/>
      <c r="P119"/>
      <c r="Q119"/>
      <c r="R119"/>
      <c r="S119"/>
      <c r="T119"/>
      <c r="U119"/>
      <c r="V119"/>
      <c r="W119"/>
      <c r="X119"/>
      <c r="Y119"/>
      <c r="Z119" s="380"/>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row>
    <row r="120" spans="2:108" hidden="1" x14ac:dyDescent="0.25">
      <c r="B120" s="139"/>
      <c r="C120" s="140"/>
      <c r="D120" s="13">
        <v>1</v>
      </c>
      <c r="E120" s="124" t="s">
        <v>255</v>
      </c>
      <c r="F120" s="12">
        <v>10</v>
      </c>
      <c r="G120" s="24"/>
      <c r="H120" s="24"/>
      <c r="I120" s="24"/>
      <c r="J120" s="24"/>
      <c r="K120" s="24"/>
      <c r="L120" s="24"/>
      <c r="M120" s="24"/>
      <c r="N120" s="24"/>
      <c r="O120" s="24"/>
      <c r="P120"/>
      <c r="Q120"/>
      <c r="R120"/>
      <c r="S120"/>
      <c r="T120"/>
      <c r="U120"/>
      <c r="V120"/>
      <c r="W120"/>
      <c r="X120"/>
      <c r="Y120"/>
      <c r="Z120" s="52"/>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row>
    <row r="121" spans="2:108" hidden="1" x14ac:dyDescent="0.25">
      <c r="B121" s="139"/>
      <c r="C121" s="140"/>
      <c r="D121" s="14"/>
      <c r="E121" s="124" t="s">
        <v>259</v>
      </c>
      <c r="F121" s="23"/>
      <c r="G121" s="389"/>
      <c r="H121" s="24"/>
      <c r="I121" s="24"/>
      <c r="J121" s="24"/>
      <c r="K121" s="24"/>
      <c r="L121" s="24"/>
      <c r="M121" s="24"/>
      <c r="N121" s="24"/>
      <c r="O121" s="24"/>
      <c r="P121"/>
      <c r="Q121"/>
      <c r="R121"/>
      <c r="S121"/>
      <c r="T121"/>
      <c r="U121"/>
      <c r="V121"/>
      <c r="W121"/>
      <c r="X121"/>
      <c r="Y121"/>
      <c r="Z121" s="52"/>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row>
    <row r="122" spans="2:108" hidden="1" x14ac:dyDescent="0.25">
      <c r="B122" s="139"/>
      <c r="C122" s="140"/>
      <c r="D122" s="14"/>
      <c r="E122" s="124" t="s">
        <v>260</v>
      </c>
      <c r="F122" s="12"/>
      <c r="G122" s="389"/>
      <c r="H122" s="24"/>
      <c r="I122" s="24"/>
      <c r="J122" s="24"/>
      <c r="K122" s="24"/>
      <c r="L122" s="24"/>
      <c r="M122" s="24"/>
      <c r="N122" s="24"/>
      <c r="O122" s="24"/>
      <c r="P122"/>
      <c r="Q122"/>
      <c r="R122"/>
      <c r="S122"/>
      <c r="T122"/>
      <c r="U122"/>
      <c r="V122"/>
      <c r="W122"/>
      <c r="X122"/>
      <c r="Y122"/>
      <c r="Z122" s="52"/>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row>
    <row r="123" spans="2:108" hidden="1" x14ac:dyDescent="0.25">
      <c r="B123" s="139"/>
      <c r="C123" s="140"/>
      <c r="D123" s="14"/>
      <c r="E123" s="14"/>
      <c r="F123" s="12"/>
      <c r="G123" s="23"/>
      <c r="H123" s="23"/>
      <c r="I123" s="23"/>
      <c r="J123" s="354"/>
      <c r="K123" s="354"/>
      <c r="L123" s="354"/>
      <c r="M123" s="354"/>
      <c r="N123" s="354"/>
      <c r="O123" s="354"/>
      <c r="P123" s="354"/>
      <c r="Q123" s="358"/>
      <c r="R123" s="358"/>
      <c r="S123" s="358"/>
      <c r="T123" s="358"/>
      <c r="U123" s="358"/>
      <c r="V123" s="358"/>
      <c r="W123" s="358"/>
      <c r="X123" s="358"/>
      <c r="Y123" s="358"/>
      <c r="Z123" s="52"/>
      <c r="AA123" s="36"/>
      <c r="AB123" s="36"/>
    </row>
    <row r="124" spans="2:108" ht="25" hidden="1" x14ac:dyDescent="0.25">
      <c r="B124" s="139"/>
      <c r="C124" s="140"/>
      <c r="D124" s="14"/>
      <c r="E124" s="128" t="s">
        <v>276</v>
      </c>
      <c r="F124" s="365" t="s">
        <v>262</v>
      </c>
      <c r="G124" s="365" t="s">
        <v>263</v>
      </c>
      <c r="H124" s="365" t="s">
        <v>264</v>
      </c>
      <c r="I124" s="365" t="s">
        <v>265</v>
      </c>
      <c r="J124" s="14"/>
      <c r="K124" s="14"/>
      <c r="L124" s="14"/>
      <c r="M124" s="14"/>
      <c r="N124" s="2"/>
      <c r="O124" s="2"/>
      <c r="P124" s="2"/>
      <c r="Q124" s="2"/>
      <c r="R124" s="2"/>
      <c r="S124" s="2"/>
      <c r="T124" s="2"/>
      <c r="U124" s="2"/>
      <c r="V124" s="2"/>
      <c r="W124" s="2"/>
      <c r="X124" s="2"/>
      <c r="Y124" s="2"/>
      <c r="Z124" s="52"/>
      <c r="AA124" s="36"/>
      <c r="AB124" s="36"/>
    </row>
    <row r="125" spans="2:108" hidden="1" x14ac:dyDescent="0.25">
      <c r="B125" s="139"/>
      <c r="C125" s="140"/>
      <c r="D125" s="14"/>
      <c r="E125" s="124">
        <v>1</v>
      </c>
      <c r="F125" s="12"/>
      <c r="G125" s="252"/>
      <c r="H125" s="12"/>
      <c r="I125" s="12"/>
      <c r="J125" s="14"/>
      <c r="K125" s="14"/>
      <c r="L125" s="14"/>
      <c r="M125" s="14"/>
      <c r="N125" s="2"/>
      <c r="O125" s="2"/>
      <c r="P125" s="2"/>
      <c r="Q125" s="2"/>
      <c r="R125" s="2"/>
      <c r="S125" s="2"/>
      <c r="T125" s="2"/>
      <c r="U125" s="2"/>
      <c r="V125" s="2"/>
      <c r="W125" s="2"/>
      <c r="X125" s="2"/>
      <c r="Y125" s="2"/>
      <c r="Z125" s="52"/>
    </row>
    <row r="126" spans="2:108" hidden="1" x14ac:dyDescent="0.25">
      <c r="B126" s="139"/>
      <c r="C126" s="140"/>
      <c r="D126" s="2"/>
      <c r="E126" s="124">
        <v>2</v>
      </c>
      <c r="F126" s="12"/>
      <c r="G126" s="252"/>
      <c r="H126" s="12"/>
      <c r="I126" s="12"/>
      <c r="J126" s="14"/>
      <c r="K126" s="14"/>
      <c r="L126" s="14"/>
      <c r="M126" s="14"/>
      <c r="N126" s="2"/>
      <c r="O126" s="2"/>
      <c r="P126" s="2"/>
      <c r="Q126" s="2"/>
      <c r="R126" s="2"/>
      <c r="S126" s="2"/>
      <c r="T126" s="2"/>
      <c r="U126" s="2"/>
      <c r="V126" s="2"/>
      <c r="W126" s="2"/>
      <c r="X126" s="2"/>
      <c r="Y126" s="2"/>
      <c r="Z126" s="52"/>
    </row>
    <row r="127" spans="2:108" hidden="1" x14ac:dyDescent="0.25">
      <c r="B127" s="139"/>
      <c r="C127" s="140"/>
      <c r="D127" s="14"/>
      <c r="E127" s="124">
        <v>3</v>
      </c>
      <c r="F127" s="12"/>
      <c r="G127" s="252"/>
      <c r="H127" s="12"/>
      <c r="I127" s="12"/>
      <c r="J127" s="14"/>
      <c r="K127" s="14"/>
      <c r="L127" s="14"/>
      <c r="M127" s="14"/>
      <c r="N127" s="2"/>
      <c r="O127" s="2"/>
      <c r="P127" s="2"/>
      <c r="Q127" s="2"/>
      <c r="R127" s="2"/>
      <c r="S127" s="2"/>
      <c r="T127" s="2"/>
      <c r="U127" s="2"/>
      <c r="V127" s="2"/>
      <c r="W127" s="2"/>
      <c r="X127" s="2"/>
      <c r="Y127" s="2"/>
      <c r="Z127" s="52"/>
    </row>
    <row r="128" spans="2:108" hidden="1" x14ac:dyDescent="0.25">
      <c r="B128" s="139"/>
      <c r="C128" s="140"/>
      <c r="D128" s="14"/>
      <c r="E128" s="124">
        <v>4</v>
      </c>
      <c r="F128" s="12"/>
      <c r="G128" s="252"/>
      <c r="H128" s="12"/>
      <c r="I128" s="12"/>
      <c r="J128" s="14"/>
      <c r="K128" s="14"/>
      <c r="L128" s="14"/>
      <c r="M128" s="14"/>
      <c r="N128" s="2"/>
      <c r="O128" s="2"/>
      <c r="P128" s="2"/>
      <c r="Q128" s="2"/>
      <c r="R128" s="2"/>
      <c r="S128" s="2"/>
      <c r="T128" s="2"/>
      <c r="U128" s="2"/>
      <c r="V128" s="2"/>
      <c r="W128" s="2"/>
      <c r="X128" s="2"/>
      <c r="Y128" s="2"/>
      <c r="Z128" s="52"/>
    </row>
    <row r="129" spans="2:108" hidden="1" x14ac:dyDescent="0.25">
      <c r="B129" s="139"/>
      <c r="C129" s="140"/>
      <c r="D129" s="14"/>
      <c r="E129" s="124">
        <v>5</v>
      </c>
      <c r="F129" s="12"/>
      <c r="G129" s="252"/>
      <c r="H129" s="12"/>
      <c r="I129" s="12"/>
      <c r="J129" s="14"/>
      <c r="K129" s="14"/>
      <c r="L129" s="14"/>
      <c r="M129" s="14"/>
      <c r="N129" s="2"/>
      <c r="O129" s="2"/>
      <c r="P129" s="2"/>
      <c r="Q129" s="2"/>
      <c r="R129" s="2"/>
      <c r="S129" s="2"/>
      <c r="T129" s="2"/>
      <c r="U129" s="2"/>
      <c r="V129" s="2"/>
      <c r="W129" s="2"/>
      <c r="X129" s="2"/>
      <c r="Y129" s="2"/>
      <c r="Z129" s="52"/>
    </row>
    <row r="130" spans="2:108" hidden="1" x14ac:dyDescent="0.25">
      <c r="B130" s="139"/>
      <c r="C130" s="140"/>
      <c r="D130" s="14"/>
      <c r="E130" s="126">
        <v>6</v>
      </c>
      <c r="F130" s="23"/>
      <c r="G130" s="12"/>
      <c r="H130" s="12"/>
      <c r="I130" s="12"/>
      <c r="J130" s="14"/>
      <c r="K130" s="14"/>
      <c r="L130" s="14"/>
      <c r="M130" s="2"/>
      <c r="N130" s="2"/>
      <c r="O130" s="2"/>
      <c r="P130" s="2"/>
      <c r="Q130" s="2"/>
      <c r="R130" s="2"/>
      <c r="S130" s="2"/>
      <c r="T130" s="2"/>
      <c r="U130" s="2"/>
      <c r="V130" s="2"/>
      <c r="W130" s="2"/>
      <c r="X130" s="2"/>
      <c r="Y130" s="2"/>
      <c r="Z130" s="52"/>
    </row>
    <row r="131" spans="2:108" hidden="1" x14ac:dyDescent="0.25">
      <c r="B131" s="139"/>
      <c r="C131" s="140"/>
      <c r="D131" s="14"/>
      <c r="E131" s="126">
        <v>7</v>
      </c>
      <c r="F131" s="12"/>
      <c r="G131" s="12"/>
      <c r="H131" s="12"/>
      <c r="I131" s="12"/>
      <c r="J131" s="14"/>
      <c r="K131" s="14"/>
      <c r="L131" s="14"/>
      <c r="M131" s="2"/>
      <c r="N131" s="2"/>
      <c r="O131" s="2"/>
      <c r="P131" s="2"/>
      <c r="Q131" s="2"/>
      <c r="R131" s="2"/>
      <c r="S131" s="2"/>
      <c r="T131" s="2"/>
      <c r="U131" s="2"/>
      <c r="V131" s="2"/>
      <c r="W131" s="2"/>
      <c r="X131" s="2"/>
      <c r="Y131" s="2"/>
      <c r="Z131" s="52"/>
    </row>
    <row r="132" spans="2:108" hidden="1" x14ac:dyDescent="0.25">
      <c r="B132" s="139"/>
      <c r="C132" s="140"/>
      <c r="D132" s="14"/>
      <c r="E132" s="126">
        <v>8</v>
      </c>
      <c r="F132" s="12"/>
      <c r="G132" s="12"/>
      <c r="H132" s="12"/>
      <c r="I132" s="12"/>
      <c r="J132" s="14"/>
      <c r="K132" s="14"/>
      <c r="L132" s="14"/>
      <c r="M132" s="2"/>
      <c r="N132" s="2"/>
      <c r="O132" s="2"/>
      <c r="P132" s="2"/>
      <c r="Q132" s="2"/>
      <c r="R132" s="2"/>
      <c r="S132" s="2"/>
      <c r="T132" s="2"/>
      <c r="U132" s="2"/>
      <c r="V132" s="2"/>
      <c r="W132" s="2"/>
      <c r="X132" s="2"/>
      <c r="Y132" s="2"/>
      <c r="Z132" s="52"/>
    </row>
    <row r="133" spans="2:108" hidden="1" x14ac:dyDescent="0.25">
      <c r="B133" s="139"/>
      <c r="C133" s="140"/>
      <c r="D133" s="14"/>
      <c r="E133" s="126">
        <v>9</v>
      </c>
      <c r="F133" s="12"/>
      <c r="G133" s="12"/>
      <c r="H133" s="12"/>
      <c r="I133" s="12"/>
      <c r="J133" s="14"/>
      <c r="K133" s="14"/>
      <c r="L133" s="14"/>
      <c r="M133" s="2"/>
      <c r="N133" s="2"/>
      <c r="O133" s="2"/>
      <c r="P133" s="2"/>
      <c r="Q133" s="2"/>
      <c r="R133" s="2"/>
      <c r="S133" s="2"/>
      <c r="T133" s="2"/>
      <c r="U133" s="2"/>
      <c r="V133" s="2"/>
      <c r="W133" s="2"/>
      <c r="X133" s="2"/>
      <c r="Y133" s="2"/>
      <c r="Z133" s="52"/>
    </row>
    <row r="134" spans="2:108" hidden="1" x14ac:dyDescent="0.25">
      <c r="B134" s="139"/>
      <c r="C134" s="140"/>
      <c r="D134" s="14"/>
      <c r="E134" s="14"/>
      <c r="F134" s="14"/>
      <c r="G134" s="14"/>
      <c r="H134" s="14"/>
      <c r="I134" s="14"/>
      <c r="J134" s="14"/>
      <c r="K134" s="14"/>
      <c r="L134" s="14"/>
      <c r="M134" s="2"/>
      <c r="N134" s="2"/>
      <c r="O134" s="2"/>
      <c r="P134" s="2"/>
      <c r="Q134" s="2"/>
      <c r="R134" s="2"/>
      <c r="S134" s="2"/>
      <c r="T134" s="2"/>
      <c r="U134" s="2"/>
      <c r="V134" s="2"/>
      <c r="W134" s="2"/>
      <c r="X134" s="2"/>
      <c r="Y134" s="2"/>
      <c r="Z134" s="52"/>
    </row>
    <row r="135" spans="2:108" hidden="1" x14ac:dyDescent="0.25">
      <c r="B135" s="71"/>
      <c r="C135" s="2"/>
      <c r="D135" s="127" t="s">
        <v>138</v>
      </c>
      <c r="E135" s="126" t="s">
        <v>271</v>
      </c>
      <c r="F135" s="12">
        <v>1</v>
      </c>
      <c r="G135" s="14"/>
      <c r="H135" s="14"/>
      <c r="I135" s="14"/>
      <c r="J135" s="14"/>
      <c r="K135" s="14"/>
      <c r="L135" s="14"/>
      <c r="M135" s="2"/>
      <c r="N135" s="2"/>
      <c r="O135" s="2"/>
      <c r="P135" s="2"/>
      <c r="Q135" s="2"/>
      <c r="R135" s="2"/>
      <c r="S135" s="2"/>
      <c r="T135" s="2"/>
      <c r="U135" s="2"/>
      <c r="V135" s="2"/>
      <c r="W135" s="2"/>
      <c r="X135" s="2"/>
      <c r="Y135" s="2"/>
      <c r="Z135" s="52"/>
    </row>
    <row r="136" spans="2:108" hidden="1" x14ac:dyDescent="0.25">
      <c r="B136" s="71"/>
      <c r="C136" s="2"/>
      <c r="D136" s="14"/>
      <c r="E136" s="126" t="s">
        <v>272</v>
      </c>
      <c r="F136" s="12"/>
      <c r="G136" s="14"/>
      <c r="H136" s="14"/>
      <c r="I136" s="14"/>
      <c r="J136" s="14"/>
      <c r="K136" s="14"/>
      <c r="L136" s="14"/>
      <c r="M136" s="2"/>
      <c r="N136" s="2"/>
      <c r="O136" s="2"/>
      <c r="P136" s="2"/>
      <c r="Q136" s="2"/>
      <c r="R136" s="2"/>
      <c r="S136" s="2"/>
      <c r="T136" s="2"/>
      <c r="U136" s="2"/>
      <c r="V136" s="2"/>
      <c r="W136" s="2"/>
      <c r="X136" s="2"/>
      <c r="Y136" s="2"/>
      <c r="Z136" s="52"/>
    </row>
    <row r="137" spans="2:108" hidden="1" x14ac:dyDescent="0.25">
      <c r="B137" s="71"/>
      <c r="C137" s="2"/>
      <c r="D137" s="14"/>
      <c r="E137" s="124" t="s">
        <v>273</v>
      </c>
      <c r="F137" s="12"/>
      <c r="G137" s="14"/>
      <c r="H137" s="14"/>
      <c r="I137" s="14"/>
      <c r="J137" s="14"/>
      <c r="K137" s="14"/>
      <c r="L137" s="14"/>
      <c r="M137" s="2"/>
      <c r="N137" s="2"/>
      <c r="O137" s="2"/>
      <c r="P137" s="2"/>
      <c r="Q137" s="2"/>
      <c r="R137" s="2"/>
      <c r="S137" s="2"/>
      <c r="T137" s="2"/>
      <c r="U137" s="2"/>
      <c r="V137" s="2"/>
      <c r="W137" s="2"/>
      <c r="X137" s="2"/>
      <c r="Y137" s="2"/>
      <c r="Z137" s="52"/>
    </row>
    <row r="138" spans="2:108" ht="13" hidden="1" thickBot="1" x14ac:dyDescent="0.3">
      <c r="B138" s="72"/>
      <c r="C138" s="50"/>
      <c r="D138" s="123"/>
      <c r="E138" s="123"/>
      <c r="F138" s="147"/>
      <c r="G138" s="123"/>
      <c r="H138" s="123"/>
      <c r="I138" s="123"/>
      <c r="J138" s="123"/>
      <c r="K138" s="123"/>
      <c r="L138" s="123"/>
      <c r="M138" s="50"/>
      <c r="N138" s="50"/>
      <c r="O138" s="50"/>
      <c r="P138" s="50"/>
      <c r="Q138" s="50"/>
      <c r="R138" s="50"/>
      <c r="S138" s="50"/>
      <c r="T138" s="50"/>
      <c r="U138" s="50"/>
      <c r="V138" s="50"/>
      <c r="W138" s="50"/>
      <c r="X138" s="50"/>
      <c r="Y138" s="50"/>
      <c r="Z138" s="51"/>
    </row>
    <row r="139" spans="2:108" s="36" customFormat="1" ht="45" hidden="1" customHeight="1" thickBot="1" x14ac:dyDescent="0.3">
      <c r="B139" s="398" t="s">
        <v>24</v>
      </c>
      <c r="C139" s="399"/>
      <c r="D139" s="399"/>
      <c r="E139" s="399"/>
      <c r="F139" s="400"/>
      <c r="G139" s="400"/>
      <c r="H139" s="400"/>
      <c r="I139" s="400"/>
      <c r="J139" s="400"/>
      <c r="K139" s="400"/>
      <c r="L139" s="400"/>
      <c r="M139" s="243"/>
      <c r="N139" s="243"/>
      <c r="O139" s="243"/>
      <c r="P139" s="243"/>
      <c r="Q139" s="243"/>
      <c r="R139" s="243"/>
      <c r="S139" s="243"/>
      <c r="T139" s="243"/>
      <c r="U139" s="243"/>
      <c r="V139" s="243"/>
      <c r="W139" s="243"/>
      <c r="X139" s="243"/>
      <c r="Y139" s="243"/>
      <c r="Z139" s="247"/>
      <c r="AA139" s="247"/>
      <c r="AB139" s="247"/>
      <c r="AC139" s="247"/>
      <c r="AD139" s="247"/>
      <c r="AE139" s="247"/>
      <c r="AF139" s="247"/>
      <c r="AG139" s="247"/>
      <c r="AH139" s="247"/>
      <c r="AI139" s="247"/>
      <c r="AJ139" s="247"/>
      <c r="AK139" s="247"/>
      <c r="AL139" s="247"/>
      <c r="AM139" s="247"/>
      <c r="AN139" s="247"/>
      <c r="AO139" s="247"/>
      <c r="AP139" s="247"/>
      <c r="AQ139" s="247"/>
      <c r="AR139" s="247"/>
      <c r="AS139" s="247"/>
      <c r="AT139" s="247"/>
      <c r="AU139" s="247"/>
      <c r="AV139" s="247"/>
      <c r="AW139" s="247"/>
      <c r="AX139" s="247"/>
      <c r="AY139" s="247"/>
      <c r="AZ139" s="247"/>
      <c r="BA139" s="247"/>
      <c r="BB139" s="247"/>
      <c r="BC139" s="247"/>
      <c r="BD139" s="247"/>
      <c r="BE139" s="247"/>
      <c r="BF139" s="247"/>
      <c r="BG139" s="247"/>
      <c r="BH139" s="247"/>
      <c r="BI139" s="247"/>
      <c r="BJ139" s="247"/>
      <c r="BK139" s="247"/>
      <c r="BL139" s="247"/>
      <c r="BM139" s="247"/>
      <c r="BN139" s="247"/>
      <c r="BO139" s="247"/>
      <c r="BP139" s="247"/>
      <c r="BQ139" s="247"/>
      <c r="BR139" s="247"/>
      <c r="BS139" s="247"/>
      <c r="BT139" s="247"/>
      <c r="BU139" s="247"/>
      <c r="BV139" s="247"/>
      <c r="BW139" s="247"/>
      <c r="BX139" s="247"/>
      <c r="BY139" s="247"/>
      <c r="BZ139" s="247"/>
      <c r="CA139" s="247"/>
      <c r="CB139" s="247"/>
      <c r="CC139" s="247"/>
      <c r="CD139" s="247"/>
      <c r="CE139" s="247"/>
      <c r="CF139" s="247"/>
      <c r="CG139" s="247"/>
      <c r="CH139" s="247"/>
      <c r="CI139" s="247"/>
      <c r="CJ139" s="247"/>
      <c r="CK139" s="247"/>
      <c r="CL139" s="247"/>
      <c r="CM139" s="247"/>
      <c r="CN139" s="247"/>
      <c r="CO139" s="247"/>
      <c r="CP139" s="247"/>
      <c r="CQ139" s="247"/>
      <c r="CR139" s="247"/>
      <c r="CS139" s="247"/>
      <c r="CT139" s="247"/>
      <c r="CU139" s="247"/>
      <c r="CV139" s="247"/>
      <c r="CW139" s="247"/>
      <c r="CX139" s="247"/>
      <c r="CY139" s="247"/>
      <c r="CZ139" s="372"/>
      <c r="DA139" s="370"/>
      <c r="DB139" s="371"/>
      <c r="DC139" s="19"/>
      <c r="DD139" s="19"/>
    </row>
    <row r="140" spans="2:108" ht="13" hidden="1" x14ac:dyDescent="0.25">
      <c r="B140" s="143"/>
      <c r="C140" s="141" t="s">
        <v>282</v>
      </c>
      <c r="D140" s="144" t="s">
        <v>218</v>
      </c>
      <c r="E140" s="142" t="s">
        <v>258</v>
      </c>
      <c r="F140" s="12">
        <v>0</v>
      </c>
      <c r="G140" s="24"/>
      <c r="H140" s="24"/>
      <c r="I140" s="24"/>
      <c r="J140" s="24"/>
      <c r="K140" s="24"/>
      <c r="L140" s="24"/>
      <c r="M140" s="24"/>
      <c r="N140" s="24"/>
      <c r="O140" s="24"/>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s="381"/>
    </row>
    <row r="141" spans="2:108" hidden="1" x14ac:dyDescent="0.25">
      <c r="B141" s="139"/>
      <c r="C141" s="140"/>
      <c r="D141" s="12">
        <v>1</v>
      </c>
      <c r="E141" s="124" t="s">
        <v>255</v>
      </c>
      <c r="F141" s="12">
        <v>6.58174097664544</v>
      </c>
      <c r="G141" s="24"/>
      <c r="H141" s="24"/>
      <c r="I141" s="24"/>
      <c r="J141" s="24"/>
      <c r="K141" s="24"/>
      <c r="L141" s="24"/>
      <c r="M141" s="24"/>
      <c r="N141" s="24"/>
      <c r="O141" s="24"/>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s="366"/>
    </row>
    <row r="142" spans="2:108" hidden="1" x14ac:dyDescent="0.25">
      <c r="B142" s="139"/>
      <c r="C142" s="140"/>
      <c r="D142" s="14"/>
      <c r="E142" s="124" t="s">
        <v>259</v>
      </c>
      <c r="F142" s="23"/>
      <c r="G142" s="389"/>
      <c r="H142" s="24"/>
      <c r="I142" s="24"/>
      <c r="J142" s="24"/>
      <c r="K142" s="24"/>
      <c r="L142" s="24"/>
      <c r="M142" s="24"/>
      <c r="N142" s="24"/>
      <c r="O142" s="24"/>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s="366"/>
    </row>
    <row r="143" spans="2:108" hidden="1" x14ac:dyDescent="0.25">
      <c r="B143" s="139"/>
      <c r="C143" s="140"/>
      <c r="D143" s="140"/>
      <c r="E143" s="124" t="s">
        <v>260</v>
      </c>
      <c r="F143" s="12"/>
      <c r="G143" s="389"/>
      <c r="H143" s="24"/>
      <c r="I143" s="24"/>
      <c r="J143" s="24"/>
      <c r="K143" s="24"/>
      <c r="L143" s="24"/>
      <c r="M143" s="24"/>
      <c r="N143" s="24"/>
      <c r="O143" s="24"/>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s="366"/>
    </row>
    <row r="144" spans="2:108" hidden="1" x14ac:dyDescent="0.25">
      <c r="B144" s="139"/>
      <c r="C144" s="140"/>
      <c r="D144" s="14"/>
      <c r="E144" s="14"/>
      <c r="F144" s="12"/>
      <c r="G144" s="23"/>
      <c r="H144" s="23"/>
      <c r="I144" s="23"/>
      <c r="J144" s="388"/>
      <c r="K144" s="354"/>
      <c r="L144" s="354"/>
      <c r="M144" s="354"/>
      <c r="N144" s="354"/>
      <c r="O144" s="354"/>
      <c r="P144" s="354"/>
      <c r="Q144" s="354"/>
      <c r="R144" s="354"/>
      <c r="S144" s="354"/>
      <c r="T144" s="354"/>
      <c r="U144" s="354"/>
      <c r="V144" s="354"/>
      <c r="W144" s="354"/>
      <c r="X144" s="354"/>
      <c r="Y144" s="354"/>
      <c r="Z144" s="354"/>
      <c r="AA144" s="354"/>
      <c r="AB144" s="354"/>
      <c r="AC144" s="354"/>
      <c r="AD144" s="354"/>
      <c r="AE144" s="354"/>
      <c r="AF144" s="354"/>
      <c r="AG144" s="354"/>
      <c r="AH144" s="354"/>
      <c r="AI144" s="354"/>
      <c r="AJ144" s="354"/>
      <c r="AK144" s="354"/>
      <c r="AL144" s="354"/>
      <c r="AM144" s="354"/>
      <c r="AN144" s="354"/>
      <c r="AO144" s="354"/>
      <c r="AP144" s="354"/>
      <c r="AQ144" s="354"/>
      <c r="AR144" s="354"/>
      <c r="AS144" s="354"/>
      <c r="AT144" s="354"/>
      <c r="AU144" s="354"/>
      <c r="AV144" s="354"/>
      <c r="AW144" s="354"/>
      <c r="AX144" s="354"/>
      <c r="AY144" s="354"/>
      <c r="AZ144" s="354"/>
      <c r="BA144" s="354"/>
      <c r="BB144" s="354"/>
      <c r="BC144" s="354"/>
      <c r="BD144" s="354"/>
      <c r="BE144" s="354"/>
      <c r="BF144" s="354"/>
      <c r="BG144" s="354"/>
      <c r="BH144" s="354"/>
      <c r="BI144" s="354"/>
      <c r="BJ144" s="354"/>
      <c r="BK144" s="354"/>
      <c r="BL144" s="354"/>
      <c r="BM144" s="354"/>
      <c r="BN144" s="354"/>
      <c r="BO144" s="354"/>
      <c r="BP144" s="354"/>
      <c r="BQ144" s="354"/>
      <c r="BR144" s="354"/>
      <c r="BS144" s="354"/>
      <c r="BT144" s="354"/>
      <c r="BU144" s="354"/>
      <c r="BV144" s="354"/>
      <c r="BW144" s="354"/>
      <c r="BX144" s="354"/>
      <c r="BY144" s="354"/>
      <c r="BZ144" s="354"/>
      <c r="CA144" s="354"/>
      <c r="CB144" s="354"/>
      <c r="CC144" s="354"/>
      <c r="CD144" s="354"/>
      <c r="CE144" s="354"/>
      <c r="CF144" s="354"/>
      <c r="CG144" s="354"/>
      <c r="CH144" s="354"/>
      <c r="CI144" s="354"/>
      <c r="CJ144" s="354"/>
      <c r="CK144" s="354"/>
      <c r="CL144" s="354"/>
      <c r="CM144" s="354"/>
      <c r="CN144" s="354"/>
      <c r="CO144" s="354"/>
      <c r="CP144" s="354"/>
      <c r="CQ144" s="354"/>
      <c r="CR144" s="354"/>
      <c r="CS144" s="354"/>
      <c r="CT144" s="354"/>
      <c r="CU144" s="354"/>
      <c r="CV144" s="354"/>
      <c r="CW144" s="354"/>
      <c r="CX144" s="354"/>
      <c r="CY144" s="354"/>
      <c r="CZ144" s="354"/>
      <c r="DA144" s="358"/>
      <c r="DB144" s="366"/>
    </row>
    <row r="145" spans="2:106" ht="25" hidden="1" x14ac:dyDescent="0.25">
      <c r="B145" s="139"/>
      <c r="C145" s="140"/>
      <c r="D145" s="14"/>
      <c r="E145" s="128" t="s">
        <v>276</v>
      </c>
      <c r="F145" s="365" t="s">
        <v>262</v>
      </c>
      <c r="G145" s="365" t="s">
        <v>263</v>
      </c>
      <c r="H145" s="365" t="s">
        <v>264</v>
      </c>
      <c r="I145" s="365" t="s">
        <v>265</v>
      </c>
      <c r="J145" s="14"/>
      <c r="K145" s="14"/>
      <c r="L145" s="14"/>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366"/>
    </row>
    <row r="146" spans="2:106" hidden="1" x14ac:dyDescent="0.25">
      <c r="B146" s="139"/>
      <c r="C146" s="140"/>
      <c r="D146" s="14"/>
      <c r="E146" s="124">
        <v>1</v>
      </c>
      <c r="F146" s="12"/>
      <c r="G146" s="252"/>
      <c r="H146" s="12"/>
      <c r="I146" s="12"/>
      <c r="J146" s="14"/>
      <c r="K146" s="14"/>
      <c r="L146" s="14"/>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366"/>
    </row>
    <row r="147" spans="2:106" hidden="1" x14ac:dyDescent="0.25">
      <c r="B147" s="139"/>
      <c r="C147" s="140"/>
      <c r="D147" s="2"/>
      <c r="E147" s="124">
        <v>2</v>
      </c>
      <c r="F147" s="12"/>
      <c r="G147" s="252"/>
      <c r="H147" s="12"/>
      <c r="I147" s="12"/>
      <c r="J147" s="14"/>
      <c r="K147" s="14"/>
      <c r="L147" s="14"/>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366"/>
    </row>
    <row r="148" spans="2:106" hidden="1" x14ac:dyDescent="0.25">
      <c r="B148" s="139"/>
      <c r="C148" s="140"/>
      <c r="D148" s="14"/>
      <c r="E148" s="124">
        <v>3</v>
      </c>
      <c r="F148" s="12"/>
      <c r="G148" s="252"/>
      <c r="H148" s="12"/>
      <c r="I148" s="12"/>
      <c r="J148" s="14"/>
      <c r="K148" s="14"/>
      <c r="L148" s="14"/>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366"/>
    </row>
    <row r="149" spans="2:106" hidden="1" x14ac:dyDescent="0.25">
      <c r="B149" s="139"/>
      <c r="C149" s="140"/>
      <c r="D149" s="14"/>
      <c r="E149" s="124">
        <v>4</v>
      </c>
      <c r="F149" s="12"/>
      <c r="G149" s="252"/>
      <c r="H149" s="12"/>
      <c r="I149" s="12"/>
      <c r="J149" s="14"/>
      <c r="K149" s="14"/>
      <c r="L149" s="14"/>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366"/>
    </row>
    <row r="150" spans="2:106" hidden="1" x14ac:dyDescent="0.25">
      <c r="B150" s="139"/>
      <c r="C150" s="140"/>
      <c r="D150" s="14"/>
      <c r="E150" s="124">
        <v>5</v>
      </c>
      <c r="F150" s="12"/>
      <c r="G150" s="252"/>
      <c r="H150" s="12"/>
      <c r="I150" s="12"/>
      <c r="J150" s="14"/>
      <c r="K150" s="14"/>
      <c r="L150" s="14"/>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366"/>
    </row>
    <row r="151" spans="2:106" hidden="1" x14ac:dyDescent="0.25">
      <c r="B151" s="139"/>
      <c r="C151" s="140"/>
      <c r="D151" s="14"/>
      <c r="E151" s="124">
        <v>6</v>
      </c>
      <c r="F151" s="12"/>
      <c r="G151" s="252"/>
      <c r="H151" s="12"/>
      <c r="I151" s="12"/>
      <c r="J151" s="14"/>
      <c r="K151" s="14"/>
      <c r="L151" s="14"/>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366"/>
    </row>
    <row r="152" spans="2:106" hidden="1" x14ac:dyDescent="0.25">
      <c r="B152" s="139"/>
      <c r="C152" s="140"/>
      <c r="D152" s="14"/>
      <c r="E152" s="124">
        <v>7</v>
      </c>
      <c r="F152" s="12"/>
      <c r="G152" s="252"/>
      <c r="H152" s="12"/>
      <c r="I152" s="12"/>
      <c r="J152" s="14"/>
      <c r="K152" s="14"/>
      <c r="L152" s="14"/>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366"/>
    </row>
    <row r="153" spans="2:106" hidden="1" x14ac:dyDescent="0.25">
      <c r="B153" s="139"/>
      <c r="C153" s="140"/>
      <c r="D153" s="14"/>
      <c r="E153" s="124">
        <v>8</v>
      </c>
      <c r="F153" s="12"/>
      <c r="G153" s="252"/>
      <c r="H153" s="12"/>
      <c r="I153" s="12"/>
      <c r="J153" s="14"/>
      <c r="K153" s="14"/>
      <c r="L153" s="14"/>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366"/>
    </row>
    <row r="154" spans="2:106" hidden="1" x14ac:dyDescent="0.25">
      <c r="B154" s="139"/>
      <c r="C154" s="140"/>
      <c r="D154" s="14"/>
      <c r="E154" s="124">
        <v>9</v>
      </c>
      <c r="F154" s="12"/>
      <c r="G154" s="252"/>
      <c r="H154" s="12"/>
      <c r="I154" s="12"/>
      <c r="J154" s="14"/>
      <c r="K154" s="14"/>
      <c r="L154" s="14"/>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366"/>
    </row>
    <row r="155" spans="2:106" hidden="1" x14ac:dyDescent="0.25">
      <c r="B155" s="71"/>
      <c r="C155" s="2"/>
      <c r="D155" s="14"/>
      <c r="E155" s="14"/>
      <c r="F155" s="14"/>
      <c r="G155" s="14"/>
      <c r="H155" s="14"/>
      <c r="I155" s="14"/>
      <c r="J155" s="14"/>
      <c r="K155" s="14"/>
      <c r="L155" s="14"/>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366"/>
    </row>
    <row r="156" spans="2:106" hidden="1" x14ac:dyDescent="0.25">
      <c r="B156" s="71"/>
      <c r="C156" s="2"/>
      <c r="D156" s="127" t="s">
        <v>138</v>
      </c>
      <c r="E156" s="124" t="s">
        <v>271</v>
      </c>
      <c r="F156" s="12">
        <v>1</v>
      </c>
      <c r="G156" s="14"/>
      <c r="H156" s="14"/>
      <c r="I156" s="14"/>
      <c r="J156" s="14"/>
      <c r="K156" s="14"/>
      <c r="L156" s="14"/>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366"/>
    </row>
    <row r="157" spans="2:106" hidden="1" x14ac:dyDescent="0.25">
      <c r="B157" s="71"/>
      <c r="C157" s="2"/>
      <c r="D157" s="14"/>
      <c r="E157" s="124" t="s">
        <v>272</v>
      </c>
      <c r="F157" s="12"/>
      <c r="G157" s="14"/>
      <c r="H157" s="14"/>
      <c r="I157" s="14"/>
      <c r="J157" s="14"/>
      <c r="K157" s="14"/>
      <c r="L157" s="14"/>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366"/>
    </row>
    <row r="158" spans="2:106" hidden="1" x14ac:dyDescent="0.25">
      <c r="B158" s="71"/>
      <c r="C158" s="2"/>
      <c r="D158" s="14"/>
      <c r="E158" s="124" t="s">
        <v>273</v>
      </c>
      <c r="F158" s="12"/>
      <c r="G158" s="14"/>
      <c r="H158" s="14"/>
      <c r="I158" s="14"/>
      <c r="J158" s="14"/>
      <c r="K158" s="14"/>
      <c r="L158" s="14"/>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366"/>
    </row>
    <row r="159" spans="2:106" ht="13" hidden="1" thickBot="1" x14ac:dyDescent="0.3">
      <c r="B159" s="72"/>
      <c r="C159" s="50"/>
      <c r="D159" s="123"/>
      <c r="E159" s="123"/>
      <c r="F159" s="123"/>
      <c r="G159" s="123"/>
      <c r="H159" s="123"/>
      <c r="I159" s="123"/>
      <c r="J159" s="123"/>
      <c r="K159" s="123"/>
      <c r="L159" s="123"/>
      <c r="M159" s="50"/>
      <c r="N159" s="50"/>
      <c r="O159" s="50"/>
      <c r="P159" s="50"/>
      <c r="Q159" s="50"/>
      <c r="R159" s="50"/>
      <c r="S159" s="50"/>
      <c r="T159" s="50"/>
      <c r="U159" s="50"/>
      <c r="V159" s="50"/>
      <c r="W159" s="50"/>
      <c r="X159" s="50"/>
      <c r="Y159" s="50"/>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c r="CC159" s="50"/>
      <c r="CD159" s="50"/>
      <c r="CE159" s="50"/>
      <c r="CF159" s="50"/>
      <c r="CG159" s="50"/>
      <c r="CH159" s="50"/>
      <c r="CI159" s="50"/>
      <c r="CJ159" s="50"/>
      <c r="CK159" s="50"/>
      <c r="CL159" s="50"/>
      <c r="CM159" s="50"/>
      <c r="CN159" s="50"/>
      <c r="CO159" s="50"/>
      <c r="CP159" s="50"/>
      <c r="CQ159" s="50"/>
      <c r="CR159" s="50"/>
      <c r="CS159" s="50"/>
      <c r="CT159" s="50"/>
      <c r="CU159" s="50"/>
      <c r="CV159" s="50"/>
      <c r="CW159" s="50"/>
      <c r="CX159" s="50"/>
      <c r="CY159" s="50"/>
      <c r="CZ159" s="50"/>
      <c r="DA159" s="50"/>
      <c r="DB159" s="367"/>
    </row>
  </sheetData>
  <mergeCells count="5">
    <mergeCell ref="B139:L139"/>
    <mergeCell ref="B64:L64"/>
    <mergeCell ref="B118:L118"/>
    <mergeCell ref="B91:L91"/>
    <mergeCell ref="B98:D98"/>
  </mergeCells>
  <phoneticPr fontId="18" type="noConversion"/>
  <dataValidations disablePrompts="1" count="1">
    <dataValidation type="list" allowBlank="1" showInputMessage="1" showErrorMessage="1" sqref="F71:F79 F44:F52 F17:F25 F98:F106 F146:F154 F125:F133" xr:uid="{596E52DE-4E9B-415D-AD11-272D28540F0D}">
      <formula1>"1, 2, 3"</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4255C912-1392-4229-96D3-E7E34D41708F}">
          <x14:formula1>
            <xm:f>Lookup!$BX$2:$BX$7</xm:f>
          </x14:formula1>
          <xm:sqref>C8</xm:sqref>
        </x14:dataValidation>
        <x14:dataValidation type="list" allowBlank="1" showInputMessage="1" showErrorMessage="1" xr:uid="{290D2B1C-2425-49F2-8F5C-6F50D9921A10}">
          <x14:formula1>
            <xm:f>Lookup!$BY$2:$BY$5</xm:f>
          </x14:formula1>
          <xm:sqref>D8</xm:sqref>
        </x14:dataValidation>
        <x14:dataValidation type="list" allowBlank="1" showInputMessage="1" showErrorMessage="1" xr:uid="{6E5AD411-82B2-4938-A678-DD222727C433}">
          <x14:formula1>
            <xm:f>Lookup!$CA$2:$CA$3</xm:f>
          </x14:formula1>
          <xm:sqref>E8</xm:sqref>
        </x14:dataValidation>
        <x14:dataValidation type="list" allowBlank="1" showInputMessage="1" showErrorMessage="1" xr:uid="{1FC7ACDA-D007-4DBB-89B4-80E69A406786}">
          <x14:formula1>
            <xm:f>Lookup!$BZ$2:$BZ$3</xm:f>
          </x14:formula1>
          <xm:sqref>H8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60E5A-8E38-4AE3-A271-AA4097EC986C}">
  <sheetPr codeName="Sheet4">
    <tabColor rgb="FF833C0C"/>
  </sheetPr>
  <dimension ref="B1:Z33"/>
  <sheetViews>
    <sheetView zoomScale="120" zoomScaleNormal="120" workbookViewId="0">
      <selection activeCell="L25" sqref="L25"/>
    </sheetView>
  </sheetViews>
  <sheetFormatPr defaultRowHeight="12.5" x14ac:dyDescent="0.25"/>
  <cols>
    <col min="1" max="1" width="1.453125" style="228" customWidth="1"/>
    <col min="2" max="2" width="7" style="228" customWidth="1"/>
    <col min="3" max="3" width="44.453125" style="228" customWidth="1"/>
    <col min="4" max="4" width="15.7265625" style="228" customWidth="1"/>
    <col min="5" max="5" width="15.26953125" style="228" customWidth="1"/>
    <col min="6" max="16384" width="8.7265625" style="228"/>
  </cols>
  <sheetData>
    <row r="1" spans="2:26" ht="8" customHeight="1" thickBot="1" x14ac:dyDescent="0.3">
      <c r="B1" s="352"/>
      <c r="C1" s="352"/>
      <c r="D1" s="352"/>
      <c r="E1" s="352"/>
      <c r="F1" s="352"/>
      <c r="G1" s="352"/>
      <c r="H1" s="352"/>
      <c r="I1" s="352"/>
      <c r="J1" s="352"/>
      <c r="K1" s="352"/>
      <c r="L1" s="352"/>
      <c r="M1" s="352"/>
      <c r="N1" s="352"/>
      <c r="O1" s="352"/>
      <c r="P1" s="352"/>
      <c r="Q1" s="352"/>
      <c r="R1" s="352"/>
      <c r="S1" s="352"/>
      <c r="T1" s="352"/>
      <c r="U1" s="352"/>
      <c r="V1" s="352"/>
      <c r="W1" s="352"/>
      <c r="X1" s="352"/>
      <c r="Y1" s="352"/>
      <c r="Z1" s="352"/>
    </row>
    <row r="2" spans="2:26" ht="8.5" customHeight="1" thickBot="1" x14ac:dyDescent="0.3">
      <c r="B2" s="337"/>
      <c r="C2" s="338"/>
      <c r="D2" s="338"/>
      <c r="E2" s="338"/>
      <c r="F2" s="338"/>
      <c r="G2" s="338"/>
      <c r="H2" s="338"/>
      <c r="I2" s="338"/>
      <c r="J2" s="338"/>
      <c r="K2" s="338"/>
      <c r="L2" s="338"/>
      <c r="M2" s="338"/>
      <c r="N2" s="338"/>
      <c r="O2" s="338"/>
      <c r="P2" s="338"/>
      <c r="Q2" s="338"/>
      <c r="R2" s="338"/>
      <c r="S2" s="338"/>
      <c r="T2" s="338"/>
      <c r="U2" s="338"/>
      <c r="V2" s="338"/>
      <c r="W2" s="338"/>
      <c r="X2" s="338"/>
      <c r="Y2" s="338"/>
      <c r="Z2" s="351"/>
    </row>
    <row r="3" spans="2:26" ht="28.5" customHeight="1" x14ac:dyDescent="0.5">
      <c r="B3" s="342" t="s">
        <v>274</v>
      </c>
      <c r="C3" s="246"/>
      <c r="D3" s="246"/>
      <c r="E3" s="246"/>
      <c r="F3" s="338"/>
      <c r="G3" s="338"/>
      <c r="H3" s="338"/>
      <c r="I3" s="338"/>
      <c r="J3" s="338"/>
      <c r="K3" s="338"/>
      <c r="L3" s="338"/>
      <c r="M3" s="339"/>
      <c r="N3" s="339"/>
      <c r="O3" s="339"/>
      <c r="P3" s="339"/>
      <c r="Q3" s="339"/>
      <c r="R3" s="339"/>
      <c r="S3" s="339"/>
      <c r="T3" s="339"/>
      <c r="U3" s="339"/>
      <c r="V3" s="339"/>
      <c r="W3" s="339"/>
      <c r="X3" s="339"/>
      <c r="Y3" s="339"/>
      <c r="Z3" s="340"/>
    </row>
    <row r="4" spans="2:26" ht="13" customHeight="1" x14ac:dyDescent="0.25">
      <c r="B4" s="337"/>
      <c r="C4" s="338"/>
      <c r="D4" s="338"/>
      <c r="E4" s="338"/>
      <c r="F4" s="338"/>
      <c r="G4" s="338"/>
      <c r="H4" s="338"/>
      <c r="I4" s="338"/>
      <c r="J4" s="338"/>
      <c r="K4" s="338"/>
      <c r="L4" s="338"/>
      <c r="M4" s="339"/>
      <c r="N4" s="339"/>
      <c r="O4" s="339"/>
      <c r="P4" s="339"/>
      <c r="Q4" s="339"/>
      <c r="R4" s="339"/>
      <c r="S4" s="339"/>
      <c r="T4" s="339"/>
      <c r="U4" s="339"/>
      <c r="V4" s="339"/>
      <c r="W4" s="339"/>
      <c r="X4" s="339"/>
      <c r="Y4" s="339"/>
      <c r="Z4" s="340"/>
    </row>
    <row r="5" spans="2:26" ht="13" customHeight="1" x14ac:dyDescent="0.3">
      <c r="B5" s="233"/>
      <c r="C5" s="363" t="s">
        <v>275</v>
      </c>
      <c r="D5" s="355" t="s">
        <v>218</v>
      </c>
      <c r="E5" s="343" t="s">
        <v>258</v>
      </c>
      <c r="F5" s="148">
        <v>2</v>
      </c>
      <c r="G5" s="148"/>
      <c r="H5" s="148"/>
      <c r="I5" s="148"/>
      <c r="J5" s="368"/>
      <c r="K5" s="368"/>
      <c r="L5" s="368"/>
      <c r="M5" s="368"/>
      <c r="N5" s="368"/>
      <c r="O5" s="368"/>
      <c r="P5" s="368"/>
      <c r="Q5" s="368"/>
      <c r="R5" s="368"/>
      <c r="S5" s="368"/>
      <c r="T5" s="368"/>
      <c r="U5" s="368"/>
      <c r="V5" s="368"/>
      <c r="W5" s="368"/>
      <c r="X5" s="368"/>
      <c r="Y5" s="368"/>
      <c r="Z5" s="232"/>
    </row>
    <row r="6" spans="2:26" x14ac:dyDescent="0.25">
      <c r="B6" s="233"/>
      <c r="C6" s="4"/>
      <c r="D6" s="357">
        <v>4</v>
      </c>
      <c r="E6" s="356" t="s">
        <v>255</v>
      </c>
      <c r="F6" s="148">
        <v>6</v>
      </c>
      <c r="G6" s="148"/>
      <c r="H6" s="148"/>
      <c r="I6" s="148"/>
      <c r="J6" s="368"/>
      <c r="K6" s="368"/>
      <c r="L6" s="368"/>
      <c r="M6" s="368"/>
      <c r="N6" s="368"/>
      <c r="O6" s="368"/>
      <c r="P6" s="368"/>
      <c r="Q6" s="368"/>
      <c r="R6" s="368"/>
      <c r="S6" s="368"/>
      <c r="T6" s="368"/>
      <c r="U6" s="368"/>
      <c r="V6" s="368"/>
      <c r="W6" s="368"/>
      <c r="X6" s="368"/>
      <c r="Y6" s="368"/>
      <c r="Z6" s="232"/>
    </row>
    <row r="7" spans="2:26" x14ac:dyDescent="0.25">
      <c r="B7" s="233"/>
      <c r="C7" s="140"/>
      <c r="D7" s="14"/>
      <c r="E7" s="241" t="s">
        <v>259</v>
      </c>
      <c r="F7" s="148">
        <v>1</v>
      </c>
      <c r="G7" s="148"/>
      <c r="H7" s="148"/>
      <c r="I7" s="148"/>
      <c r="J7" s="368"/>
      <c r="K7" s="368"/>
      <c r="L7" s="368"/>
      <c r="M7" s="368"/>
      <c r="N7" s="368"/>
      <c r="O7" s="368"/>
      <c r="P7" s="368"/>
      <c r="Q7" s="368"/>
      <c r="R7" s="368"/>
      <c r="S7" s="368"/>
      <c r="T7" s="368"/>
      <c r="U7" s="368"/>
      <c r="V7" s="368"/>
      <c r="W7" s="368"/>
      <c r="X7" s="368"/>
      <c r="Y7" s="368"/>
      <c r="Z7" s="232"/>
    </row>
    <row r="8" spans="2:26" x14ac:dyDescent="0.25">
      <c r="B8" s="233"/>
      <c r="C8" s="140"/>
      <c r="D8" s="14"/>
      <c r="E8" s="124" t="s">
        <v>260</v>
      </c>
      <c r="F8" s="148">
        <v>10</v>
      </c>
      <c r="G8" s="148"/>
      <c r="H8" s="148"/>
      <c r="I8" s="148"/>
      <c r="J8" s="368"/>
      <c r="K8" s="368"/>
      <c r="L8" s="368"/>
      <c r="M8" s="368"/>
      <c r="N8" s="368"/>
      <c r="O8" s="368"/>
      <c r="P8" s="368"/>
      <c r="Q8" s="368"/>
      <c r="R8" s="368"/>
      <c r="S8" s="368"/>
      <c r="T8" s="368"/>
      <c r="U8" s="368"/>
      <c r="V8" s="368"/>
      <c r="W8" s="368"/>
      <c r="X8" s="368"/>
      <c r="Y8" s="368"/>
      <c r="Z8" s="232"/>
    </row>
    <row r="9" spans="2:26" x14ac:dyDescent="0.25">
      <c r="B9" s="233"/>
      <c r="C9" s="140"/>
      <c r="D9" s="14"/>
      <c r="E9" s="14"/>
      <c r="F9" s="14"/>
      <c r="G9" s="14"/>
      <c r="H9" s="14"/>
      <c r="I9" s="14"/>
      <c r="J9" s="14"/>
      <c r="K9" s="14"/>
      <c r="L9" s="2"/>
      <c r="M9" s="2"/>
      <c r="N9" s="2"/>
      <c r="O9" s="2"/>
      <c r="P9" s="2"/>
      <c r="Q9" s="2"/>
      <c r="R9" s="2"/>
      <c r="S9" s="2"/>
      <c r="T9" s="2"/>
      <c r="U9" s="2"/>
      <c r="V9" s="2"/>
      <c r="W9" s="2"/>
      <c r="X9" s="2"/>
      <c r="Y9" s="2"/>
      <c r="Z9" s="232"/>
    </row>
    <row r="10" spans="2:26" hidden="1" x14ac:dyDescent="0.25">
      <c r="B10" s="233"/>
      <c r="C10" s="140"/>
      <c r="D10" s="14"/>
      <c r="E10" s="14"/>
      <c r="F10" s="14"/>
      <c r="G10" s="14"/>
      <c r="H10" s="14"/>
      <c r="I10" s="14"/>
      <c r="J10" s="14"/>
      <c r="K10" s="14"/>
      <c r="L10" s="2"/>
      <c r="M10" s="2"/>
      <c r="N10" s="2"/>
      <c r="O10" s="2"/>
      <c r="P10" s="2"/>
      <c r="Q10" s="2"/>
      <c r="R10" s="2"/>
      <c r="S10" s="2"/>
      <c r="T10" s="2"/>
      <c r="U10" s="2"/>
      <c r="V10" s="2"/>
      <c r="W10" s="2"/>
      <c r="X10" s="2"/>
      <c r="Y10" s="2"/>
      <c r="Z10" s="232"/>
    </row>
    <row r="11" spans="2:26" ht="13" x14ac:dyDescent="0.3">
      <c r="B11" s="233"/>
      <c r="C11" s="364" t="s">
        <v>355</v>
      </c>
      <c r="D11" s="126" t="s">
        <v>218</v>
      </c>
      <c r="E11" s="124" t="s">
        <v>258</v>
      </c>
      <c r="F11" s="236">
        <f>IF(ISBLANK(F5)=TRUE, "",F5)</f>
        <v>2</v>
      </c>
      <c r="G11" s="236" t="str">
        <f t="shared" ref="G11" si="0">IF(ISBLANK(G5)=TRUE, "",G5)</f>
        <v/>
      </c>
      <c r="H11" s="236" t="str">
        <f t="shared" ref="H11:Y11" si="1">IF(ISBLANK(H5)=TRUE, "",H5)</f>
        <v/>
      </c>
      <c r="I11" s="236" t="str">
        <f t="shared" si="1"/>
        <v/>
      </c>
      <c r="J11" s="354" t="str">
        <f t="shared" si="1"/>
        <v/>
      </c>
      <c r="K11" s="354" t="str">
        <f t="shared" si="1"/>
        <v/>
      </c>
      <c r="L11" s="354" t="str">
        <f t="shared" si="1"/>
        <v/>
      </c>
      <c r="M11" s="354" t="str">
        <f t="shared" si="1"/>
        <v/>
      </c>
      <c r="N11" s="354" t="str">
        <f t="shared" si="1"/>
        <v/>
      </c>
      <c r="O11" s="354" t="str">
        <f t="shared" si="1"/>
        <v/>
      </c>
      <c r="P11" s="354" t="str">
        <f t="shared" si="1"/>
        <v/>
      </c>
      <c r="Q11" s="354" t="str">
        <f t="shared" si="1"/>
        <v/>
      </c>
      <c r="R11" s="354" t="str">
        <f t="shared" si="1"/>
        <v/>
      </c>
      <c r="S11" s="354" t="str">
        <f t="shared" si="1"/>
        <v/>
      </c>
      <c r="T11" s="354" t="str">
        <f t="shared" si="1"/>
        <v/>
      </c>
      <c r="U11" s="354" t="str">
        <f t="shared" si="1"/>
        <v/>
      </c>
      <c r="V11" s="354" t="str">
        <f t="shared" si="1"/>
        <v/>
      </c>
      <c r="W11" s="354" t="str">
        <f t="shared" si="1"/>
        <v/>
      </c>
      <c r="X11" s="354" t="str">
        <f t="shared" si="1"/>
        <v/>
      </c>
      <c r="Y11" s="354" t="str">
        <f t="shared" si="1"/>
        <v/>
      </c>
      <c r="Z11" s="232"/>
    </row>
    <row r="12" spans="2:26" x14ac:dyDescent="0.25">
      <c r="B12" s="233"/>
      <c r="C12" s="140"/>
      <c r="D12" s="126">
        <f>D6</f>
        <v>4</v>
      </c>
      <c r="E12" s="124" t="s">
        <v>255</v>
      </c>
      <c r="F12" s="237">
        <f>IF(ISBLANK(F6)=TRUE,"",EXP(5.291+0.413*(LN(F6)-1.272)))</f>
        <v>246.08097804048282</v>
      </c>
      <c r="G12" s="237" t="str">
        <f t="shared" ref="G12" si="2">IF(ISBLANK(G6)=TRUE,"",EXP(5.291+0.413*(LN(G6)-1.272)))</f>
        <v/>
      </c>
      <c r="H12" s="237" t="str">
        <f t="shared" ref="H12:Y12" si="3">IF(ISBLANK(H6)=TRUE,"",EXP(5.291+0.413*(LN(H6)-1.272)))</f>
        <v/>
      </c>
      <c r="I12" s="237" t="str">
        <f t="shared" si="3"/>
        <v/>
      </c>
      <c r="J12" s="369" t="str">
        <f t="shared" si="3"/>
        <v/>
      </c>
      <c r="K12" s="369" t="str">
        <f t="shared" si="3"/>
        <v/>
      </c>
      <c r="L12" s="369" t="str">
        <f t="shared" si="3"/>
        <v/>
      </c>
      <c r="M12" s="369" t="str">
        <f t="shared" si="3"/>
        <v/>
      </c>
      <c r="N12" s="369" t="str">
        <f t="shared" si="3"/>
        <v/>
      </c>
      <c r="O12" s="369" t="str">
        <f t="shared" si="3"/>
        <v/>
      </c>
      <c r="P12" s="369" t="str">
        <f t="shared" si="3"/>
        <v/>
      </c>
      <c r="Q12" s="369" t="str">
        <f t="shared" si="3"/>
        <v/>
      </c>
      <c r="R12" s="369" t="str">
        <f t="shared" si="3"/>
        <v/>
      </c>
      <c r="S12" s="369" t="str">
        <f t="shared" si="3"/>
        <v/>
      </c>
      <c r="T12" s="369" t="str">
        <f t="shared" si="3"/>
        <v/>
      </c>
      <c r="U12" s="369" t="str">
        <f t="shared" si="3"/>
        <v/>
      </c>
      <c r="V12" s="369" t="str">
        <f t="shared" si="3"/>
        <v/>
      </c>
      <c r="W12" s="369" t="str">
        <f t="shared" si="3"/>
        <v/>
      </c>
      <c r="X12" s="369" t="str">
        <f t="shared" si="3"/>
        <v/>
      </c>
      <c r="Y12" s="369" t="str">
        <f t="shared" si="3"/>
        <v/>
      </c>
      <c r="Z12" s="232"/>
    </row>
    <row r="13" spans="2:26" x14ac:dyDescent="0.25">
      <c r="B13" s="233"/>
      <c r="C13" s="140"/>
      <c r="D13" s="14"/>
      <c r="E13" s="124" t="s">
        <v>259</v>
      </c>
      <c r="F13" s="237">
        <f>IF(ISBLANK(F7)=TRUE,"",EXP(5.291+0.413*(LN(F7)-1.272)))</f>
        <v>117.40905102082378</v>
      </c>
      <c r="G13" s="237" t="str">
        <f t="shared" ref="G13" si="4">IF(ISBLANK(G7)=TRUE,"",EXP(5.291+0.413*(LN(G7)-1.272)))</f>
        <v/>
      </c>
      <c r="H13" s="237" t="str">
        <f t="shared" ref="H13:Y13" si="5">IF(ISBLANK(H7)=TRUE,"",EXP(5.291+0.413*(LN(H7)-1.272)))</f>
        <v/>
      </c>
      <c r="I13" s="237" t="str">
        <f t="shared" si="5"/>
        <v/>
      </c>
      <c r="J13" s="369" t="str">
        <f t="shared" si="5"/>
        <v/>
      </c>
      <c r="K13" s="369" t="str">
        <f t="shared" si="5"/>
        <v/>
      </c>
      <c r="L13" s="369" t="str">
        <f t="shared" si="5"/>
        <v/>
      </c>
      <c r="M13" s="369" t="str">
        <f t="shared" si="5"/>
        <v/>
      </c>
      <c r="N13" s="369" t="str">
        <f t="shared" si="5"/>
        <v/>
      </c>
      <c r="O13" s="369" t="str">
        <f t="shared" si="5"/>
        <v/>
      </c>
      <c r="P13" s="369" t="str">
        <f t="shared" si="5"/>
        <v/>
      </c>
      <c r="Q13" s="369" t="str">
        <f t="shared" si="5"/>
        <v/>
      </c>
      <c r="R13" s="369" t="str">
        <f t="shared" si="5"/>
        <v/>
      </c>
      <c r="S13" s="369" t="str">
        <f t="shared" si="5"/>
        <v/>
      </c>
      <c r="T13" s="369" t="str">
        <f t="shared" si="5"/>
        <v/>
      </c>
      <c r="U13" s="369" t="str">
        <f t="shared" si="5"/>
        <v/>
      </c>
      <c r="V13" s="369" t="str">
        <f t="shared" si="5"/>
        <v/>
      </c>
      <c r="W13" s="369" t="str">
        <f t="shared" si="5"/>
        <v/>
      </c>
      <c r="X13" s="369" t="str">
        <f t="shared" si="5"/>
        <v/>
      </c>
      <c r="Y13" s="369" t="str">
        <f t="shared" si="5"/>
        <v/>
      </c>
      <c r="Z13" s="232"/>
    </row>
    <row r="14" spans="2:26" x14ac:dyDescent="0.25">
      <c r="B14" s="233"/>
      <c r="C14" s="140"/>
      <c r="D14" s="14"/>
      <c r="E14" s="124" t="s">
        <v>260</v>
      </c>
      <c r="F14" s="237">
        <f>IF(ISBLANK(F8)=TRUE,"",EXP(5.291+0.413*(LN(F8)-1.272)))</f>
        <v>303.87962220796436</v>
      </c>
      <c r="G14" s="237" t="str">
        <f t="shared" ref="G14" si="6">IF(ISBLANK(G8)=TRUE,"",EXP(5.291+0.413*(LN(G8)-1.272)))</f>
        <v/>
      </c>
      <c r="H14" s="237" t="str">
        <f t="shared" ref="H14:Y14" si="7">IF(ISBLANK(H8)=TRUE,"",EXP(5.291+0.413*(LN(H8)-1.272)))</f>
        <v/>
      </c>
      <c r="I14" s="237" t="str">
        <f t="shared" si="7"/>
        <v/>
      </c>
      <c r="J14" s="369" t="str">
        <f t="shared" si="7"/>
        <v/>
      </c>
      <c r="K14" s="369" t="str">
        <f t="shared" si="7"/>
        <v/>
      </c>
      <c r="L14" s="369" t="str">
        <f t="shared" si="7"/>
        <v/>
      </c>
      <c r="M14" s="369" t="str">
        <f t="shared" si="7"/>
        <v/>
      </c>
      <c r="N14" s="369" t="str">
        <f t="shared" si="7"/>
        <v/>
      </c>
      <c r="O14" s="369" t="str">
        <f t="shared" si="7"/>
        <v/>
      </c>
      <c r="P14" s="369" t="str">
        <f t="shared" si="7"/>
        <v/>
      </c>
      <c r="Q14" s="369" t="str">
        <f t="shared" si="7"/>
        <v/>
      </c>
      <c r="R14" s="369" t="str">
        <f t="shared" si="7"/>
        <v/>
      </c>
      <c r="S14" s="369" t="str">
        <f t="shared" si="7"/>
        <v/>
      </c>
      <c r="T14" s="369" t="str">
        <f t="shared" si="7"/>
        <v/>
      </c>
      <c r="U14" s="369" t="str">
        <f t="shared" si="7"/>
        <v/>
      </c>
      <c r="V14" s="369" t="str">
        <f t="shared" si="7"/>
        <v/>
      </c>
      <c r="W14" s="369" t="str">
        <f t="shared" si="7"/>
        <v/>
      </c>
      <c r="X14" s="369" t="str">
        <f t="shared" si="7"/>
        <v/>
      </c>
      <c r="Y14" s="369" t="str">
        <f t="shared" si="7"/>
        <v/>
      </c>
      <c r="Z14" s="232"/>
    </row>
    <row r="15" spans="2:26" x14ac:dyDescent="0.25">
      <c r="B15" s="233"/>
      <c r="C15" s="140"/>
      <c r="D15" s="14"/>
      <c r="E15" s="346"/>
      <c r="F15" s="347"/>
      <c r="G15" s="345"/>
      <c r="H15" s="345"/>
      <c r="I15" s="345"/>
      <c r="J15" s="14"/>
      <c r="K15" s="14"/>
      <c r="L15" s="2"/>
      <c r="M15" s="2"/>
      <c r="N15" s="2"/>
      <c r="O15" s="2"/>
      <c r="P15" s="2"/>
      <c r="Q15" s="2"/>
      <c r="R15" s="2"/>
      <c r="S15" s="2"/>
      <c r="T15" s="2"/>
      <c r="U15" s="2"/>
      <c r="V15" s="2"/>
      <c r="W15" s="2"/>
      <c r="X15" s="2"/>
      <c r="Y15" s="2"/>
      <c r="Z15" s="232"/>
    </row>
    <row r="16" spans="2:26" hidden="1" x14ac:dyDescent="0.25">
      <c r="B16" s="233"/>
      <c r="C16" s="140"/>
      <c r="D16" s="14"/>
      <c r="E16" s="257"/>
      <c r="F16" s="258"/>
      <c r="G16" s="258"/>
      <c r="H16" s="258"/>
      <c r="I16" s="258"/>
      <c r="J16" s="14"/>
      <c r="K16" s="14"/>
      <c r="L16" s="2"/>
      <c r="M16" s="2"/>
      <c r="N16" s="2"/>
      <c r="O16" s="2"/>
      <c r="P16" s="2"/>
      <c r="Q16" s="2"/>
      <c r="R16" s="2"/>
      <c r="S16" s="2"/>
      <c r="T16" s="2"/>
      <c r="U16" s="2"/>
      <c r="V16" s="2"/>
      <c r="W16" s="2"/>
      <c r="X16" s="2"/>
      <c r="Y16" s="2"/>
      <c r="Z16" s="232"/>
    </row>
    <row r="17" spans="2:26" ht="13" x14ac:dyDescent="0.3">
      <c r="B17" s="233"/>
      <c r="C17" s="364" t="s">
        <v>358</v>
      </c>
      <c r="D17" s="126" t="s">
        <v>218</v>
      </c>
      <c r="E17" s="124" t="s">
        <v>258</v>
      </c>
      <c r="F17" s="236">
        <f>IF(ISBLANK(F5)=TRUE, "",F5)</f>
        <v>2</v>
      </c>
      <c r="G17" s="236" t="str">
        <f t="shared" ref="G17" si="8">IF(ISBLANK(G5)=TRUE, "",G5)</f>
        <v/>
      </c>
      <c r="H17" s="236" t="str">
        <f t="shared" ref="H17:Y17" si="9">IF(ISBLANK(H5)=TRUE, "",H5)</f>
        <v/>
      </c>
      <c r="I17" s="236" t="str">
        <f t="shared" si="9"/>
        <v/>
      </c>
      <c r="J17" s="354" t="str">
        <f t="shared" si="9"/>
        <v/>
      </c>
      <c r="K17" s="354" t="str">
        <f t="shared" si="9"/>
        <v/>
      </c>
      <c r="L17" s="354" t="str">
        <f t="shared" si="9"/>
        <v/>
      </c>
      <c r="M17" s="354" t="str">
        <f t="shared" si="9"/>
        <v/>
      </c>
      <c r="N17" s="354" t="str">
        <f t="shared" si="9"/>
        <v/>
      </c>
      <c r="O17" s="354" t="str">
        <f t="shared" si="9"/>
        <v/>
      </c>
      <c r="P17" s="354" t="str">
        <f t="shared" si="9"/>
        <v/>
      </c>
      <c r="Q17" s="354" t="str">
        <f t="shared" si="9"/>
        <v/>
      </c>
      <c r="R17" s="354" t="str">
        <f t="shared" si="9"/>
        <v/>
      </c>
      <c r="S17" s="354" t="str">
        <f t="shared" si="9"/>
        <v/>
      </c>
      <c r="T17" s="354" t="str">
        <f t="shared" si="9"/>
        <v/>
      </c>
      <c r="U17" s="354" t="str">
        <f t="shared" si="9"/>
        <v/>
      </c>
      <c r="V17" s="354" t="str">
        <f t="shared" si="9"/>
        <v/>
      </c>
      <c r="W17" s="354" t="str">
        <f t="shared" si="9"/>
        <v/>
      </c>
      <c r="X17" s="354" t="str">
        <f t="shared" si="9"/>
        <v/>
      </c>
      <c r="Y17" s="354" t="str">
        <f t="shared" si="9"/>
        <v/>
      </c>
      <c r="Z17" s="232"/>
    </row>
    <row r="18" spans="2:26" x14ac:dyDescent="0.25">
      <c r="B18" s="233"/>
      <c r="C18" s="140"/>
      <c r="D18" s="126">
        <f>D12</f>
        <v>4</v>
      </c>
      <c r="E18" s="124" t="s">
        <v>356</v>
      </c>
      <c r="F18" s="237">
        <f>IF(ISERROR(F12/5.26),"",F12/5.26)</f>
        <v>46.783455901232479</v>
      </c>
      <c r="G18" s="237" t="str">
        <f t="shared" ref="G18" si="10">IF(ISERROR(G12/5.26),"",G12/5.26)</f>
        <v/>
      </c>
      <c r="H18" s="237" t="str">
        <f t="shared" ref="H18:Y18" si="11">IF(ISERROR(H12/5.26),"",H12/5.26)</f>
        <v/>
      </c>
      <c r="I18" s="237" t="str">
        <f t="shared" si="11"/>
        <v/>
      </c>
      <c r="J18" s="369" t="str">
        <f t="shared" si="11"/>
        <v/>
      </c>
      <c r="K18" s="369" t="str">
        <f t="shared" si="11"/>
        <v/>
      </c>
      <c r="L18" s="369" t="str">
        <f t="shared" si="11"/>
        <v/>
      </c>
      <c r="M18" s="369" t="str">
        <f t="shared" si="11"/>
        <v/>
      </c>
      <c r="N18" s="369" t="str">
        <f t="shared" si="11"/>
        <v/>
      </c>
      <c r="O18" s="369" t="str">
        <f t="shared" si="11"/>
        <v/>
      </c>
      <c r="P18" s="369" t="str">
        <f t="shared" si="11"/>
        <v/>
      </c>
      <c r="Q18" s="369" t="str">
        <f t="shared" si="11"/>
        <v/>
      </c>
      <c r="R18" s="369" t="str">
        <f t="shared" si="11"/>
        <v/>
      </c>
      <c r="S18" s="369" t="str">
        <f t="shared" si="11"/>
        <v/>
      </c>
      <c r="T18" s="369" t="str">
        <f t="shared" si="11"/>
        <v/>
      </c>
      <c r="U18" s="369" t="str">
        <f t="shared" si="11"/>
        <v/>
      </c>
      <c r="V18" s="369" t="str">
        <f t="shared" si="11"/>
        <v/>
      </c>
      <c r="W18" s="369" t="str">
        <f t="shared" si="11"/>
        <v/>
      </c>
      <c r="X18" s="369" t="str">
        <f t="shared" si="11"/>
        <v/>
      </c>
      <c r="Y18" s="369" t="str">
        <f t="shared" si="11"/>
        <v/>
      </c>
      <c r="Z18" s="232"/>
    </row>
    <row r="19" spans="2:26" x14ac:dyDescent="0.25">
      <c r="B19" s="233"/>
      <c r="C19" s="140"/>
      <c r="D19" s="24"/>
      <c r="E19" s="124" t="s">
        <v>357</v>
      </c>
      <c r="F19" s="237">
        <f>IF(ISERROR(F12*5.26),"",F12*5.26)</f>
        <v>1294.3859444929396</v>
      </c>
      <c r="G19" s="237" t="str">
        <f t="shared" ref="G19" si="12">IF(ISERROR(G12*5.26),"",G12*5.26)</f>
        <v/>
      </c>
      <c r="H19" s="237" t="str">
        <f t="shared" ref="H19:Y19" si="13">IF(ISERROR(H12*5.26),"",H12*5.26)</f>
        <v/>
      </c>
      <c r="I19" s="237" t="str">
        <f t="shared" si="13"/>
        <v/>
      </c>
      <c r="J19" s="369" t="str">
        <f t="shared" si="13"/>
        <v/>
      </c>
      <c r="K19" s="369" t="str">
        <f t="shared" si="13"/>
        <v/>
      </c>
      <c r="L19" s="369" t="str">
        <f t="shared" si="13"/>
        <v/>
      </c>
      <c r="M19" s="369" t="str">
        <f t="shared" si="13"/>
        <v/>
      </c>
      <c r="N19" s="369" t="str">
        <f t="shared" si="13"/>
        <v/>
      </c>
      <c r="O19" s="369" t="str">
        <f t="shared" si="13"/>
        <v/>
      </c>
      <c r="P19" s="369" t="str">
        <f t="shared" si="13"/>
        <v/>
      </c>
      <c r="Q19" s="369" t="str">
        <f t="shared" si="13"/>
        <v/>
      </c>
      <c r="R19" s="369" t="str">
        <f t="shared" si="13"/>
        <v/>
      </c>
      <c r="S19" s="369" t="str">
        <f t="shared" si="13"/>
        <v/>
      </c>
      <c r="T19" s="369" t="str">
        <f t="shared" si="13"/>
        <v/>
      </c>
      <c r="U19" s="369" t="str">
        <f t="shared" si="13"/>
        <v/>
      </c>
      <c r="V19" s="369" t="str">
        <f t="shared" si="13"/>
        <v/>
      </c>
      <c r="W19" s="369" t="str">
        <f t="shared" si="13"/>
        <v/>
      </c>
      <c r="X19" s="369" t="str">
        <f t="shared" si="13"/>
        <v/>
      </c>
      <c r="Y19" s="369" t="str">
        <f t="shared" si="13"/>
        <v/>
      </c>
      <c r="Z19" s="232"/>
    </row>
    <row r="20" spans="2:26" x14ac:dyDescent="0.25">
      <c r="B20" s="233"/>
      <c r="C20" s="140"/>
      <c r="D20" s="14"/>
      <c r="E20" s="124" t="s">
        <v>388</v>
      </c>
      <c r="F20" s="237">
        <f>IF(ISERROR(F13/5.26),"",F13/5.26)</f>
        <v>22.321112361373345</v>
      </c>
      <c r="G20" s="237" t="str">
        <f t="shared" ref="G20" si="14">IF(ISERROR(G13/5.26),"",G13/5.26)</f>
        <v/>
      </c>
      <c r="H20" s="237" t="str">
        <f t="shared" ref="H20:Y20" si="15">IF(ISERROR(H13/5.26),"",H13/5.26)</f>
        <v/>
      </c>
      <c r="I20" s="237" t="str">
        <f t="shared" si="15"/>
        <v/>
      </c>
      <c r="J20" s="369" t="str">
        <f t="shared" si="15"/>
        <v/>
      </c>
      <c r="K20" s="369" t="str">
        <f t="shared" si="15"/>
        <v/>
      </c>
      <c r="L20" s="369" t="str">
        <f t="shared" si="15"/>
        <v/>
      </c>
      <c r="M20" s="369" t="str">
        <f t="shared" si="15"/>
        <v/>
      </c>
      <c r="N20" s="369" t="str">
        <f t="shared" si="15"/>
        <v/>
      </c>
      <c r="O20" s="369" t="str">
        <f t="shared" si="15"/>
        <v/>
      </c>
      <c r="P20" s="369" t="str">
        <f t="shared" si="15"/>
        <v/>
      </c>
      <c r="Q20" s="369" t="str">
        <f t="shared" si="15"/>
        <v/>
      </c>
      <c r="R20" s="369" t="str">
        <f t="shared" si="15"/>
        <v/>
      </c>
      <c r="S20" s="369" t="str">
        <f t="shared" si="15"/>
        <v/>
      </c>
      <c r="T20" s="369" t="str">
        <f t="shared" si="15"/>
        <v/>
      </c>
      <c r="U20" s="369" t="str">
        <f t="shared" si="15"/>
        <v/>
      </c>
      <c r="V20" s="369" t="str">
        <f t="shared" si="15"/>
        <v/>
      </c>
      <c r="W20" s="369" t="str">
        <f t="shared" si="15"/>
        <v/>
      </c>
      <c r="X20" s="369" t="str">
        <f t="shared" si="15"/>
        <v/>
      </c>
      <c r="Y20" s="369" t="str">
        <f t="shared" si="15"/>
        <v/>
      </c>
      <c r="Z20" s="232"/>
    </row>
    <row r="21" spans="2:26" x14ac:dyDescent="0.25">
      <c r="B21" s="233"/>
      <c r="C21" s="140"/>
      <c r="D21" s="14"/>
      <c r="E21" s="124" t="s">
        <v>389</v>
      </c>
      <c r="F21" s="237">
        <f>IF(ISERROR(F13*5.26),"",F13*5.26)</f>
        <v>617.57160836953301</v>
      </c>
      <c r="G21" s="237" t="str">
        <f t="shared" ref="G21" si="16">IF(ISERROR(G13*5.26),"",G13*5.26)</f>
        <v/>
      </c>
      <c r="H21" s="237" t="str">
        <f t="shared" ref="H21:Y21" si="17">IF(ISERROR(H13*5.26),"",H13*5.26)</f>
        <v/>
      </c>
      <c r="I21" s="237" t="str">
        <f t="shared" si="17"/>
        <v/>
      </c>
      <c r="J21" s="369" t="str">
        <f t="shared" si="17"/>
        <v/>
      </c>
      <c r="K21" s="369" t="str">
        <f t="shared" si="17"/>
        <v/>
      </c>
      <c r="L21" s="369" t="str">
        <f t="shared" si="17"/>
        <v/>
      </c>
      <c r="M21" s="369" t="str">
        <f t="shared" si="17"/>
        <v/>
      </c>
      <c r="N21" s="369" t="str">
        <f t="shared" si="17"/>
        <v/>
      </c>
      <c r="O21" s="369" t="str">
        <f t="shared" si="17"/>
        <v/>
      </c>
      <c r="P21" s="369" t="str">
        <f t="shared" si="17"/>
        <v/>
      </c>
      <c r="Q21" s="369" t="str">
        <f t="shared" si="17"/>
        <v/>
      </c>
      <c r="R21" s="369" t="str">
        <f t="shared" si="17"/>
        <v/>
      </c>
      <c r="S21" s="369" t="str">
        <f t="shared" si="17"/>
        <v/>
      </c>
      <c r="T21" s="369" t="str">
        <f t="shared" si="17"/>
        <v/>
      </c>
      <c r="U21" s="369" t="str">
        <f t="shared" si="17"/>
        <v/>
      </c>
      <c r="V21" s="369" t="str">
        <f t="shared" si="17"/>
        <v/>
      </c>
      <c r="W21" s="369" t="str">
        <f t="shared" si="17"/>
        <v/>
      </c>
      <c r="X21" s="369" t="str">
        <f t="shared" si="17"/>
        <v/>
      </c>
      <c r="Y21" s="369" t="str">
        <f t="shared" si="17"/>
        <v/>
      </c>
      <c r="Z21" s="232"/>
    </row>
    <row r="22" spans="2:26" x14ac:dyDescent="0.25">
      <c r="B22" s="233"/>
      <c r="C22" s="140"/>
      <c r="D22" s="14"/>
      <c r="E22" s="124" t="s">
        <v>390</v>
      </c>
      <c r="F22" s="237">
        <f>IF(ISERROR(F14/5.26),"",F14/5.26)</f>
        <v>57.771791294289805</v>
      </c>
      <c r="G22" s="237" t="str">
        <f t="shared" ref="G22" si="18">IF(ISERROR(G14/5.26),"",G14/5.26)</f>
        <v/>
      </c>
      <c r="H22" s="237" t="str">
        <f t="shared" ref="H22:Y22" si="19">IF(ISERROR(H14/5.26),"",H14/5.26)</f>
        <v/>
      </c>
      <c r="I22" s="237" t="str">
        <f t="shared" si="19"/>
        <v/>
      </c>
      <c r="J22" s="369" t="str">
        <f t="shared" si="19"/>
        <v/>
      </c>
      <c r="K22" s="369" t="str">
        <f t="shared" si="19"/>
        <v/>
      </c>
      <c r="L22" s="369" t="str">
        <f t="shared" si="19"/>
        <v/>
      </c>
      <c r="M22" s="369" t="str">
        <f t="shared" si="19"/>
        <v/>
      </c>
      <c r="N22" s="369" t="str">
        <f t="shared" si="19"/>
        <v/>
      </c>
      <c r="O22" s="369" t="str">
        <f t="shared" si="19"/>
        <v/>
      </c>
      <c r="P22" s="369" t="str">
        <f t="shared" si="19"/>
        <v/>
      </c>
      <c r="Q22" s="369" t="str">
        <f t="shared" si="19"/>
        <v/>
      </c>
      <c r="R22" s="369" t="str">
        <f t="shared" si="19"/>
        <v/>
      </c>
      <c r="S22" s="369" t="str">
        <f t="shared" si="19"/>
        <v/>
      </c>
      <c r="T22" s="369" t="str">
        <f t="shared" si="19"/>
        <v/>
      </c>
      <c r="U22" s="369" t="str">
        <f t="shared" si="19"/>
        <v/>
      </c>
      <c r="V22" s="369" t="str">
        <f t="shared" si="19"/>
        <v/>
      </c>
      <c r="W22" s="369" t="str">
        <f t="shared" si="19"/>
        <v/>
      </c>
      <c r="X22" s="369" t="str">
        <f t="shared" si="19"/>
        <v/>
      </c>
      <c r="Y22" s="369" t="str">
        <f t="shared" si="19"/>
        <v/>
      </c>
      <c r="Z22" s="232"/>
    </row>
    <row r="23" spans="2:26" x14ac:dyDescent="0.25">
      <c r="B23" s="233"/>
      <c r="C23" s="140"/>
      <c r="D23" s="14"/>
      <c r="E23" s="124" t="s">
        <v>391</v>
      </c>
      <c r="F23" s="237">
        <f>IF(ISERROR(F14*5.26),"",F14*5.26)</f>
        <v>1598.4068128138924</v>
      </c>
      <c r="G23" s="237" t="str">
        <f t="shared" ref="G23" si="20">IF(ISERROR(G14*5.26),"",G14*5.26)</f>
        <v/>
      </c>
      <c r="H23" s="237" t="str">
        <f t="shared" ref="H23:Y23" si="21">IF(ISERROR(H14*5.26),"",H14*5.26)</f>
        <v/>
      </c>
      <c r="I23" s="237" t="str">
        <f t="shared" si="21"/>
        <v/>
      </c>
      <c r="J23" s="369" t="str">
        <f t="shared" si="21"/>
        <v/>
      </c>
      <c r="K23" s="369" t="str">
        <f t="shared" si="21"/>
        <v/>
      </c>
      <c r="L23" s="369" t="str">
        <f t="shared" si="21"/>
        <v/>
      </c>
      <c r="M23" s="369" t="str">
        <f t="shared" si="21"/>
        <v/>
      </c>
      <c r="N23" s="369" t="str">
        <f t="shared" si="21"/>
        <v/>
      </c>
      <c r="O23" s="369" t="str">
        <f t="shared" si="21"/>
        <v/>
      </c>
      <c r="P23" s="369" t="str">
        <f t="shared" si="21"/>
        <v/>
      </c>
      <c r="Q23" s="369" t="str">
        <f t="shared" si="21"/>
        <v/>
      </c>
      <c r="R23" s="369" t="str">
        <f t="shared" si="21"/>
        <v/>
      </c>
      <c r="S23" s="369" t="str">
        <f t="shared" si="21"/>
        <v/>
      </c>
      <c r="T23" s="369" t="str">
        <f t="shared" si="21"/>
        <v/>
      </c>
      <c r="U23" s="369" t="str">
        <f t="shared" si="21"/>
        <v/>
      </c>
      <c r="V23" s="369" t="str">
        <f t="shared" si="21"/>
        <v/>
      </c>
      <c r="W23" s="369" t="str">
        <f t="shared" si="21"/>
        <v/>
      </c>
      <c r="X23" s="369" t="str">
        <f t="shared" si="21"/>
        <v/>
      </c>
      <c r="Y23" s="369" t="str">
        <f t="shared" si="21"/>
        <v/>
      </c>
      <c r="Z23" s="232"/>
    </row>
    <row r="24" spans="2:26" x14ac:dyDescent="0.25">
      <c r="B24" s="233"/>
      <c r="C24" s="140"/>
      <c r="D24" s="14"/>
      <c r="E24" s="344"/>
      <c r="F24" s="345"/>
      <c r="G24" s="345"/>
      <c r="H24" s="345"/>
      <c r="I24" s="345"/>
      <c r="J24" s="14"/>
      <c r="K24" s="14"/>
      <c r="L24" s="2"/>
      <c r="M24" s="2"/>
      <c r="N24" s="2"/>
      <c r="O24" s="2"/>
      <c r="P24" s="2"/>
      <c r="Q24" s="2"/>
      <c r="R24" s="2"/>
      <c r="S24" s="2"/>
      <c r="T24" s="2"/>
      <c r="U24" s="2"/>
      <c r="V24" s="2"/>
      <c r="W24" s="2"/>
      <c r="X24" s="2"/>
      <c r="Y24" s="2"/>
      <c r="Z24" s="232"/>
    </row>
    <row r="25" spans="2:26" ht="13" x14ac:dyDescent="0.3">
      <c r="B25" s="233"/>
      <c r="C25" s="364" t="s">
        <v>387</v>
      </c>
      <c r="D25" s="126" t="s">
        <v>218</v>
      </c>
      <c r="E25" s="124" t="s">
        <v>258</v>
      </c>
      <c r="F25" s="236">
        <f>IF(ISBLANK(F5)=TRUE, "",F5)</f>
        <v>2</v>
      </c>
      <c r="G25" s="236" t="str">
        <f t="shared" ref="G25" si="22">IF(ISBLANK(G5)=TRUE, "",G5)</f>
        <v/>
      </c>
      <c r="H25" s="236" t="str">
        <f t="shared" ref="H25:Y25" si="23">IF(ISBLANK(H5)=TRUE, "",H5)</f>
        <v/>
      </c>
      <c r="I25" s="236" t="str">
        <f t="shared" si="23"/>
        <v/>
      </c>
      <c r="J25" s="354" t="str">
        <f t="shared" si="23"/>
        <v/>
      </c>
      <c r="K25" s="354" t="str">
        <f t="shared" si="23"/>
        <v/>
      </c>
      <c r="L25" s="354" t="str">
        <f t="shared" si="23"/>
        <v/>
      </c>
      <c r="M25" s="354" t="str">
        <f t="shared" si="23"/>
        <v/>
      </c>
      <c r="N25" s="354" t="str">
        <f t="shared" si="23"/>
        <v/>
      </c>
      <c r="O25" s="354" t="str">
        <f t="shared" si="23"/>
        <v/>
      </c>
      <c r="P25" s="354" t="str">
        <f t="shared" si="23"/>
        <v/>
      </c>
      <c r="Q25" s="354" t="str">
        <f t="shared" si="23"/>
        <v/>
      </c>
      <c r="R25" s="354" t="str">
        <f t="shared" si="23"/>
        <v/>
      </c>
      <c r="S25" s="354" t="str">
        <f t="shared" si="23"/>
        <v/>
      </c>
      <c r="T25" s="354" t="str">
        <f t="shared" si="23"/>
        <v/>
      </c>
      <c r="U25" s="354" t="str">
        <f t="shared" si="23"/>
        <v/>
      </c>
      <c r="V25" s="354" t="str">
        <f t="shared" si="23"/>
        <v/>
      </c>
      <c r="W25" s="354" t="str">
        <f t="shared" si="23"/>
        <v/>
      </c>
      <c r="X25" s="354" t="str">
        <f t="shared" si="23"/>
        <v/>
      </c>
      <c r="Y25" s="354" t="str">
        <f t="shared" si="23"/>
        <v/>
      </c>
      <c r="Z25" s="232"/>
    </row>
    <row r="26" spans="2:26" x14ac:dyDescent="0.25">
      <c r="B26" s="233"/>
      <c r="C26" s="140"/>
      <c r="D26" s="126">
        <f>D18</f>
        <v>4</v>
      </c>
      <c r="E26" s="124" t="s">
        <v>255</v>
      </c>
      <c r="F26" s="237">
        <f>IF(ISERROR(1.4314*F12),"",1.4314*F12)</f>
        <v>352.24031196714714</v>
      </c>
      <c r="G26" s="237" t="str">
        <f t="shared" ref="G26" si="24">IF(ISERROR(1.4314*G12),"",1.4314*G12)</f>
        <v/>
      </c>
      <c r="H26" s="237" t="str">
        <f t="shared" ref="H26:Y26" si="25">IF(ISERROR(1.4314*H12),"",1.4314*H12)</f>
        <v/>
      </c>
      <c r="I26" s="237" t="str">
        <f t="shared" si="25"/>
        <v/>
      </c>
      <c r="J26" s="369" t="str">
        <f t="shared" si="25"/>
        <v/>
      </c>
      <c r="K26" s="369" t="str">
        <f t="shared" si="25"/>
        <v/>
      </c>
      <c r="L26" s="369" t="str">
        <f t="shared" si="25"/>
        <v/>
      </c>
      <c r="M26" s="369" t="str">
        <f t="shared" si="25"/>
        <v/>
      </c>
      <c r="N26" s="369" t="str">
        <f t="shared" si="25"/>
        <v/>
      </c>
      <c r="O26" s="369" t="str">
        <f t="shared" si="25"/>
        <v/>
      </c>
      <c r="P26" s="369" t="str">
        <f t="shared" si="25"/>
        <v/>
      </c>
      <c r="Q26" s="369" t="str">
        <f t="shared" si="25"/>
        <v/>
      </c>
      <c r="R26" s="369" t="str">
        <f t="shared" si="25"/>
        <v/>
      </c>
      <c r="S26" s="369" t="str">
        <f t="shared" si="25"/>
        <v/>
      </c>
      <c r="T26" s="369" t="str">
        <f t="shared" si="25"/>
        <v/>
      </c>
      <c r="U26" s="369" t="str">
        <f t="shared" si="25"/>
        <v/>
      </c>
      <c r="V26" s="369" t="str">
        <f t="shared" si="25"/>
        <v/>
      </c>
      <c r="W26" s="369" t="str">
        <f t="shared" si="25"/>
        <v/>
      </c>
      <c r="X26" s="369" t="str">
        <f t="shared" si="25"/>
        <v/>
      </c>
      <c r="Y26" s="369" t="str">
        <f t="shared" si="25"/>
        <v/>
      </c>
      <c r="Z26" s="232"/>
    </row>
    <row r="27" spans="2:26" x14ac:dyDescent="0.25">
      <c r="B27" s="233"/>
      <c r="C27" s="140"/>
      <c r="D27" s="14"/>
      <c r="E27" s="124" t="s">
        <v>259</v>
      </c>
      <c r="F27" s="237">
        <f t="shared" ref="F27:G28" si="26">IF(ISERROR(1.4314*F13),"",1.4314*F13)</f>
        <v>168.05931563120717</v>
      </c>
      <c r="G27" s="237" t="str">
        <f t="shared" si="26"/>
        <v/>
      </c>
      <c r="H27" s="237" t="str">
        <f t="shared" ref="H27:Y27" si="27">IF(ISERROR(1.4314*H13),"",1.4314*H13)</f>
        <v/>
      </c>
      <c r="I27" s="237" t="str">
        <f t="shared" si="27"/>
        <v/>
      </c>
      <c r="J27" s="369" t="str">
        <f t="shared" si="27"/>
        <v/>
      </c>
      <c r="K27" s="369" t="str">
        <f t="shared" si="27"/>
        <v/>
      </c>
      <c r="L27" s="369" t="str">
        <f t="shared" si="27"/>
        <v/>
      </c>
      <c r="M27" s="369" t="str">
        <f t="shared" si="27"/>
        <v/>
      </c>
      <c r="N27" s="369" t="str">
        <f t="shared" si="27"/>
        <v/>
      </c>
      <c r="O27" s="369" t="str">
        <f t="shared" si="27"/>
        <v/>
      </c>
      <c r="P27" s="369" t="str">
        <f t="shared" si="27"/>
        <v/>
      </c>
      <c r="Q27" s="369" t="str">
        <f t="shared" si="27"/>
        <v/>
      </c>
      <c r="R27" s="369" t="str">
        <f t="shared" si="27"/>
        <v/>
      </c>
      <c r="S27" s="369" t="str">
        <f t="shared" si="27"/>
        <v/>
      </c>
      <c r="T27" s="369" t="str">
        <f t="shared" si="27"/>
        <v/>
      </c>
      <c r="U27" s="369" t="str">
        <f t="shared" si="27"/>
        <v/>
      </c>
      <c r="V27" s="369" t="str">
        <f t="shared" si="27"/>
        <v/>
      </c>
      <c r="W27" s="369" t="str">
        <f t="shared" si="27"/>
        <v/>
      </c>
      <c r="X27" s="369" t="str">
        <f t="shared" si="27"/>
        <v/>
      </c>
      <c r="Y27" s="369" t="str">
        <f t="shared" si="27"/>
        <v/>
      </c>
      <c r="Z27" s="232"/>
    </row>
    <row r="28" spans="2:26" x14ac:dyDescent="0.25">
      <c r="B28" s="233"/>
      <c r="C28" s="140"/>
      <c r="D28" s="14"/>
      <c r="E28" s="124" t="s">
        <v>260</v>
      </c>
      <c r="F28" s="237">
        <f t="shared" si="26"/>
        <v>434.97329122848021</v>
      </c>
      <c r="G28" s="237" t="str">
        <f t="shared" si="26"/>
        <v/>
      </c>
      <c r="H28" s="237" t="str">
        <f t="shared" ref="H28:Y28" si="28">IF(ISERROR(1.4314*H14),"",1.4314*H14)</f>
        <v/>
      </c>
      <c r="I28" s="237" t="str">
        <f t="shared" si="28"/>
        <v/>
      </c>
      <c r="J28" s="369" t="str">
        <f t="shared" si="28"/>
        <v/>
      </c>
      <c r="K28" s="369" t="str">
        <f t="shared" si="28"/>
        <v/>
      </c>
      <c r="L28" s="369" t="str">
        <f t="shared" si="28"/>
        <v/>
      </c>
      <c r="M28" s="369" t="str">
        <f t="shared" si="28"/>
        <v/>
      </c>
      <c r="N28" s="369" t="str">
        <f t="shared" si="28"/>
        <v/>
      </c>
      <c r="O28" s="369" t="str">
        <f t="shared" si="28"/>
        <v/>
      </c>
      <c r="P28" s="369" t="str">
        <f t="shared" si="28"/>
        <v/>
      </c>
      <c r="Q28" s="369" t="str">
        <f t="shared" si="28"/>
        <v/>
      </c>
      <c r="R28" s="369" t="str">
        <f t="shared" si="28"/>
        <v/>
      </c>
      <c r="S28" s="369" t="str">
        <f t="shared" si="28"/>
        <v/>
      </c>
      <c r="T28" s="369" t="str">
        <f t="shared" si="28"/>
        <v/>
      </c>
      <c r="U28" s="369" t="str">
        <f t="shared" si="28"/>
        <v/>
      </c>
      <c r="V28" s="369" t="str">
        <f t="shared" si="28"/>
        <v/>
      </c>
      <c r="W28" s="369" t="str">
        <f t="shared" si="28"/>
        <v/>
      </c>
      <c r="X28" s="369" t="str">
        <f t="shared" si="28"/>
        <v/>
      </c>
      <c r="Y28" s="369" t="str">
        <f t="shared" si="28"/>
        <v/>
      </c>
      <c r="Z28" s="232"/>
    </row>
    <row r="29" spans="2:26" x14ac:dyDescent="0.25">
      <c r="B29" s="233"/>
      <c r="C29" s="140"/>
      <c r="D29" s="14"/>
      <c r="E29" s="14"/>
      <c r="F29" s="14"/>
      <c r="G29" s="14"/>
      <c r="H29" s="14"/>
      <c r="I29" s="14"/>
      <c r="J29" s="14"/>
      <c r="K29" s="14"/>
      <c r="L29" s="14"/>
      <c r="M29" s="14"/>
      <c r="N29" s="14"/>
      <c r="O29" s="14"/>
      <c r="P29" s="14"/>
      <c r="Q29" s="14"/>
      <c r="R29" s="14"/>
      <c r="S29" s="14"/>
      <c r="T29" s="14"/>
      <c r="U29" s="14"/>
      <c r="V29" s="14"/>
      <c r="W29" s="14"/>
      <c r="X29" s="14"/>
      <c r="Y29" s="2"/>
      <c r="Z29" s="232"/>
    </row>
    <row r="30" spans="2:26" x14ac:dyDescent="0.25">
      <c r="B30" s="233"/>
      <c r="C30" s="2"/>
      <c r="D30" s="350" t="s">
        <v>394</v>
      </c>
      <c r="E30" s="2"/>
      <c r="F30" s="2"/>
      <c r="G30" s="2"/>
      <c r="H30" s="2"/>
      <c r="I30" s="2"/>
      <c r="J30" s="2"/>
      <c r="K30" s="2"/>
      <c r="L30" s="2"/>
      <c r="M30" s="2"/>
      <c r="N30" s="2"/>
      <c r="O30" s="2"/>
      <c r="P30" s="2"/>
      <c r="Q30" s="2"/>
      <c r="R30" s="2"/>
      <c r="S30" s="2"/>
      <c r="T30" s="2"/>
      <c r="U30" s="2"/>
      <c r="V30" s="2"/>
      <c r="W30" s="2"/>
      <c r="X30" s="2"/>
      <c r="Y30" s="2"/>
      <c r="Z30" s="232"/>
    </row>
    <row r="31" spans="2:26" x14ac:dyDescent="0.25">
      <c r="B31" s="235"/>
      <c r="C31" s="230"/>
      <c r="D31" s="350" t="s">
        <v>393</v>
      </c>
      <c r="E31" s="2"/>
      <c r="F31" s="2"/>
      <c r="G31" s="2"/>
      <c r="H31" s="2"/>
      <c r="I31" s="2"/>
      <c r="J31" s="2"/>
      <c r="K31" s="2"/>
      <c r="L31" s="2"/>
      <c r="M31" s="2"/>
      <c r="N31" s="2"/>
      <c r="O31" s="2"/>
      <c r="P31" s="2"/>
      <c r="Q31" s="2"/>
      <c r="R31" s="2"/>
      <c r="S31" s="2"/>
      <c r="T31" s="2"/>
      <c r="U31" s="2"/>
      <c r="V31" s="2"/>
      <c r="W31" s="2"/>
      <c r="X31" s="2"/>
      <c r="Y31" s="2"/>
      <c r="Z31" s="232"/>
    </row>
    <row r="32" spans="2:26" x14ac:dyDescent="0.25">
      <c r="B32" s="233"/>
      <c r="C32" s="2"/>
      <c r="D32" s="2"/>
      <c r="E32" s="2"/>
      <c r="F32" s="2"/>
      <c r="G32" s="2"/>
      <c r="H32" s="2"/>
      <c r="I32" s="2"/>
      <c r="J32" s="2"/>
      <c r="K32" s="2"/>
      <c r="L32" s="2"/>
      <c r="M32" s="2"/>
      <c r="N32" s="2"/>
      <c r="O32" s="2"/>
      <c r="P32" s="2"/>
      <c r="Q32" s="2"/>
      <c r="R32" s="2"/>
      <c r="S32" s="2"/>
      <c r="T32" s="2"/>
      <c r="U32" s="2"/>
      <c r="V32" s="2"/>
      <c r="W32" s="2"/>
      <c r="X32" s="2"/>
      <c r="Y32" s="2"/>
      <c r="Z32" s="232"/>
    </row>
    <row r="33" spans="2:26" ht="13" thickBot="1" x14ac:dyDescent="0.3">
      <c r="B33" s="234"/>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23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EC5F-5F2D-4F67-AB33-2E211912BD42}">
  <sheetPr codeName="Sheet6">
    <tabColor theme="5" tint="-0.499984740745262"/>
  </sheetPr>
  <dimension ref="B1:I18"/>
  <sheetViews>
    <sheetView zoomScale="110" zoomScaleNormal="110" workbookViewId="0">
      <selection activeCell="E7" sqref="E7:G17"/>
    </sheetView>
  </sheetViews>
  <sheetFormatPr defaultColWidth="8.81640625" defaultRowHeight="12.5" x14ac:dyDescent="0.25"/>
  <cols>
    <col min="1" max="1" width="1.453125" style="19" customWidth="1"/>
    <col min="2" max="2" width="2" style="19" customWidth="1"/>
    <col min="3" max="3" width="12.453125" style="19" customWidth="1"/>
    <col min="4" max="5" width="8.81640625" style="19"/>
    <col min="6" max="7" width="8.81640625" style="19" customWidth="1"/>
    <col min="8" max="8" width="58.08984375" style="19" customWidth="1"/>
    <col min="9" max="9" width="2.1796875" style="19" customWidth="1"/>
    <col min="10" max="16384" width="8.81640625" style="19"/>
  </cols>
  <sheetData>
    <row r="1" spans="2:9" ht="6.65" customHeight="1" thickBot="1" x14ac:dyDescent="0.3"/>
    <row r="2" spans="2:9" ht="8.5" customHeight="1" x14ac:dyDescent="0.25">
      <c r="B2" s="109"/>
      <c r="C2" s="109"/>
      <c r="D2" s="110"/>
      <c r="E2" s="110"/>
      <c r="F2" s="110"/>
      <c r="G2" s="110"/>
      <c r="H2" s="110"/>
      <c r="I2" s="118"/>
    </row>
    <row r="3" spans="2:9" ht="28.9" customHeight="1" x14ac:dyDescent="0.5">
      <c r="B3" s="341" t="s">
        <v>283</v>
      </c>
      <c r="C3" s="114"/>
      <c r="D3" s="114"/>
      <c r="E3" s="114"/>
      <c r="F3" s="114"/>
      <c r="G3" s="114"/>
      <c r="H3" s="114"/>
      <c r="I3" s="117"/>
    </row>
    <row r="4" spans="2:9" ht="13" thickBot="1" x14ac:dyDescent="0.3">
      <c r="B4" s="132"/>
      <c r="C4" s="132"/>
      <c r="D4" s="133"/>
      <c r="E4" s="133"/>
      <c r="F4" s="133"/>
      <c r="G4" s="133"/>
      <c r="H4" s="133"/>
      <c r="I4" s="221"/>
    </row>
    <row r="5" spans="2:9" x14ac:dyDescent="0.25">
      <c r="B5" s="71"/>
      <c r="C5" s="2"/>
      <c r="D5" s="2"/>
      <c r="E5" s="2"/>
      <c r="F5" s="2"/>
      <c r="G5" s="2"/>
      <c r="H5" s="2"/>
      <c r="I5" s="52"/>
    </row>
    <row r="6" spans="2:9" ht="14.5" customHeight="1" x14ac:dyDescent="0.3">
      <c r="B6" s="71"/>
      <c r="C6" s="180" t="s">
        <v>284</v>
      </c>
      <c r="D6" s="180" t="s">
        <v>146</v>
      </c>
      <c r="E6" s="180" t="s">
        <v>255</v>
      </c>
      <c r="F6" s="180" t="s">
        <v>259</v>
      </c>
      <c r="G6" s="180" t="s">
        <v>260</v>
      </c>
      <c r="H6" s="180" t="s">
        <v>285</v>
      </c>
      <c r="I6" s="220"/>
    </row>
    <row r="7" spans="2:9" x14ac:dyDescent="0.25">
      <c r="B7" s="71"/>
      <c r="C7" s="178" t="s">
        <v>121</v>
      </c>
      <c r="D7" s="222" t="s">
        <v>166</v>
      </c>
      <c r="E7" s="160">
        <v>0</v>
      </c>
      <c r="F7" s="160">
        <v>0</v>
      </c>
      <c r="G7" s="160">
        <v>0</v>
      </c>
      <c r="H7" s="127" t="s">
        <v>404</v>
      </c>
      <c r="I7" s="52"/>
    </row>
    <row r="8" spans="2:9" x14ac:dyDescent="0.25">
      <c r="B8" s="71"/>
      <c r="C8" s="178" t="s">
        <v>122</v>
      </c>
      <c r="D8" s="222" t="s">
        <v>166</v>
      </c>
      <c r="E8" s="160">
        <v>0</v>
      </c>
      <c r="F8" s="160">
        <v>0</v>
      </c>
      <c r="G8" s="160">
        <v>0</v>
      </c>
      <c r="H8" s="127" t="s">
        <v>405</v>
      </c>
      <c r="I8" s="52"/>
    </row>
    <row r="9" spans="2:9" x14ac:dyDescent="0.25">
      <c r="B9" s="71"/>
      <c r="C9" s="178" t="s">
        <v>123</v>
      </c>
      <c r="D9" s="222" t="s">
        <v>166</v>
      </c>
      <c r="E9" s="160">
        <v>0</v>
      </c>
      <c r="F9" s="160">
        <v>0</v>
      </c>
      <c r="G9" s="160">
        <v>0</v>
      </c>
      <c r="H9" s="127" t="s">
        <v>403</v>
      </c>
      <c r="I9" s="52"/>
    </row>
    <row r="10" spans="2:9" x14ac:dyDescent="0.25">
      <c r="B10" s="71"/>
      <c r="C10" s="178" t="s">
        <v>124</v>
      </c>
      <c r="D10" s="222" t="s">
        <v>286</v>
      </c>
      <c r="E10" s="382">
        <v>0</v>
      </c>
      <c r="F10" s="382">
        <v>0</v>
      </c>
      <c r="G10" s="382">
        <v>0</v>
      </c>
      <c r="H10" s="127" t="s">
        <v>406</v>
      </c>
      <c r="I10" s="52"/>
    </row>
    <row r="11" spans="2:9" x14ac:dyDescent="0.25">
      <c r="B11" s="71"/>
      <c r="C11" s="178" t="s">
        <v>125</v>
      </c>
      <c r="D11" s="222" t="s">
        <v>286</v>
      </c>
      <c r="E11" s="160">
        <v>100</v>
      </c>
      <c r="F11" s="160">
        <v>100</v>
      </c>
      <c r="G11" s="160">
        <v>100</v>
      </c>
      <c r="H11" s="127" t="s">
        <v>407</v>
      </c>
      <c r="I11" s="52"/>
    </row>
    <row r="12" spans="2:9" x14ac:dyDescent="0.25">
      <c r="B12" s="71"/>
      <c r="C12" s="178" t="s">
        <v>126</v>
      </c>
      <c r="D12" s="222" t="s">
        <v>286</v>
      </c>
      <c r="E12" s="382">
        <v>0</v>
      </c>
      <c r="F12" s="382">
        <v>0</v>
      </c>
      <c r="G12" s="382">
        <v>0</v>
      </c>
      <c r="H12" s="127" t="s">
        <v>408</v>
      </c>
      <c r="I12" s="52"/>
    </row>
    <row r="13" spans="2:9" x14ac:dyDescent="0.25">
      <c r="B13" s="71"/>
      <c r="C13" s="178" t="s">
        <v>127</v>
      </c>
      <c r="D13" s="222" t="s">
        <v>286</v>
      </c>
      <c r="E13" s="160">
        <v>2.77</v>
      </c>
      <c r="F13" s="160">
        <v>2.77</v>
      </c>
      <c r="G13" s="160">
        <v>2.77</v>
      </c>
      <c r="H13" s="127" t="s">
        <v>409</v>
      </c>
      <c r="I13" s="52"/>
    </row>
    <row r="14" spans="2:9" x14ac:dyDescent="0.25">
      <c r="B14" s="71"/>
      <c r="C14" s="178" t="s">
        <v>128</v>
      </c>
      <c r="D14" s="222" t="s">
        <v>286</v>
      </c>
      <c r="E14" s="382">
        <v>0</v>
      </c>
      <c r="F14" s="382">
        <v>0</v>
      </c>
      <c r="G14" s="382">
        <v>0</v>
      </c>
      <c r="H14" s="127" t="s">
        <v>287</v>
      </c>
      <c r="I14" s="52"/>
    </row>
    <row r="15" spans="2:9" x14ac:dyDescent="0.25">
      <c r="B15" s="71"/>
      <c r="C15" s="178" t="s">
        <v>129</v>
      </c>
      <c r="D15" s="222" t="s">
        <v>286</v>
      </c>
      <c r="E15" s="160">
        <v>2E-3</v>
      </c>
      <c r="F15" s="160">
        <v>2E-3</v>
      </c>
      <c r="G15" s="160">
        <v>2E-3</v>
      </c>
      <c r="H15" s="127" t="s">
        <v>410</v>
      </c>
      <c r="I15" s="52"/>
    </row>
    <row r="16" spans="2:9" x14ac:dyDescent="0.25">
      <c r="B16" s="71"/>
      <c r="C16" s="178" t="s">
        <v>130</v>
      </c>
      <c r="D16" s="222" t="s">
        <v>286</v>
      </c>
      <c r="E16" s="160">
        <v>1E-3</v>
      </c>
      <c r="F16" s="160">
        <v>1E-3</v>
      </c>
      <c r="G16" s="160">
        <v>1E-3</v>
      </c>
      <c r="H16" s="127" t="s">
        <v>288</v>
      </c>
      <c r="I16" s="52"/>
    </row>
    <row r="17" spans="2:9" x14ac:dyDescent="0.25">
      <c r="B17" s="71"/>
      <c r="C17" s="178" t="s">
        <v>131</v>
      </c>
      <c r="D17" s="222" t="s">
        <v>286</v>
      </c>
      <c r="E17" s="382">
        <v>0</v>
      </c>
      <c r="F17" s="382">
        <v>0</v>
      </c>
      <c r="G17" s="382">
        <v>0</v>
      </c>
      <c r="H17" s="127" t="s">
        <v>289</v>
      </c>
      <c r="I17" s="52"/>
    </row>
    <row r="18" spans="2:9" ht="10.9" customHeight="1" thickBot="1" x14ac:dyDescent="0.3">
      <c r="B18" s="72"/>
      <c r="C18" s="50"/>
      <c r="D18" s="50"/>
      <c r="E18" s="50"/>
      <c r="F18" s="50"/>
      <c r="G18" s="50"/>
      <c r="H18" s="50"/>
      <c r="I18" s="51"/>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926D6-84BF-48D0-8542-B7017E0E4CD8}">
  <sheetPr codeName="Sheet2">
    <tabColor theme="6"/>
  </sheetPr>
  <dimension ref="A1:EK2239"/>
  <sheetViews>
    <sheetView topLeftCell="A173" zoomScale="85" zoomScaleNormal="85" workbookViewId="0">
      <selection activeCell="D205" sqref="D205"/>
    </sheetView>
  </sheetViews>
  <sheetFormatPr defaultRowHeight="12.5" x14ac:dyDescent="0.25"/>
  <cols>
    <col min="3" max="3" width="14.26953125" customWidth="1"/>
    <col min="5" max="5" width="12" bestFit="1" customWidth="1"/>
    <col min="31" max="33" width="9.1796875" hidden="1" customWidth="1"/>
    <col min="34" max="34" width="16.1796875" hidden="1" customWidth="1"/>
    <col min="35" max="58" width="9.1796875" hidden="1" customWidth="1"/>
    <col min="61" max="71" width="12" bestFit="1" customWidth="1"/>
    <col min="73" max="73" width="21.453125" customWidth="1"/>
    <col min="74" max="74" width="19.1796875" customWidth="1"/>
    <col min="93" max="94" width="9.1796875" style="181"/>
    <col min="138" max="138" width="14.81640625" customWidth="1"/>
  </cols>
  <sheetData>
    <row r="1" spans="1:141" s="18" customFormat="1" ht="45.75" customHeight="1" thickBot="1" x14ac:dyDescent="0.45">
      <c r="B1" s="404" t="s">
        <v>303</v>
      </c>
      <c r="C1" s="405"/>
      <c r="D1" s="405"/>
      <c r="E1" s="405"/>
      <c r="F1" s="405"/>
      <c r="G1" s="405"/>
      <c r="H1" s="405"/>
      <c r="I1" s="405"/>
      <c r="J1" s="405"/>
      <c r="K1" s="405"/>
      <c r="L1" s="405"/>
      <c r="M1" s="405"/>
      <c r="N1" s="405"/>
      <c r="O1" s="405"/>
      <c r="P1" s="405"/>
      <c r="Q1" s="405"/>
      <c r="R1" s="405"/>
      <c r="S1" s="405"/>
      <c r="T1" s="405"/>
      <c r="U1" s="405"/>
      <c r="V1" s="405"/>
      <c r="W1" s="405"/>
      <c r="X1" s="405"/>
      <c r="Y1" s="405"/>
      <c r="Z1" s="405"/>
      <c r="AA1" s="405"/>
      <c r="AB1" s="405"/>
      <c r="AC1" s="406"/>
      <c r="AD1" s="20"/>
      <c r="AE1" s="404"/>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6"/>
      <c r="BG1" s="20"/>
      <c r="BI1" s="407" t="s">
        <v>304</v>
      </c>
      <c r="BJ1" s="408"/>
      <c r="BK1" s="408"/>
      <c r="BL1" s="408"/>
      <c r="BM1" s="408"/>
      <c r="BN1" s="408"/>
      <c r="BO1" s="408"/>
      <c r="BP1" s="408"/>
      <c r="BQ1" s="408"/>
      <c r="BR1" s="408"/>
      <c r="BS1" s="409"/>
      <c r="BU1" s="411" t="s">
        <v>305</v>
      </c>
      <c r="BV1" s="412"/>
      <c r="BX1" s="410" t="s">
        <v>306</v>
      </c>
      <c r="BY1" s="410"/>
      <c r="BZ1" s="410"/>
      <c r="CA1" s="410"/>
      <c r="CC1" s="224" t="s">
        <v>307</v>
      </c>
      <c r="CE1" s="403" t="s">
        <v>37</v>
      </c>
      <c r="CF1" s="403"/>
      <c r="CG1" s="225"/>
      <c r="CH1" s="225"/>
      <c r="CI1" s="226" t="s">
        <v>308</v>
      </c>
      <c r="CJ1" s="226"/>
      <c r="CK1" s="225"/>
      <c r="CL1" s="226" t="s">
        <v>309</v>
      </c>
      <c r="CM1" s="226"/>
      <c r="CO1" s="227" t="s">
        <v>310</v>
      </c>
      <c r="CP1" s="227"/>
      <c r="CR1" s="410" t="s">
        <v>311</v>
      </c>
      <c r="CS1" s="410"/>
      <c r="CU1" s="410" t="s">
        <v>312</v>
      </c>
      <c r="CV1" s="410"/>
      <c r="CW1"/>
      <c r="CX1" s="403" t="s">
        <v>313</v>
      </c>
      <c r="CY1" s="403"/>
      <c r="CZ1" s="403"/>
      <c r="DA1" s="403"/>
      <c r="DB1" s="403"/>
      <c r="DC1" s="403"/>
      <c r="DE1" s="403" t="s">
        <v>314</v>
      </c>
      <c r="DF1" s="403"/>
      <c r="DG1" s="403"/>
      <c r="DH1" s="403"/>
      <c r="DI1" s="403"/>
      <c r="DJ1" s="403"/>
      <c r="DL1" s="403" t="s">
        <v>315</v>
      </c>
      <c r="DM1" s="403"/>
      <c r="DN1" s="403"/>
      <c r="DO1" s="403"/>
      <c r="DP1" s="403"/>
      <c r="DQ1" s="403"/>
      <c r="DR1" s="403"/>
      <c r="DS1" s="403"/>
      <c r="DT1" s="403"/>
      <c r="DU1" s="403"/>
      <c r="DV1" s="403"/>
      <c r="DW1" s="403"/>
      <c r="DX1" s="403"/>
      <c r="DZ1" s="403" t="s">
        <v>316</v>
      </c>
      <c r="EA1" s="403"/>
      <c r="EB1" s="403"/>
      <c r="EC1" s="403"/>
      <c r="ED1" s="403"/>
      <c r="EE1" s="403"/>
      <c r="EF1" s="403"/>
      <c r="EH1" s="403" t="s">
        <v>120</v>
      </c>
      <c r="EI1" s="403"/>
      <c r="EJ1" s="403"/>
      <c r="EK1" s="403"/>
    </row>
    <row r="2" spans="1:141" ht="18" x14ac:dyDescent="0.4">
      <c r="B2" s="19" t="s">
        <v>28</v>
      </c>
      <c r="C2" s="19" t="str">
        <f>SimName</f>
        <v>SimName</v>
      </c>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BH2" s="219" t="s">
        <v>317</v>
      </c>
      <c r="BI2" s="195">
        <v>0</v>
      </c>
      <c r="BJ2" s="193">
        <v>0.27400000000000002</v>
      </c>
      <c r="BK2" s="195">
        <v>1</v>
      </c>
      <c r="BL2" s="195">
        <v>5</v>
      </c>
      <c r="BM2" s="195">
        <v>10</v>
      </c>
      <c r="BN2" s="195">
        <v>15</v>
      </c>
      <c r="BO2" s="195">
        <v>25</v>
      </c>
      <c r="BP2" s="195">
        <v>30</v>
      </c>
      <c r="BQ2" s="195">
        <v>40</v>
      </c>
      <c r="BR2" s="195">
        <v>60</v>
      </c>
      <c r="BS2" s="195">
        <v>90</v>
      </c>
      <c r="BT2" s="22"/>
      <c r="BU2" s="192" t="s">
        <v>9</v>
      </c>
      <c r="BV2" s="192" t="s">
        <v>151</v>
      </c>
      <c r="BW2" s="18"/>
      <c r="BX2" t="s">
        <v>22</v>
      </c>
      <c r="BY2" t="s">
        <v>318</v>
      </c>
      <c r="BZ2" t="s">
        <v>256</v>
      </c>
      <c r="CA2" t="s">
        <v>319</v>
      </c>
      <c r="CC2" t="s">
        <v>320</v>
      </c>
      <c r="CE2" s="159" t="s">
        <v>9</v>
      </c>
      <c r="CF2" s="157" t="s">
        <v>151</v>
      </c>
      <c r="CI2" s="19">
        <v>0</v>
      </c>
      <c r="CJ2" s="19">
        <v>32850</v>
      </c>
      <c r="CL2" s="19" t="s">
        <v>292</v>
      </c>
      <c r="CO2" s="181" t="s">
        <v>321</v>
      </c>
      <c r="CP2" s="181" t="s">
        <v>322</v>
      </c>
      <c r="CR2" s="250" t="s">
        <v>18</v>
      </c>
      <c r="CS2" s="229">
        <v>0.6</v>
      </c>
      <c r="CU2" s="250" t="s">
        <v>18</v>
      </c>
      <c r="CV2" s="238">
        <v>25</v>
      </c>
      <c r="CX2" s="12">
        <v>0</v>
      </c>
      <c r="CY2" s="12">
        <v>0.25</v>
      </c>
      <c r="CZ2" s="12">
        <v>1</v>
      </c>
      <c r="DA2" s="12">
        <v>5</v>
      </c>
      <c r="DB2" s="12">
        <v>10</v>
      </c>
      <c r="DC2" s="12">
        <v>15</v>
      </c>
      <c r="DE2" s="12">
        <v>0</v>
      </c>
      <c r="DF2" s="12">
        <v>0.25</v>
      </c>
      <c r="DG2" s="12">
        <v>1</v>
      </c>
      <c r="DH2" s="12">
        <v>5</v>
      </c>
      <c r="DI2" s="12">
        <v>10</v>
      </c>
      <c r="DJ2" s="12">
        <v>15</v>
      </c>
      <c r="DL2" s="12">
        <v>0</v>
      </c>
      <c r="DM2" s="12">
        <v>1</v>
      </c>
      <c r="DN2" s="12">
        <v>2</v>
      </c>
      <c r="DO2" s="12">
        <v>3</v>
      </c>
      <c r="DP2" s="12">
        <v>6</v>
      </c>
      <c r="DQ2" s="12">
        <v>11</v>
      </c>
      <c r="DR2" s="12">
        <v>16</v>
      </c>
      <c r="DS2" s="12">
        <v>21</v>
      </c>
      <c r="DT2" s="12">
        <v>31</v>
      </c>
      <c r="DU2" s="12">
        <v>51</v>
      </c>
      <c r="DV2" s="12">
        <v>61</v>
      </c>
      <c r="DW2" s="12">
        <v>71</v>
      </c>
      <c r="DX2" s="12">
        <v>81</v>
      </c>
      <c r="DZ2" s="12">
        <v>0</v>
      </c>
      <c r="EA2" s="12">
        <v>0.25</v>
      </c>
      <c r="EB2" s="12">
        <v>1</v>
      </c>
      <c r="EC2" s="12">
        <v>10</v>
      </c>
      <c r="ED2" s="12">
        <v>15</v>
      </c>
      <c r="EE2" s="12">
        <v>25</v>
      </c>
      <c r="EF2" s="12">
        <v>50</v>
      </c>
      <c r="EG2" t="s">
        <v>396</v>
      </c>
      <c r="EH2" s="229" t="s">
        <v>121</v>
      </c>
      <c r="EI2" s="160">
        <v>0</v>
      </c>
      <c r="EJ2" s="160">
        <v>0</v>
      </c>
      <c r="EK2" s="160">
        <v>0</v>
      </c>
    </row>
    <row r="3" spans="1:141" ht="18" x14ac:dyDescent="0.4">
      <c r="A3" t="str">
        <f>IF(AND(E3=CI2,F3=CJ2),"Defalt","Changed")</f>
        <v>Defalt</v>
      </c>
      <c r="B3" s="19" t="s">
        <v>29</v>
      </c>
      <c r="C3" s="19" t="s">
        <v>30</v>
      </c>
      <c r="D3" s="19">
        <f t="shared" ref="D3:D9" si="0">COUNT(E3:AC3)</f>
        <v>2</v>
      </c>
      <c r="E3" s="19">
        <f>AgeMin*365</f>
        <v>0</v>
      </c>
      <c r="F3" s="19">
        <f>AgeMax*365</f>
        <v>32850</v>
      </c>
      <c r="G3" s="19"/>
      <c r="H3" s="19"/>
      <c r="I3" s="19"/>
      <c r="J3" s="19"/>
      <c r="K3" s="19"/>
      <c r="L3" s="19"/>
      <c r="M3" s="19"/>
      <c r="N3" s="19"/>
      <c r="O3" s="19"/>
      <c r="P3" s="19"/>
      <c r="Q3" s="19"/>
      <c r="R3" s="19"/>
      <c r="S3" s="19"/>
      <c r="T3" s="19"/>
      <c r="U3" s="19"/>
      <c r="V3" s="19"/>
      <c r="W3" s="19"/>
      <c r="X3" s="19"/>
      <c r="Y3" s="19"/>
      <c r="Z3" s="19"/>
      <c r="AA3" s="19"/>
      <c r="AB3" s="19"/>
      <c r="AC3" s="19"/>
      <c r="BH3" s="219" t="s">
        <v>324</v>
      </c>
      <c r="BI3" s="194">
        <v>0.39096774193548389</v>
      </c>
      <c r="BJ3" s="194">
        <v>0.388240525204816</v>
      </c>
      <c r="BK3" s="194">
        <v>0.37673719799960598</v>
      </c>
      <c r="BL3" s="194">
        <v>0.1670817289613179</v>
      </c>
      <c r="BM3" s="194">
        <v>0.1203808407057661</v>
      </c>
      <c r="BN3" s="194">
        <v>0.12000256955591121</v>
      </c>
      <c r="BO3" s="194">
        <v>0.12000000011665873</v>
      </c>
      <c r="BP3" s="194">
        <v>0.12000000000078603</v>
      </c>
      <c r="BQ3" s="194">
        <v>0.12000000000000005</v>
      </c>
      <c r="BR3" s="194">
        <v>0.12</v>
      </c>
      <c r="BS3" s="194">
        <v>0.12</v>
      </c>
      <c r="BU3" s="156">
        <v>2800</v>
      </c>
      <c r="BV3" s="18"/>
      <c r="BW3" s="18"/>
      <c r="BX3" t="s">
        <v>20</v>
      </c>
      <c r="BY3" t="s">
        <v>255</v>
      </c>
      <c r="BZ3" t="s">
        <v>325</v>
      </c>
      <c r="CA3" t="s">
        <v>19</v>
      </c>
      <c r="CC3">
        <v>2</v>
      </c>
      <c r="CE3" s="182">
        <v>3.3</v>
      </c>
      <c r="CF3" s="158">
        <v>3.5</v>
      </c>
      <c r="CI3" s="19">
        <v>100</v>
      </c>
      <c r="CJ3" s="19"/>
      <c r="CL3" s="19" t="s">
        <v>293</v>
      </c>
      <c r="CO3" s="181">
        <v>0</v>
      </c>
      <c r="CP3" s="80">
        <f>IF(ParamSex="Male",'Growth Params'!$F$8+CO3*'Growth Params'!$F$9/('Growth Params'!$F$10+CO3)+'Growth Params'!$F$11/(1+'Growth Params'!$F$12*EXP(-'Growth Params'!$F$13*'Growth Params'!$F$11*CO3)),'Growth Params'!$E$8+CO3*'Growth Params'!$E$9/('Growth Params'!$E$10+CO3)+'Growth Params'!$E$11/(1+'Growth Params'!$E$12*EXP(-'Growth Params'!$E$13*'Growth Params'!$E$11*CO3)))</f>
        <v>3.3565723793677202</v>
      </c>
      <c r="CR3" s="250" t="s">
        <v>20</v>
      </c>
      <c r="CS3" s="229">
        <v>0.6</v>
      </c>
      <c r="CU3" s="250" t="s">
        <v>20</v>
      </c>
      <c r="CV3" s="238">
        <v>175</v>
      </c>
      <c r="CW3" t="s">
        <v>326</v>
      </c>
      <c r="CX3" s="12">
        <v>1.7999999999999999E-2</v>
      </c>
      <c r="CY3" s="12">
        <v>3.2000000000000001E-2</v>
      </c>
      <c r="CZ3" s="248">
        <v>4.1000000000000002E-2</v>
      </c>
      <c r="DA3" s="12">
        <v>3.5999999999999997E-2</v>
      </c>
      <c r="DB3" s="12">
        <v>2.7E-2</v>
      </c>
      <c r="DC3" s="12">
        <v>1.4E-2</v>
      </c>
      <c r="DE3" s="12">
        <v>2.1999999999999999E-2</v>
      </c>
      <c r="DF3" s="12">
        <v>3.9E-2</v>
      </c>
      <c r="DG3" s="248">
        <v>0.05</v>
      </c>
      <c r="DH3" s="12">
        <v>4.3999999999999997E-2</v>
      </c>
      <c r="DI3" s="12">
        <v>3.3000000000000002E-2</v>
      </c>
      <c r="DJ3" s="12">
        <v>1.7000000000000001E-2</v>
      </c>
      <c r="DL3" s="12">
        <v>5.4</v>
      </c>
      <c r="DM3" s="12">
        <v>8</v>
      </c>
      <c r="DN3" s="248">
        <v>8.9</v>
      </c>
      <c r="DO3" s="12">
        <v>10.1</v>
      </c>
      <c r="DP3" s="12">
        <v>12</v>
      </c>
      <c r="DQ3" s="12">
        <v>15.2</v>
      </c>
      <c r="DR3" s="12">
        <v>16.3</v>
      </c>
      <c r="DS3" s="12">
        <v>15.7</v>
      </c>
      <c r="DT3" s="12">
        <v>16</v>
      </c>
      <c r="DU3" s="12">
        <v>15.7</v>
      </c>
      <c r="DV3" s="12">
        <v>14.2</v>
      </c>
      <c r="DW3" s="12">
        <v>12.9</v>
      </c>
      <c r="DX3" s="12">
        <v>12.2</v>
      </c>
      <c r="DZ3" s="12">
        <v>0.2</v>
      </c>
      <c r="EA3" s="12">
        <v>0.3</v>
      </c>
      <c r="EB3" s="248">
        <v>0.35</v>
      </c>
      <c r="EC3" s="12">
        <v>0.45</v>
      </c>
      <c r="ED3" s="12">
        <v>0.55000000000000004</v>
      </c>
      <c r="EE3" s="12">
        <v>0.7</v>
      </c>
      <c r="EF3" s="12">
        <v>1.04</v>
      </c>
      <c r="EG3" t="s">
        <v>396</v>
      </c>
      <c r="EH3" s="229" t="s">
        <v>122</v>
      </c>
      <c r="EI3" s="160">
        <v>0</v>
      </c>
      <c r="EJ3" s="160">
        <v>0</v>
      </c>
      <c r="EK3" s="160">
        <v>0</v>
      </c>
    </row>
    <row r="4" spans="1:141" x14ac:dyDescent="0.25">
      <c r="A4" t="str">
        <f t="shared" ref="A4:A10" si="1">IF(E4=CI3,"Defalt","Changed")</f>
        <v>Defalt</v>
      </c>
      <c r="B4" s="19" t="s">
        <v>29</v>
      </c>
      <c r="C4" s="19" t="s">
        <v>31</v>
      </c>
      <c r="D4" s="19">
        <f t="shared" si="0"/>
        <v>1</v>
      </c>
      <c r="E4" s="19">
        <f>StepHr</f>
        <v>100</v>
      </c>
      <c r="F4" s="19"/>
      <c r="G4" s="19"/>
      <c r="H4" s="19"/>
      <c r="I4" s="19"/>
      <c r="J4" s="19"/>
      <c r="K4" s="19"/>
      <c r="L4" s="19"/>
      <c r="M4" s="19"/>
      <c r="N4" s="19"/>
      <c r="O4" s="19"/>
      <c r="P4" s="19"/>
      <c r="Q4" s="19"/>
      <c r="R4" s="19"/>
      <c r="S4" s="19"/>
      <c r="T4" s="19"/>
      <c r="U4" s="19"/>
      <c r="V4" s="19"/>
      <c r="W4" s="19"/>
      <c r="X4" s="19"/>
      <c r="Y4" s="19"/>
      <c r="Z4" s="19"/>
      <c r="AA4" s="19"/>
      <c r="AB4" s="19"/>
      <c r="AC4" s="19"/>
      <c r="BI4" s="194">
        <v>3</v>
      </c>
      <c r="BJ4" s="194">
        <v>5.5</v>
      </c>
      <c r="BK4" s="194">
        <v>8</v>
      </c>
      <c r="BL4" s="194">
        <v>17</v>
      </c>
      <c r="BM4" s="194">
        <v>30</v>
      </c>
      <c r="BN4" s="194">
        <v>50</v>
      </c>
      <c r="BO4" s="194">
        <v>52</v>
      </c>
      <c r="BP4" s="194">
        <v>52</v>
      </c>
      <c r="BQ4" s="194">
        <v>52</v>
      </c>
      <c r="BR4" s="194">
        <v>52</v>
      </c>
      <c r="BS4" s="194">
        <v>52</v>
      </c>
      <c r="BU4" s="156">
        <v>0.62</v>
      </c>
      <c r="BV4" s="253"/>
      <c r="BW4" s="219" t="s">
        <v>327</v>
      </c>
      <c r="BX4" t="s">
        <v>18</v>
      </c>
      <c r="BY4" t="s">
        <v>259</v>
      </c>
      <c r="CE4" s="182">
        <v>22</v>
      </c>
      <c r="CF4" s="158">
        <v>23</v>
      </c>
      <c r="CI4" s="19">
        <v>100</v>
      </c>
      <c r="CJ4" s="19"/>
      <c r="CL4" s="19" t="s">
        <v>294</v>
      </c>
      <c r="CM4">
        <v>0</v>
      </c>
      <c r="CO4" s="181">
        <v>1</v>
      </c>
      <c r="CP4" s="80">
        <f>IF(ParamSex="Male",'Growth Params'!$F$8+CO4*'Growth Params'!$F$9/('Growth Params'!$F$10+CO4)+'Growth Params'!$F$11/(1+'Growth Params'!$F$12*EXP(-'Growth Params'!$F$13*'Growth Params'!$F$11*CO4)),'Growth Params'!$E$8+CO4*'Growth Params'!$E$9/('Growth Params'!$E$10+CO4)+'Growth Params'!$E$11/(1+'Growth Params'!$E$12*EXP(-'Growth Params'!$E$13*'Growth Params'!$E$11*CO4)))</f>
        <v>8.900707449004944</v>
      </c>
      <c r="CR4" s="250" t="s">
        <v>21</v>
      </c>
      <c r="CS4" s="229">
        <v>1</v>
      </c>
      <c r="CU4" s="250" t="s">
        <v>21</v>
      </c>
      <c r="CV4" s="238">
        <v>0.9</v>
      </c>
      <c r="CX4" s="12">
        <v>1</v>
      </c>
      <c r="CY4" s="12">
        <v>1</v>
      </c>
      <c r="CZ4" s="12">
        <v>1</v>
      </c>
      <c r="DA4" s="12">
        <v>1</v>
      </c>
      <c r="DB4" s="12">
        <v>1</v>
      </c>
      <c r="DC4" s="12">
        <v>1</v>
      </c>
      <c r="DE4" s="12">
        <v>1</v>
      </c>
      <c r="DF4" s="12">
        <v>1</v>
      </c>
      <c r="DG4" s="12">
        <v>1</v>
      </c>
      <c r="DH4" s="12">
        <v>1</v>
      </c>
      <c r="DI4" s="12">
        <v>1</v>
      </c>
      <c r="DJ4" s="12">
        <v>1</v>
      </c>
      <c r="DL4" s="12">
        <v>1</v>
      </c>
      <c r="DM4" s="12">
        <v>1</v>
      </c>
      <c r="DN4" s="12">
        <v>1</v>
      </c>
      <c r="DO4" s="12">
        <v>1</v>
      </c>
      <c r="DP4" s="12">
        <v>1</v>
      </c>
      <c r="DQ4" s="12">
        <v>1</v>
      </c>
      <c r="DR4" s="12">
        <v>1</v>
      </c>
      <c r="DS4" s="12">
        <v>1</v>
      </c>
      <c r="DT4" s="12">
        <v>1</v>
      </c>
      <c r="DU4" s="12">
        <v>1</v>
      </c>
      <c r="DV4" s="12">
        <v>1</v>
      </c>
      <c r="DW4" s="12">
        <v>1</v>
      </c>
      <c r="DX4" s="12">
        <v>1</v>
      </c>
      <c r="DZ4" s="23">
        <v>1</v>
      </c>
      <c r="EA4" s="23">
        <v>1</v>
      </c>
      <c r="EB4" s="23">
        <v>1</v>
      </c>
      <c r="EC4" s="23">
        <v>1</v>
      </c>
      <c r="ED4" s="23">
        <v>1</v>
      </c>
      <c r="EE4" s="23">
        <v>1</v>
      </c>
      <c r="EF4" s="23">
        <v>1</v>
      </c>
      <c r="EG4" t="s">
        <v>396</v>
      </c>
      <c r="EH4" s="229" t="s">
        <v>123</v>
      </c>
      <c r="EI4" s="160">
        <v>0</v>
      </c>
      <c r="EJ4" s="160">
        <v>0</v>
      </c>
      <c r="EK4" s="160">
        <v>0</v>
      </c>
    </row>
    <row r="5" spans="1:141" ht="18" x14ac:dyDescent="0.4">
      <c r="A5" t="str">
        <f t="shared" si="1"/>
        <v>Defalt</v>
      </c>
      <c r="B5" s="19" t="s">
        <v>29</v>
      </c>
      <c r="C5" s="19" t="s">
        <v>32</v>
      </c>
      <c r="D5" s="19">
        <f t="shared" si="0"/>
        <v>1</v>
      </c>
      <c r="E5" s="19">
        <f>StepOut</f>
        <v>100</v>
      </c>
      <c r="F5" s="19"/>
      <c r="G5" s="19"/>
      <c r="H5" s="19"/>
      <c r="I5" s="19"/>
      <c r="J5" s="19"/>
      <c r="K5" s="19"/>
      <c r="L5" s="19"/>
      <c r="M5" s="19"/>
      <c r="N5" s="19"/>
      <c r="O5" s="19"/>
      <c r="P5" s="19"/>
      <c r="Q5" s="19"/>
      <c r="R5" s="19"/>
      <c r="S5" s="19"/>
      <c r="T5" s="19"/>
      <c r="U5" s="19"/>
      <c r="V5" s="19"/>
      <c r="W5" s="19"/>
      <c r="X5" s="19"/>
      <c r="Y5" s="19"/>
      <c r="Z5" s="19"/>
      <c r="AA5" s="19"/>
      <c r="AB5" s="19"/>
      <c r="AC5" s="19"/>
      <c r="BI5" s="194">
        <v>0.60000000000000009</v>
      </c>
      <c r="BJ5" s="194">
        <v>0.60000000000000009</v>
      </c>
      <c r="BK5" s="194">
        <v>0.60000000000000009</v>
      </c>
      <c r="BL5" s="194">
        <v>0.60000000000000009</v>
      </c>
      <c r="BM5" s="194">
        <v>0.60000000000000009</v>
      </c>
      <c r="BN5" s="194">
        <v>0.60000000000000009</v>
      </c>
      <c r="BO5" s="194">
        <v>0.60000000000000009</v>
      </c>
      <c r="BP5" s="194">
        <v>0.60000000000000009</v>
      </c>
      <c r="BQ5" s="194">
        <v>0.60000000000000009</v>
      </c>
      <c r="BR5" s="194">
        <v>0.60000000000000009</v>
      </c>
      <c r="BS5" s="194">
        <v>0.60000000000000009</v>
      </c>
      <c r="BU5" s="156">
        <v>0.32</v>
      </c>
      <c r="BV5" s="18"/>
      <c r="BW5" s="18"/>
      <c r="BX5" t="s">
        <v>21</v>
      </c>
      <c r="BY5" t="s">
        <v>260</v>
      </c>
      <c r="CE5" s="182">
        <v>3</v>
      </c>
      <c r="CF5" s="158">
        <v>3</v>
      </c>
      <c r="CH5" t="s">
        <v>328</v>
      </c>
      <c r="CI5" s="19">
        <v>1</v>
      </c>
      <c r="CJ5" s="19"/>
      <c r="CL5" s="19" t="s">
        <v>295</v>
      </c>
      <c r="CO5" s="181">
        <v>2</v>
      </c>
      <c r="CP5" s="80">
        <f>IF(ParamSex="Male",'Growth Params'!$F$8+CO5*'Growth Params'!$F$9/('Growth Params'!$F$10+CO5)+'Growth Params'!$F$11/(1+'Growth Params'!$F$12*EXP(-'Growth Params'!$F$13*'Growth Params'!$F$11*CO5)),'Growth Params'!$E$8+CO5*'Growth Params'!$E$9/('Growth Params'!$E$10+CO5)+'Growth Params'!$E$11/(1+'Growth Params'!$E$12*EXP(-'Growth Params'!$E$13*'Growth Params'!$E$11*CO5)))</f>
        <v>12.279092921852012</v>
      </c>
      <c r="CQ5" t="s">
        <v>323</v>
      </c>
      <c r="CR5" s="250" t="s">
        <v>22</v>
      </c>
      <c r="CS5" s="229">
        <v>1</v>
      </c>
      <c r="CU5" s="250" t="s">
        <v>22</v>
      </c>
      <c r="CV5" s="238">
        <v>0.01</v>
      </c>
      <c r="EG5" t="s">
        <v>396</v>
      </c>
      <c r="EH5" s="229" t="s">
        <v>124</v>
      </c>
      <c r="EI5" s="382">
        <v>0</v>
      </c>
      <c r="EJ5" s="382">
        <v>0</v>
      </c>
      <c r="EK5" s="382">
        <v>0</v>
      </c>
    </row>
    <row r="6" spans="1:141" ht="18" x14ac:dyDescent="0.4">
      <c r="A6" t="str">
        <f t="shared" si="1"/>
        <v>Defalt</v>
      </c>
      <c r="B6" s="19" t="s">
        <v>29</v>
      </c>
      <c r="C6" s="19" t="s">
        <v>33</v>
      </c>
      <c r="D6" s="19">
        <f t="shared" si="0"/>
        <v>1</v>
      </c>
      <c r="E6" s="19" cm="1">
        <f t="array" ref="E6">_xlfn.IFS(irbc= "Linear RBC",0,irbc="Non-Linear RBC",1)</f>
        <v>1</v>
      </c>
      <c r="F6" s="19"/>
      <c r="G6" s="19"/>
      <c r="H6" s="19"/>
      <c r="I6" s="19"/>
      <c r="J6" s="19"/>
      <c r="K6" s="19"/>
      <c r="L6" s="19"/>
      <c r="M6" s="19"/>
      <c r="N6" s="19"/>
      <c r="O6" s="19"/>
      <c r="P6" s="19"/>
      <c r="Q6" s="19"/>
      <c r="R6" s="19"/>
      <c r="S6" s="19"/>
      <c r="T6" s="19"/>
      <c r="U6" s="19"/>
      <c r="V6" s="19"/>
      <c r="W6" s="19"/>
      <c r="X6" s="19"/>
      <c r="Y6" s="19"/>
      <c r="Z6" s="19"/>
      <c r="AA6" s="19"/>
      <c r="AB6" s="19"/>
      <c r="AC6" s="19"/>
      <c r="BI6" s="194">
        <v>1.6666700000000001</v>
      </c>
      <c r="BJ6" s="194">
        <v>1.6666700000000001</v>
      </c>
      <c r="BK6" s="194">
        <v>1.6666700000000001</v>
      </c>
      <c r="BL6" s="194">
        <v>1.6666700000000001</v>
      </c>
      <c r="BM6" s="194">
        <v>1.6666700000000001</v>
      </c>
      <c r="BN6" s="194">
        <v>1.3333299999999999</v>
      </c>
      <c r="BO6" s="194">
        <v>1</v>
      </c>
      <c r="BP6" s="194">
        <v>1</v>
      </c>
      <c r="BQ6" s="194">
        <v>1</v>
      </c>
      <c r="BR6" s="194">
        <v>1</v>
      </c>
      <c r="BS6" s="194">
        <v>1</v>
      </c>
      <c r="BU6" s="156">
        <v>4.4999999999999998E-2</v>
      </c>
      <c r="BV6" s="18"/>
      <c r="BW6" s="18"/>
      <c r="BX6" t="s">
        <v>23</v>
      </c>
      <c r="CE6" s="182">
        <v>34</v>
      </c>
      <c r="CF6" s="158">
        <v>50</v>
      </c>
      <c r="CI6" s="80">
        <v>0</v>
      </c>
      <c r="CJ6" s="19"/>
      <c r="CL6" s="19" t="s">
        <v>296</v>
      </c>
      <c r="CM6">
        <v>1E-3</v>
      </c>
      <c r="CO6" s="181">
        <v>3</v>
      </c>
      <c r="CP6" s="80">
        <f>IF(ParamSex="Male",'Growth Params'!$F$8+CO6*'Growth Params'!$F$9/('Growth Params'!$F$10+CO6)+'Growth Params'!$F$11/(1+'Growth Params'!$F$12*EXP(-'Growth Params'!$F$13*'Growth Params'!$F$11*CO6)),'Growth Params'!$E$8+CO6*'Growth Params'!$E$9/('Growth Params'!$E$10+CO6)+'Growth Params'!$E$11/(1+'Growth Params'!$E$12*EXP(-'Growth Params'!$E$13*'Growth Params'!$E$11*CO6)))</f>
        <v>14.617917414340456</v>
      </c>
      <c r="CR6" s="250" t="s">
        <v>329</v>
      </c>
      <c r="CS6" s="229">
        <v>1</v>
      </c>
      <c r="CU6" s="250" t="s">
        <v>329</v>
      </c>
      <c r="CV6" s="238">
        <v>10</v>
      </c>
      <c r="EG6" t="s">
        <v>396</v>
      </c>
      <c r="EH6" s="229" t="s">
        <v>125</v>
      </c>
      <c r="EI6" s="160">
        <v>100</v>
      </c>
      <c r="EJ6" s="160">
        <v>100</v>
      </c>
      <c r="EK6" s="160">
        <v>100</v>
      </c>
    </row>
    <row r="7" spans="1:141" ht="18" x14ac:dyDescent="0.4">
      <c r="A7" t="str">
        <f t="shared" si="1"/>
        <v>Defalt</v>
      </c>
      <c r="B7" s="19" t="s">
        <v>29</v>
      </c>
      <c r="C7" s="19" t="s">
        <v>34</v>
      </c>
      <c r="D7" s="80">
        <f t="shared" si="0"/>
        <v>1</v>
      </c>
      <c r="E7" s="80">
        <f>IF(SolType="Forward",0,1)</f>
        <v>0</v>
      </c>
      <c r="F7" s="19"/>
      <c r="G7" s="19"/>
      <c r="H7" s="19"/>
      <c r="I7" s="19"/>
      <c r="J7" s="19"/>
      <c r="K7" s="19"/>
      <c r="L7" s="19"/>
      <c r="M7" s="19"/>
      <c r="N7" s="19"/>
      <c r="O7" s="19"/>
      <c r="P7" s="19"/>
      <c r="Q7" s="19"/>
      <c r="R7" s="19"/>
      <c r="S7" s="19"/>
      <c r="T7" s="19"/>
      <c r="U7" s="19"/>
      <c r="V7" s="19"/>
      <c r="W7" s="19"/>
      <c r="X7" s="19"/>
      <c r="Y7" s="19"/>
      <c r="Z7" s="19"/>
      <c r="AA7" s="19"/>
      <c r="AB7" s="19"/>
      <c r="AC7" s="19"/>
      <c r="BI7" s="194">
        <v>12</v>
      </c>
      <c r="BJ7" s="194">
        <v>12</v>
      </c>
      <c r="BK7" s="194">
        <v>15</v>
      </c>
      <c r="BL7" s="194">
        <v>11</v>
      </c>
      <c r="BM7" s="194">
        <v>8</v>
      </c>
      <c r="BN7" s="194">
        <v>7</v>
      </c>
      <c r="BO7" s="194">
        <v>7</v>
      </c>
      <c r="BP7" s="194">
        <v>7</v>
      </c>
      <c r="BQ7" s="194">
        <v>7</v>
      </c>
      <c r="BR7" s="194">
        <v>7</v>
      </c>
      <c r="BS7" s="194">
        <v>7</v>
      </c>
      <c r="BU7" s="156">
        <v>0.85</v>
      </c>
      <c r="BV7" s="18"/>
      <c r="BW7" s="18"/>
      <c r="BX7" t="s">
        <v>24</v>
      </c>
      <c r="CE7" s="182">
        <v>600</v>
      </c>
      <c r="CF7" s="158">
        <v>600</v>
      </c>
      <c r="CI7" s="80">
        <v>0</v>
      </c>
      <c r="CJ7" s="19"/>
      <c r="CL7" s="19" t="s">
        <v>297</v>
      </c>
      <c r="CM7">
        <v>0</v>
      </c>
      <c r="CO7" s="181">
        <v>4</v>
      </c>
      <c r="CP7" s="80">
        <f>IF(ParamSex="Male",'Growth Params'!$F$8+CO7*'Growth Params'!$F$9/('Growth Params'!$F$10+CO7)+'Growth Params'!$F$11/(1+'Growth Params'!$F$12*EXP(-'Growth Params'!$F$13*'Growth Params'!$F$11*CO7)),'Growth Params'!$E$8+CO7*'Growth Params'!$E$9/('Growth Params'!$E$10+CO7)+'Growth Params'!$E$11/(1+'Growth Params'!$E$12*EXP(-'Growth Params'!$E$13*'Growth Params'!$E$11*CO7)))</f>
        <v>16.433990817066771</v>
      </c>
      <c r="CR7" s="250" t="s">
        <v>24</v>
      </c>
      <c r="CS7" s="229">
        <v>1</v>
      </c>
      <c r="CU7" s="250" t="s">
        <v>24</v>
      </c>
      <c r="CV7" s="229"/>
      <c r="EG7" t="s">
        <v>396</v>
      </c>
      <c r="EH7" s="229" t="s">
        <v>126</v>
      </c>
      <c r="EI7" s="382">
        <v>0</v>
      </c>
      <c r="EJ7" s="382">
        <v>0</v>
      </c>
      <c r="EK7" s="382">
        <v>0</v>
      </c>
    </row>
    <row r="8" spans="1:141" ht="18" x14ac:dyDescent="0.4">
      <c r="A8" t="str">
        <f t="shared" si="1"/>
        <v>Defalt</v>
      </c>
      <c r="B8" s="19" t="s">
        <v>29</v>
      </c>
      <c r="C8" s="19" t="s">
        <v>35</v>
      </c>
      <c r="D8" s="80">
        <f t="shared" si="0"/>
        <v>1</v>
      </c>
      <c r="E8" s="80">
        <v>0</v>
      </c>
      <c r="F8" s="19"/>
      <c r="G8" s="19"/>
      <c r="H8" s="19"/>
      <c r="I8" s="19"/>
      <c r="J8" s="19"/>
      <c r="K8" s="19"/>
      <c r="L8" s="19"/>
      <c r="M8" s="19"/>
      <c r="N8" s="19"/>
      <c r="O8" s="19"/>
      <c r="P8" s="19"/>
      <c r="Q8" s="19"/>
      <c r="R8" s="19"/>
      <c r="S8" s="19"/>
      <c r="T8" s="19"/>
      <c r="U8" s="19"/>
      <c r="V8" s="19"/>
      <c r="W8" s="19"/>
      <c r="X8" s="19"/>
      <c r="Y8" s="19"/>
      <c r="Z8" s="19"/>
      <c r="AA8" s="19"/>
      <c r="AB8" s="19"/>
      <c r="AC8" s="19"/>
      <c r="BI8" s="194">
        <v>9.5E-4</v>
      </c>
      <c r="BJ8" s="194">
        <v>9.5E-4</v>
      </c>
      <c r="BK8" s="194">
        <v>9.5E-4</v>
      </c>
      <c r="BL8" s="194">
        <v>9.5E-4</v>
      </c>
      <c r="BM8" s="194">
        <v>9.5E-4</v>
      </c>
      <c r="BN8" s="194">
        <v>9.5E-4</v>
      </c>
      <c r="BO8" s="194">
        <v>9.5E-4</v>
      </c>
      <c r="BP8" s="194">
        <v>9.5E-4</v>
      </c>
      <c r="BQ8" s="194">
        <v>9.5E-4</v>
      </c>
      <c r="BR8" s="194">
        <v>9.5E-4</v>
      </c>
      <c r="BS8" s="194">
        <v>9.5E-4</v>
      </c>
      <c r="BU8" s="156">
        <v>4000</v>
      </c>
      <c r="BV8" s="18"/>
      <c r="BW8" s="18"/>
      <c r="CE8" s="182">
        <v>1.7000000000000001E-2</v>
      </c>
      <c r="CF8" s="158">
        <v>9.4999999999999998E-3</v>
      </c>
      <c r="CI8" s="80">
        <v>0</v>
      </c>
      <c r="CJ8" s="19"/>
      <c r="CL8" s="19" t="s">
        <v>298</v>
      </c>
      <c r="CO8" s="181">
        <v>5</v>
      </c>
      <c r="CP8" s="80">
        <f>IF(ParamSex="Male",'Growth Params'!$F$8+CO8*'Growth Params'!$F$9/('Growth Params'!$F$10+CO8)+'Growth Params'!$F$11/(1+'Growth Params'!$F$12*EXP(-'Growth Params'!$F$13*'Growth Params'!$F$11*CO8)),'Growth Params'!$E$8+CO8*'Growth Params'!$E$9/('Growth Params'!$E$10+CO8)+'Growth Params'!$E$11/(1+'Growth Params'!$E$12*EXP(-'Growth Params'!$E$13*'Growth Params'!$E$11*CO8)))</f>
        <v>18.039933898875297</v>
      </c>
      <c r="CU8" s="249" t="s">
        <v>330</v>
      </c>
      <c r="EG8" t="s">
        <v>396</v>
      </c>
      <c r="EH8" s="229" t="s">
        <v>127</v>
      </c>
      <c r="EI8" s="160">
        <v>2.77</v>
      </c>
      <c r="EJ8" s="160">
        <v>2.77</v>
      </c>
      <c r="EK8" s="160">
        <v>2.77</v>
      </c>
    </row>
    <row r="9" spans="1:141" ht="18" x14ac:dyDescent="0.4">
      <c r="A9" t="str">
        <f t="shared" si="1"/>
        <v>Defalt</v>
      </c>
      <c r="B9" s="19" t="s">
        <v>29</v>
      </c>
      <c r="C9" s="19" t="s">
        <v>36</v>
      </c>
      <c r="D9" s="80">
        <f t="shared" si="0"/>
        <v>1</v>
      </c>
      <c r="E9" s="80">
        <f>IF(Interpol_Bin="Stepwise",0,1)</f>
        <v>0</v>
      </c>
      <c r="F9" s="19"/>
      <c r="G9" s="19"/>
      <c r="H9" s="19"/>
      <c r="I9" s="19"/>
      <c r="J9" s="19"/>
      <c r="K9" s="19"/>
      <c r="L9" s="19"/>
      <c r="M9" s="19"/>
      <c r="N9" s="19"/>
      <c r="O9" s="19"/>
      <c r="P9" s="19"/>
      <c r="Q9" s="19"/>
      <c r="R9" s="19"/>
      <c r="S9" s="19"/>
      <c r="T9" s="19"/>
      <c r="U9" s="19"/>
      <c r="V9" s="19"/>
      <c r="W9" s="19"/>
      <c r="X9" s="19"/>
      <c r="Y9" s="19"/>
      <c r="Z9" s="19"/>
      <c r="AA9" s="19"/>
      <c r="AB9" s="19"/>
      <c r="AC9" s="19"/>
      <c r="BI9" s="194">
        <v>2.0400000000000001E-2</v>
      </c>
      <c r="BJ9" s="194">
        <v>1.644E-2</v>
      </c>
      <c r="BK9" s="194">
        <v>5.7600000000000004E-3</v>
      </c>
      <c r="BL9" s="194">
        <v>3.0799999999999998E-3</v>
      </c>
      <c r="BM9" s="194">
        <v>1.7799999999999999E-3</v>
      </c>
      <c r="BN9" s="194">
        <v>1.024E-3</v>
      </c>
      <c r="BO9" s="194">
        <v>1.6440000000000001E-4</v>
      </c>
      <c r="BP9" s="194">
        <v>1.6440000000000001E-4</v>
      </c>
      <c r="BQ9" s="194">
        <v>1.6440000000000001E-4</v>
      </c>
      <c r="BR9" s="194">
        <v>1.6440000000000001E-4</v>
      </c>
      <c r="BS9" s="194">
        <v>1.6440000000000001E-4</v>
      </c>
      <c r="BU9" s="156">
        <v>0.45</v>
      </c>
      <c r="BV9" s="18"/>
      <c r="BW9" s="18"/>
      <c r="CE9" s="182">
        <v>0.85</v>
      </c>
      <c r="CF9" s="158">
        <v>0.88</v>
      </c>
      <c r="CI9" s="19">
        <v>0</v>
      </c>
      <c r="CJ9" s="19"/>
      <c r="CL9" s="19" t="s">
        <v>299</v>
      </c>
      <c r="CO9" s="181">
        <v>6</v>
      </c>
      <c r="CP9" s="80">
        <f>IF(ParamSex="Male",'Growth Params'!$F$8+CO9*'Growth Params'!$F$9/('Growth Params'!$F$10+CO9)+'Growth Params'!$F$11/(1+'Growth Params'!$F$12*EXP(-'Growth Params'!$F$13*'Growth Params'!$F$11*CO9)),'Growth Params'!$E$8+CO9*'Growth Params'!$E$9/('Growth Params'!$E$10+CO9)+'Growth Params'!$E$11/(1+'Growth Params'!$E$12*EXP(-'Growth Params'!$E$13*'Growth Params'!$E$11*CO9)))</f>
        <v>19.69188975613292</v>
      </c>
      <c r="CU9" s="251" t="s">
        <v>331</v>
      </c>
      <c r="EG9" t="s">
        <v>396</v>
      </c>
      <c r="EH9" s="229" t="s">
        <v>128</v>
      </c>
      <c r="EI9" s="382">
        <v>0</v>
      </c>
      <c r="EJ9" s="382">
        <v>0</v>
      </c>
      <c r="EK9" s="382">
        <v>0</v>
      </c>
    </row>
    <row r="10" spans="1:141" ht="18" x14ac:dyDescent="0.4">
      <c r="A10" t="str">
        <f t="shared" si="1"/>
        <v>Defalt</v>
      </c>
      <c r="B10" s="19" t="s">
        <v>37</v>
      </c>
      <c r="C10" s="19" t="s">
        <v>38</v>
      </c>
      <c r="D10" s="19">
        <f t="shared" ref="D10:D41" si="2">COUNT(E10:AC10)</f>
        <v>1</v>
      </c>
      <c r="E10" s="19" cm="1">
        <f t="array" ref="E10">_xlfn.IFS(ParamSex = "Male",1,ParamSex = "Female",0)</f>
        <v>0</v>
      </c>
      <c r="F10" s="19"/>
      <c r="G10" s="19"/>
      <c r="H10" s="19"/>
      <c r="I10" s="19"/>
      <c r="J10" s="19"/>
      <c r="K10" s="19"/>
      <c r="L10" s="19"/>
      <c r="M10" s="19"/>
      <c r="N10" s="19"/>
      <c r="O10" s="19"/>
      <c r="P10" s="19"/>
      <c r="Q10" s="19"/>
      <c r="R10" s="19"/>
      <c r="S10" s="19"/>
      <c r="T10" s="19"/>
      <c r="U10" s="19"/>
      <c r="V10" s="19"/>
      <c r="W10" s="19"/>
      <c r="X10" s="19"/>
      <c r="Y10" s="19"/>
      <c r="Z10" s="19"/>
      <c r="AA10" s="19"/>
      <c r="AB10" s="19"/>
      <c r="AC10" s="19"/>
      <c r="BI10" s="194">
        <v>0.35</v>
      </c>
      <c r="BJ10" s="194">
        <v>0.35</v>
      </c>
      <c r="BK10" s="194">
        <v>0.35</v>
      </c>
      <c r="BL10" s="194">
        <v>0.35</v>
      </c>
      <c r="BM10" s="194">
        <v>0.35</v>
      </c>
      <c r="BN10" s="194">
        <v>0.35</v>
      </c>
      <c r="BO10" s="194">
        <v>0.5</v>
      </c>
      <c r="BP10" s="194">
        <v>0.5</v>
      </c>
      <c r="BQ10" s="194">
        <v>0.5</v>
      </c>
      <c r="BR10" s="194">
        <v>0.5</v>
      </c>
      <c r="BS10" s="194">
        <v>0.5</v>
      </c>
      <c r="BU10" s="156">
        <v>0.1</v>
      </c>
      <c r="BV10" s="18"/>
      <c r="BW10" s="18"/>
      <c r="CE10" s="184">
        <v>0.41</v>
      </c>
      <c r="CF10" s="183">
        <v>0.46</v>
      </c>
      <c r="CL10" s="19" t="s">
        <v>300</v>
      </c>
      <c r="CM10">
        <v>8</v>
      </c>
      <c r="CO10" s="181">
        <v>7</v>
      </c>
      <c r="CP10" s="80">
        <f>IF(ParamSex="Male",'Growth Params'!$F$8+CO10*'Growth Params'!$F$9/('Growth Params'!$F$10+CO10)+'Growth Params'!$F$11/(1+'Growth Params'!$F$12*EXP(-'Growth Params'!$F$13*'Growth Params'!$F$11*CO10)),'Growth Params'!$E$8+CO10*'Growth Params'!$E$9/('Growth Params'!$E$10+CO10)+'Growth Params'!$E$11/(1+'Growth Params'!$E$12*EXP(-'Growth Params'!$E$13*'Growth Params'!$E$11*CO10)))</f>
        <v>21.657724833097031</v>
      </c>
      <c r="EG10" t="s">
        <v>396</v>
      </c>
      <c r="EH10" s="229" t="s">
        <v>129</v>
      </c>
      <c r="EI10" s="160">
        <v>2E-3</v>
      </c>
      <c r="EJ10" s="160">
        <v>2E-3</v>
      </c>
      <c r="EK10" s="160">
        <v>2E-3</v>
      </c>
    </row>
    <row r="11" spans="1:141" ht="18" x14ac:dyDescent="0.4">
      <c r="A11" t="str">
        <f t="shared" ref="A11:A17" si="3">IF(OR(E11=CE3,E11=CF3),"Defalt","Changed")</f>
        <v>Defalt</v>
      </c>
      <c r="B11" s="19" t="s">
        <v>37</v>
      </c>
      <c r="C11" s="19" t="s">
        <v>39</v>
      </c>
      <c r="D11" s="19">
        <f t="shared" si="2"/>
        <v>1</v>
      </c>
      <c r="E11" s="19">
        <f>IF(ParamSex="male",'Growth Params'!F8,'Growth Params'!E8)</f>
        <v>3.3</v>
      </c>
      <c r="F11" s="19"/>
      <c r="G11" s="19"/>
      <c r="H11" s="19"/>
      <c r="I11" s="19"/>
      <c r="J11" s="19"/>
      <c r="K11" s="19"/>
      <c r="L11" s="19"/>
      <c r="M11" s="19"/>
      <c r="N11" s="19"/>
      <c r="O11" s="19"/>
      <c r="P11" s="19"/>
      <c r="Q11" s="19"/>
      <c r="R11" s="19"/>
      <c r="S11" s="19"/>
      <c r="T11" s="19"/>
      <c r="U11" s="19"/>
      <c r="V11" s="19"/>
      <c r="W11" s="19"/>
      <c r="X11" s="19"/>
      <c r="Y11" s="19"/>
      <c r="Z11" s="19"/>
      <c r="AA11" s="19"/>
      <c r="AB11" s="19"/>
      <c r="AC11" s="19"/>
      <c r="BI11" s="194">
        <v>0.65</v>
      </c>
      <c r="BJ11" s="194">
        <v>0.65</v>
      </c>
      <c r="BK11" s="194">
        <v>0.65</v>
      </c>
      <c r="BL11" s="194">
        <v>0.65</v>
      </c>
      <c r="BM11" s="194">
        <v>0.65</v>
      </c>
      <c r="BN11" s="194">
        <v>0.65</v>
      </c>
      <c r="BO11" s="194">
        <v>0.5</v>
      </c>
      <c r="BP11" s="194">
        <v>0.5</v>
      </c>
      <c r="BQ11" s="194">
        <v>0.5</v>
      </c>
      <c r="BR11" s="194">
        <v>0.5</v>
      </c>
      <c r="BS11" s="194">
        <v>0.5</v>
      </c>
      <c r="BU11" s="156">
        <v>0.45</v>
      </c>
      <c r="BV11" s="18"/>
      <c r="BW11" s="18"/>
      <c r="CE11" s="152">
        <v>0.52</v>
      </c>
      <c r="CF11" s="153">
        <v>0.52</v>
      </c>
      <c r="CL11" s="19" t="s">
        <v>301</v>
      </c>
      <c r="CM11">
        <v>1.6</v>
      </c>
      <c r="CO11" s="181">
        <v>8</v>
      </c>
      <c r="CP11" s="80">
        <f>IF(ParamSex="Male",'Growth Params'!$F$8+CO11*'Growth Params'!$F$9/('Growth Params'!$F$10+CO11)+'Growth Params'!$F$11/(1+'Growth Params'!$F$12*EXP(-'Growth Params'!$F$13*'Growth Params'!$F$11*CO11)),'Growth Params'!$E$8+CO11*'Growth Params'!$E$9/('Growth Params'!$E$10+CO11)+'Growth Params'!$E$11/(1+'Growth Params'!$E$12*EXP(-'Growth Params'!$E$13*'Growth Params'!$E$11*CO11)))</f>
        <v>24.23606478135892</v>
      </c>
      <c r="EG11" t="s">
        <v>396</v>
      </c>
      <c r="EH11" s="229" t="s">
        <v>130</v>
      </c>
      <c r="EI11" s="160">
        <v>1E-3</v>
      </c>
      <c r="EJ11" s="160">
        <v>1E-3</v>
      </c>
      <c r="EK11" s="160">
        <v>1E-3</v>
      </c>
    </row>
    <row r="12" spans="1:141" ht="18" x14ac:dyDescent="0.4">
      <c r="A12" t="str">
        <f t="shared" si="3"/>
        <v>Defalt</v>
      </c>
      <c r="B12" s="19" t="s">
        <v>37</v>
      </c>
      <c r="C12" s="19" t="s">
        <v>40</v>
      </c>
      <c r="D12" s="19">
        <f t="shared" si="2"/>
        <v>1</v>
      </c>
      <c r="E12" s="19">
        <f>IF(ParamSex="male",'Growth Params'!F9,'Growth Params'!E9)</f>
        <v>22</v>
      </c>
      <c r="F12" s="19"/>
      <c r="G12" s="19"/>
      <c r="H12" s="19"/>
      <c r="I12" s="19"/>
      <c r="J12" s="19"/>
      <c r="K12" s="19"/>
      <c r="L12" s="19"/>
      <c r="M12" s="19"/>
      <c r="N12" s="19"/>
      <c r="O12" s="19"/>
      <c r="P12" s="19"/>
      <c r="Q12" s="19"/>
      <c r="R12" s="19"/>
      <c r="S12" s="19"/>
      <c r="T12" s="19"/>
      <c r="U12" s="19"/>
      <c r="V12" s="19"/>
      <c r="W12" s="19"/>
      <c r="X12" s="19"/>
      <c r="Y12" s="19"/>
      <c r="Z12" s="19"/>
      <c r="AA12" s="19"/>
      <c r="AB12" s="19"/>
      <c r="AC12" s="19"/>
      <c r="BI12" s="194">
        <v>2.3105000000000001E-2</v>
      </c>
      <c r="BJ12" s="194">
        <v>2.3105000000000001E-2</v>
      </c>
      <c r="BK12" s="194">
        <v>2.3105000000000001E-2</v>
      </c>
      <c r="BL12" s="194">
        <v>2.3105000000000001E-2</v>
      </c>
      <c r="BM12" s="194">
        <v>2.3105000000000001E-2</v>
      </c>
      <c r="BN12" s="194">
        <v>2.3105000000000001E-2</v>
      </c>
      <c r="BO12" s="194">
        <v>2.3105000000000001E-2</v>
      </c>
      <c r="BP12" s="194">
        <v>2.3105000000000001E-2</v>
      </c>
      <c r="BQ12" s="194">
        <v>2.3105000000000001E-2</v>
      </c>
      <c r="BR12" s="194">
        <v>2.3105000000000001E-2</v>
      </c>
      <c r="BS12" s="194">
        <v>2.3105000000000001E-2</v>
      </c>
      <c r="BU12" s="156">
        <v>0.46</v>
      </c>
      <c r="BV12" s="156">
        <v>0.41</v>
      </c>
      <c r="BW12" s="18"/>
      <c r="CL12" s="19" t="s">
        <v>302</v>
      </c>
      <c r="CM12">
        <v>0.05</v>
      </c>
      <c r="CO12" s="181">
        <v>9</v>
      </c>
      <c r="CP12" s="80">
        <f>IF(ParamSex="Male",'Growth Params'!$F$8+CO12*'Growth Params'!$F$9/('Growth Params'!$F$10+CO12)+'Growth Params'!$F$11/(1+'Growth Params'!$F$12*EXP(-'Growth Params'!$F$13*'Growth Params'!$F$11*CO12)),'Growth Params'!$E$8+CO12*'Growth Params'!$E$9/('Growth Params'!$E$10+CO12)+'Growth Params'!$E$11/(1+'Growth Params'!$E$12*EXP(-'Growth Params'!$E$13*'Growth Params'!$E$11*CO12)))</f>
        <v>27.70086663539956</v>
      </c>
      <c r="EG12" t="s">
        <v>396</v>
      </c>
      <c r="EH12" s="229" t="s">
        <v>131</v>
      </c>
      <c r="EI12" s="382">
        <v>0</v>
      </c>
      <c r="EJ12" s="382">
        <v>0</v>
      </c>
      <c r="EK12" s="382">
        <v>0</v>
      </c>
    </row>
    <row r="13" spans="1:141" ht="18" x14ac:dyDescent="0.4">
      <c r="A13" t="str">
        <f>IF(OR(E13=CE5,E13=CF5),"Defalt","Changed")</f>
        <v>Defalt</v>
      </c>
      <c r="B13" s="19" t="s">
        <v>37</v>
      </c>
      <c r="C13" s="19" t="s">
        <v>41</v>
      </c>
      <c r="D13" s="19">
        <f t="shared" si="2"/>
        <v>1</v>
      </c>
      <c r="E13" s="19">
        <f>IF(ParamSex="male",'Growth Params'!F10,'Growth Params'!E10)</f>
        <v>3</v>
      </c>
      <c r="F13" s="19"/>
      <c r="G13" s="19"/>
      <c r="H13" s="19"/>
      <c r="I13" s="19"/>
      <c r="J13" s="19"/>
      <c r="K13" s="19"/>
      <c r="L13" s="19"/>
      <c r="M13" s="19"/>
      <c r="N13" s="19"/>
      <c r="O13" s="19"/>
      <c r="P13" s="19"/>
      <c r="Q13" s="19"/>
      <c r="R13" s="19"/>
      <c r="S13" s="19"/>
      <c r="T13" s="19"/>
      <c r="U13" s="19"/>
      <c r="V13" s="19"/>
      <c r="W13" s="19"/>
      <c r="X13" s="19"/>
      <c r="Y13" s="19"/>
      <c r="Z13" s="19"/>
      <c r="AA13" s="19"/>
      <c r="AB13" s="19"/>
      <c r="AC13" s="19"/>
      <c r="BI13" s="194">
        <v>6.9300000000000004E-4</v>
      </c>
      <c r="BJ13" s="194">
        <v>6.9300000000000004E-4</v>
      </c>
      <c r="BK13" s="194">
        <v>6.9300000000000004E-4</v>
      </c>
      <c r="BL13" s="194">
        <v>6.9300000000000004E-4</v>
      </c>
      <c r="BM13" s="194">
        <v>1.9000000000000001E-4</v>
      </c>
      <c r="BN13" s="194">
        <v>1.9000000000000001E-4</v>
      </c>
      <c r="BO13" s="194">
        <v>1.9000000000000001E-4</v>
      </c>
      <c r="BP13" s="194">
        <v>9.5E-4</v>
      </c>
      <c r="BQ13" s="194">
        <v>1.9E-3</v>
      </c>
      <c r="BR13" s="194">
        <v>1.9E-3</v>
      </c>
      <c r="BS13" s="194">
        <v>1.9E-3</v>
      </c>
      <c r="BU13" s="156">
        <v>0.52</v>
      </c>
      <c r="BV13" s="18"/>
      <c r="BW13" s="18"/>
      <c r="CO13" s="181">
        <v>10</v>
      </c>
      <c r="CP13" s="80">
        <f>IF(ParamSex="Male",'Growth Params'!$F$8+CO13*'Growth Params'!$F$9/('Growth Params'!$F$10+CO13)+'Growth Params'!$F$11/(1+'Growth Params'!$F$12*EXP(-'Growth Params'!$F$13*'Growth Params'!$F$11*CO13)),'Growth Params'!$E$8+CO13*'Growth Params'!$E$9/('Growth Params'!$E$10+CO13)+'Growth Params'!$E$11/(1+'Growth Params'!$E$12*EXP(-'Growth Params'!$E$13*'Growth Params'!$E$11*CO13)))</f>
        <v>32.139399475942959</v>
      </c>
    </row>
    <row r="14" spans="1:141" ht="18" x14ac:dyDescent="0.4">
      <c r="A14" t="str">
        <f t="shared" si="3"/>
        <v>Defalt</v>
      </c>
      <c r="B14" s="19" t="s">
        <v>37</v>
      </c>
      <c r="C14" s="19" t="s">
        <v>42</v>
      </c>
      <c r="D14" s="19">
        <f t="shared" si="2"/>
        <v>1</v>
      </c>
      <c r="E14" s="19">
        <f>IF(ParamSex="male",'Growth Params'!F11,'Growth Params'!E11)</f>
        <v>34</v>
      </c>
      <c r="F14" s="19"/>
      <c r="G14" s="19"/>
      <c r="H14" s="19"/>
      <c r="I14" s="19"/>
      <c r="J14" s="19"/>
      <c r="K14" s="19"/>
      <c r="L14" s="19"/>
      <c r="M14" s="19"/>
      <c r="N14" s="19"/>
      <c r="O14" s="19"/>
      <c r="P14" s="19"/>
      <c r="Q14" s="19"/>
      <c r="R14" s="19"/>
      <c r="S14" s="19"/>
      <c r="T14" s="19"/>
      <c r="U14" s="19"/>
      <c r="V14" s="19"/>
      <c r="W14" s="19"/>
      <c r="X14" s="19"/>
      <c r="Y14" s="19"/>
      <c r="Z14" s="19"/>
      <c r="AA14" s="19"/>
      <c r="AB14" s="19"/>
      <c r="AC14" s="19"/>
      <c r="BI14" s="194">
        <v>6.9300000000000004E-4</v>
      </c>
      <c r="BJ14" s="194">
        <v>6.9300000000000004E-4</v>
      </c>
      <c r="BK14" s="194">
        <v>6.9300000000000004E-4</v>
      </c>
      <c r="BL14" s="194">
        <v>1.3860000000000001E-3</v>
      </c>
      <c r="BM14" s="194">
        <v>5.6999999999999998E-4</v>
      </c>
      <c r="BN14" s="194">
        <v>5.6999999999999998E-4</v>
      </c>
      <c r="BO14" s="194">
        <v>5.6999999999999998E-4</v>
      </c>
      <c r="BP14" s="194">
        <v>1.4250000000000001E-3</v>
      </c>
      <c r="BQ14" s="194">
        <v>3.0400000000000002E-3</v>
      </c>
      <c r="BR14" s="194">
        <v>3.4199999999999999E-3</v>
      </c>
      <c r="BS14" s="194">
        <v>3.8E-3</v>
      </c>
      <c r="BU14" s="156">
        <v>5.5E-2</v>
      </c>
      <c r="BV14" s="18"/>
      <c r="BW14" s="18"/>
      <c r="CO14" s="181">
        <v>11</v>
      </c>
      <c r="CP14" s="80">
        <f>IF(ParamSex="Male",'Growth Params'!$F$8+CO14*'Growth Params'!$F$9/('Growth Params'!$F$10+CO14)+'Growth Params'!$F$11/(1+'Growth Params'!$F$12*EXP(-'Growth Params'!$F$13*'Growth Params'!$F$11*CO14)),'Growth Params'!$E$8+CO14*'Growth Params'!$E$9/('Growth Params'!$E$10+CO14)+'Growth Params'!$E$11/(1+'Growth Params'!$E$12*EXP(-'Growth Params'!$E$13*'Growth Params'!$E$11*CO14)))</f>
        <v>37.254854000716279</v>
      </c>
    </row>
    <row r="15" spans="1:141" ht="18" x14ac:dyDescent="0.4">
      <c r="A15" t="str">
        <f t="shared" si="3"/>
        <v>Defalt</v>
      </c>
      <c r="B15" s="19" t="s">
        <v>37</v>
      </c>
      <c r="C15" s="19" t="s">
        <v>43</v>
      </c>
      <c r="D15" s="19">
        <f t="shared" si="2"/>
        <v>1</v>
      </c>
      <c r="E15" s="19">
        <f>IF(ParamSex="male",'Growth Params'!F12,'Growth Params'!E12)</f>
        <v>600</v>
      </c>
      <c r="F15" s="19"/>
      <c r="G15" s="19"/>
      <c r="H15" s="19"/>
      <c r="I15" s="19"/>
      <c r="J15" s="19"/>
      <c r="K15" s="19"/>
      <c r="L15" s="19"/>
      <c r="M15" s="19"/>
      <c r="N15" s="19"/>
      <c r="O15" s="19"/>
      <c r="P15" s="19"/>
      <c r="Q15" s="19"/>
      <c r="R15" s="19"/>
      <c r="S15" s="19"/>
      <c r="T15" s="19"/>
      <c r="U15" s="19"/>
      <c r="V15" s="19"/>
      <c r="W15" s="19"/>
      <c r="X15" s="19"/>
      <c r="Y15" s="19"/>
      <c r="Z15" s="19"/>
      <c r="AA15" s="19"/>
      <c r="AB15" s="19"/>
      <c r="AC15" s="19"/>
      <c r="BI15" s="194">
        <v>0.46200000000000002</v>
      </c>
      <c r="BJ15" s="194">
        <v>0.46200000000000002</v>
      </c>
      <c r="BK15" s="194">
        <v>0.78539999999999999</v>
      </c>
      <c r="BL15" s="194">
        <v>0.49860000000000004</v>
      </c>
      <c r="BM15" s="194">
        <v>0.1946</v>
      </c>
      <c r="BN15" s="194">
        <v>0.13900000000000001</v>
      </c>
      <c r="BO15" s="194">
        <v>0.13900000000000001</v>
      </c>
      <c r="BP15" s="194">
        <v>0.13900000000000001</v>
      </c>
      <c r="BQ15" s="194">
        <v>0.13900000000000001</v>
      </c>
      <c r="BR15" s="194">
        <v>0.13900000000000001</v>
      </c>
      <c r="BS15" s="194">
        <v>0.13900000000000001</v>
      </c>
      <c r="BU15" s="156">
        <v>1</v>
      </c>
      <c r="BV15" s="18"/>
      <c r="BW15" s="18"/>
      <c r="CO15" s="181">
        <v>12</v>
      </c>
      <c r="CP15" s="80">
        <f>IF(ParamSex="Male",'Growth Params'!$F$8+CO15*'Growth Params'!$F$9/('Growth Params'!$F$10+CO15)+'Growth Params'!$F$11/(1+'Growth Params'!$F$12*EXP(-'Growth Params'!$F$13*'Growth Params'!$F$11*CO15)),'Growth Params'!$E$8+CO15*'Growth Params'!$E$9/('Growth Params'!$E$10+CO15)+'Growth Params'!$E$11/(1+'Growth Params'!$E$12*EXP(-'Growth Params'!$E$13*'Growth Params'!$E$11*CO15)))</f>
        <v>42.374268411526039</v>
      </c>
    </row>
    <row r="16" spans="1:141" ht="18" x14ac:dyDescent="0.4">
      <c r="A16" t="str">
        <f t="shared" si="3"/>
        <v>Defalt</v>
      </c>
      <c r="B16" s="19" t="s">
        <v>37</v>
      </c>
      <c r="C16" s="19" t="s">
        <v>44</v>
      </c>
      <c r="D16" s="19">
        <f t="shared" si="2"/>
        <v>1</v>
      </c>
      <c r="E16" s="19">
        <f>IF(ParamSex="male",'Growth Params'!F13,'Growth Params'!E13)</f>
        <v>1.7000000000000001E-2</v>
      </c>
      <c r="F16" s="19"/>
      <c r="G16" s="19"/>
      <c r="H16" s="19"/>
      <c r="I16" s="19"/>
      <c r="J16" s="19"/>
      <c r="K16" s="19"/>
      <c r="L16" s="19"/>
      <c r="M16" s="19"/>
      <c r="N16" s="19"/>
      <c r="O16" s="19"/>
      <c r="P16" s="19"/>
      <c r="Q16" s="19"/>
      <c r="R16" s="19"/>
      <c r="S16" s="19"/>
      <c r="T16" s="19"/>
      <c r="U16" s="19"/>
      <c r="V16" s="19"/>
      <c r="W16" s="19"/>
      <c r="X16" s="19"/>
      <c r="Y16" s="19"/>
      <c r="Z16" s="19"/>
      <c r="AA16" s="19"/>
      <c r="AB16" s="19"/>
      <c r="AC16" s="19"/>
      <c r="BI16" s="194">
        <v>2.0400000000000001E-2</v>
      </c>
      <c r="BJ16" s="194">
        <v>1.644E-2</v>
      </c>
      <c r="BK16" s="194">
        <v>5.7600000000000004E-3</v>
      </c>
      <c r="BL16" s="194">
        <v>3.62E-3</v>
      </c>
      <c r="BM16" s="194">
        <v>2.64E-3</v>
      </c>
      <c r="BN16" s="194">
        <v>1.9120000000000001E-3</v>
      </c>
      <c r="BO16" s="194">
        <v>9.859999999999999E-4</v>
      </c>
      <c r="BP16" s="194">
        <v>9.859999999999999E-4</v>
      </c>
      <c r="BQ16" s="194">
        <v>9.859999999999999E-4</v>
      </c>
      <c r="BR16" s="194">
        <v>9.859999999999999E-4</v>
      </c>
      <c r="BS16" s="194">
        <v>9.859999999999999E-4</v>
      </c>
      <c r="BU16" s="156">
        <v>310</v>
      </c>
      <c r="BV16" s="18"/>
      <c r="BW16" s="18"/>
      <c r="CO16" s="181">
        <v>13</v>
      </c>
      <c r="CP16" s="80">
        <f>IF(ParamSex="Male",'Growth Params'!$F$8+CO16*'Growth Params'!$F$9/('Growth Params'!$F$10+CO16)+'Growth Params'!$F$11/(1+'Growth Params'!$F$12*EXP(-'Growth Params'!$F$13*'Growth Params'!$F$11*CO16)),'Growth Params'!$E$8+CO16*'Growth Params'!$E$9/('Growth Params'!$E$10+CO16)+'Growth Params'!$E$11/(1+'Growth Params'!$E$12*EXP(-'Growth Params'!$E$13*'Growth Params'!$E$11*CO16)))</f>
        <v>46.792126301386546</v>
      </c>
    </row>
    <row r="17" spans="1:94" ht="18" x14ac:dyDescent="0.4">
      <c r="A17" t="str">
        <f t="shared" si="3"/>
        <v>Defalt</v>
      </c>
      <c r="B17" s="19" t="s">
        <v>37</v>
      </c>
      <c r="C17" s="19" t="s">
        <v>45</v>
      </c>
      <c r="D17" s="19">
        <f t="shared" si="2"/>
        <v>1</v>
      </c>
      <c r="E17" s="19">
        <f>IF(ParamSex="male",'Growth Params'!F14,'Growth Params'!E14)</f>
        <v>0.85</v>
      </c>
      <c r="F17" s="19"/>
      <c r="G17" s="19"/>
      <c r="H17" s="19"/>
      <c r="I17" s="19"/>
      <c r="J17" s="19"/>
      <c r="K17" s="19"/>
      <c r="L17" s="19"/>
      <c r="M17" s="19"/>
      <c r="N17" s="19"/>
      <c r="O17" s="19"/>
      <c r="P17" s="19"/>
      <c r="Q17" s="19"/>
      <c r="R17" s="19"/>
      <c r="S17" s="19"/>
      <c r="T17" s="19"/>
      <c r="U17" s="19"/>
      <c r="V17" s="19"/>
      <c r="W17" s="19"/>
      <c r="X17" s="19"/>
      <c r="Y17" s="19"/>
      <c r="Z17" s="19"/>
      <c r="AA17" s="19"/>
      <c r="AB17" s="19"/>
      <c r="AC17" s="19"/>
      <c r="BI17" s="194">
        <v>0.35</v>
      </c>
      <c r="BJ17" s="194">
        <v>0.35</v>
      </c>
      <c r="BK17" s="194">
        <v>0.35</v>
      </c>
      <c r="BL17" s="194">
        <v>0.35</v>
      </c>
      <c r="BM17" s="194">
        <v>0.35</v>
      </c>
      <c r="BN17" s="194">
        <v>0.35</v>
      </c>
      <c r="BO17" s="194">
        <v>0.5</v>
      </c>
      <c r="BP17" s="194">
        <v>0.5</v>
      </c>
      <c r="BQ17" s="194">
        <v>0.5</v>
      </c>
      <c r="BR17" s="194">
        <v>0.5</v>
      </c>
      <c r="BS17" s="194">
        <v>0.5</v>
      </c>
      <c r="BU17" s="156">
        <v>30</v>
      </c>
      <c r="BV17" s="18"/>
      <c r="BW17" s="18"/>
      <c r="CO17" s="181">
        <v>14</v>
      </c>
      <c r="CP17" s="80">
        <f>IF(ParamSex="Male",'Growth Params'!$F$8+CO17*'Growth Params'!$F$9/('Growth Params'!$F$10+CO17)+'Growth Params'!$F$11/(1+'Growth Params'!$F$12*EXP(-'Growth Params'!$F$13*'Growth Params'!$F$11*CO17)),'Growth Params'!$E$8+CO17*'Growth Params'!$E$9/('Growth Params'!$E$10+CO17)+'Growth Params'!$E$11/(1+'Growth Params'!$E$12*EXP(-'Growth Params'!$E$13*'Growth Params'!$E$11*CO17)))</f>
        <v>50.143900134846632</v>
      </c>
    </row>
    <row r="18" spans="1:94" ht="18" x14ac:dyDescent="0.4">
      <c r="A18" t="str">
        <f>IF(OR(E18=BU13),"Defalt","Changed")</f>
        <v>Defalt</v>
      </c>
      <c r="B18" s="19" t="s">
        <v>46</v>
      </c>
      <c r="C18" s="19" t="s">
        <v>47</v>
      </c>
      <c r="D18" s="19">
        <f t="shared" si="2"/>
        <v>1</v>
      </c>
      <c r="E18" s="19">
        <f>'Time Ind Phys Params'!E17</f>
        <v>0.52</v>
      </c>
      <c r="F18" s="19"/>
      <c r="G18" s="19"/>
      <c r="H18" s="19"/>
      <c r="I18" s="19"/>
      <c r="J18" s="19"/>
      <c r="K18" s="19"/>
      <c r="L18" s="19"/>
      <c r="M18" s="19"/>
      <c r="N18" s="19"/>
      <c r="O18" s="19"/>
      <c r="P18" s="19"/>
      <c r="Q18" s="19"/>
      <c r="R18" s="19"/>
      <c r="S18" s="19"/>
      <c r="T18" s="19"/>
      <c r="U18" s="19"/>
      <c r="V18" s="19"/>
      <c r="W18" s="19"/>
      <c r="X18" s="19"/>
      <c r="Y18" s="19"/>
      <c r="Z18" s="19"/>
      <c r="AA18" s="19"/>
      <c r="AB18" s="19"/>
      <c r="AC18" s="19"/>
      <c r="BI18" s="194">
        <v>0.65</v>
      </c>
      <c r="BJ18" s="194">
        <v>0.65</v>
      </c>
      <c r="BK18" s="194">
        <v>0.65</v>
      </c>
      <c r="BL18" s="194">
        <v>0.65</v>
      </c>
      <c r="BM18" s="194">
        <v>0.65</v>
      </c>
      <c r="BN18" s="194">
        <v>0.65</v>
      </c>
      <c r="BO18" s="194">
        <v>0.5</v>
      </c>
      <c r="BP18" s="194">
        <v>0.5</v>
      </c>
      <c r="BQ18" s="194">
        <v>0.5</v>
      </c>
      <c r="BR18" s="194">
        <v>0.5</v>
      </c>
      <c r="BS18" s="194">
        <v>0.5</v>
      </c>
      <c r="BU18" s="156">
        <v>1.5</v>
      </c>
      <c r="BV18" s="18"/>
      <c r="BW18" s="18"/>
      <c r="CO18" s="181">
        <v>15</v>
      </c>
      <c r="CP18" s="80">
        <f>IF(ParamSex="Male",'Growth Params'!$F$8+CO18*'Growth Params'!$F$9/('Growth Params'!$F$10+CO18)+'Growth Params'!$F$11/(1+'Growth Params'!$F$12*EXP(-'Growth Params'!$F$13*'Growth Params'!$F$11*CO18)),'Growth Params'!$E$8+CO18*'Growth Params'!$E$9/('Growth Params'!$E$10+CO18)+'Growth Params'!$E$11/(1+'Growth Params'!$E$12*EXP(-'Growth Params'!$E$13*'Growth Params'!$E$11*CO18)))</f>
        <v>52.458482805722767</v>
      </c>
    </row>
    <row r="19" spans="1:94" ht="18" x14ac:dyDescent="0.4">
      <c r="A19" t="str">
        <f>IF(OR(E19=CE10,E19=CF10),"Defalt","Changed")</f>
        <v>Defalt</v>
      </c>
      <c r="B19" s="19" t="s">
        <v>46</v>
      </c>
      <c r="C19" s="19" t="s">
        <v>48</v>
      </c>
      <c r="D19" s="19">
        <f t="shared" si="2"/>
        <v>1</v>
      </c>
      <c r="E19" s="19">
        <f>'Time Ind Phys Params'!E16</f>
        <v>0.41</v>
      </c>
      <c r="F19" s="19"/>
      <c r="G19" s="19"/>
      <c r="H19" s="19"/>
      <c r="I19" s="19"/>
      <c r="J19" s="19"/>
      <c r="K19" s="19"/>
      <c r="L19" s="19"/>
      <c r="M19" s="19"/>
      <c r="N19" s="19"/>
      <c r="O19" s="19"/>
      <c r="P19" s="19"/>
      <c r="Q19" s="19"/>
      <c r="R19" s="19"/>
      <c r="S19" s="19"/>
      <c r="T19" s="19"/>
      <c r="U19" s="19"/>
      <c r="V19" s="19"/>
      <c r="W19" s="19"/>
      <c r="X19" s="19"/>
      <c r="Y19" s="19"/>
      <c r="Z19" s="19"/>
      <c r="AA19" s="19"/>
      <c r="AB19" s="19"/>
      <c r="AC19" s="19"/>
      <c r="BI19" s="194">
        <v>0.24</v>
      </c>
      <c r="BJ19" s="194">
        <v>0.24</v>
      </c>
      <c r="BK19" s="194">
        <v>0.14399999999999999</v>
      </c>
      <c r="BL19" s="194">
        <v>0.128</v>
      </c>
      <c r="BM19" s="194">
        <v>0.17899999999999999</v>
      </c>
      <c r="BN19" s="194">
        <v>0.23699999999999999</v>
      </c>
      <c r="BO19" s="194">
        <v>0.08</v>
      </c>
      <c r="BP19" s="194">
        <v>0.08</v>
      </c>
      <c r="BQ19" s="194">
        <v>0.08</v>
      </c>
      <c r="BR19" s="194">
        <v>0.08</v>
      </c>
      <c r="BS19" s="194">
        <v>0.08</v>
      </c>
      <c r="BU19" s="156">
        <v>7.0000000000000007E-2</v>
      </c>
      <c r="BV19" s="18"/>
      <c r="BW19" s="18"/>
      <c r="CO19" s="181">
        <v>16</v>
      </c>
      <c r="CP19" s="80">
        <f>IF(ParamSex="Male",'Growth Params'!$F$8+CO19*'Growth Params'!$F$9/('Growth Params'!$F$10+CO19)+'Growth Params'!$F$11/(1+'Growth Params'!$F$12*EXP(-'Growth Params'!$F$13*'Growth Params'!$F$11*CO19)),'Growth Params'!$E$8+CO19*'Growth Params'!$E$9/('Growth Params'!$E$10+CO19)+'Growth Params'!$E$11/(1+'Growth Params'!$E$12*EXP(-'Growth Params'!$E$13*'Growth Params'!$E$11*CO19)))</f>
        <v>53.96903124213614</v>
      </c>
    </row>
    <row r="20" spans="1:94" ht="18" x14ac:dyDescent="0.4">
      <c r="A20" t="str">
        <f t="shared" ref="A20:A28" si="4">IF(E20=BU3,"Defalt","Changed")</f>
        <v>Defalt</v>
      </c>
      <c r="B20" s="19" t="s">
        <v>46</v>
      </c>
      <c r="C20" s="19" t="s">
        <v>49</v>
      </c>
      <c r="D20" s="19">
        <f t="shared" si="2"/>
        <v>1</v>
      </c>
      <c r="E20" s="19">
        <f>'Time Ind Phys Params'!E7</f>
        <v>2800</v>
      </c>
      <c r="F20" s="19"/>
      <c r="G20" s="19"/>
      <c r="H20" s="19"/>
      <c r="I20" s="19"/>
      <c r="J20" s="19"/>
      <c r="K20" s="19"/>
      <c r="L20" s="19"/>
      <c r="M20" s="19"/>
      <c r="N20" s="19"/>
      <c r="O20" s="19"/>
      <c r="P20" s="19"/>
      <c r="Q20" s="19"/>
      <c r="R20" s="19"/>
      <c r="S20" s="19"/>
      <c r="T20" s="19"/>
      <c r="U20" s="19"/>
      <c r="V20" s="19"/>
      <c r="W20" s="19"/>
      <c r="X20" s="19"/>
      <c r="Y20" s="19"/>
      <c r="Z20" s="19"/>
      <c r="AA20" s="19"/>
      <c r="AB20" s="19"/>
      <c r="AC20" s="19"/>
      <c r="BI20" s="194">
        <v>0.2</v>
      </c>
      <c r="BJ20" s="194">
        <v>0.2</v>
      </c>
      <c r="BK20" s="194">
        <v>0.2</v>
      </c>
      <c r="BL20" s="194">
        <v>0.222</v>
      </c>
      <c r="BM20" s="194">
        <v>0.25</v>
      </c>
      <c r="BN20" s="194">
        <v>0.27900000000000003</v>
      </c>
      <c r="BO20" s="194">
        <v>0.55600000000000005</v>
      </c>
      <c r="BP20" s="194">
        <v>0.55600000000000005</v>
      </c>
      <c r="BQ20" s="194">
        <v>0.55600000000000005</v>
      </c>
      <c r="BR20" s="194">
        <v>0.55600000000000005</v>
      </c>
      <c r="BS20" s="194">
        <v>0.55600000000000005</v>
      </c>
      <c r="BU20" s="156">
        <v>20</v>
      </c>
      <c r="BV20" s="18"/>
      <c r="BW20" s="18"/>
      <c r="CO20" s="181">
        <v>17</v>
      </c>
      <c r="CP20" s="80">
        <f>IF(ParamSex="Male",'Growth Params'!$F$8+CO20*'Growth Params'!$F$9/('Growth Params'!$F$10+CO20)+'Growth Params'!$F$11/(1+'Growth Params'!$F$12*EXP(-'Growth Params'!$F$13*'Growth Params'!$F$11*CO20)),'Growth Params'!$E$8+CO20*'Growth Params'!$E$9/('Growth Params'!$E$10+CO20)+'Growth Params'!$E$11/(1+'Growth Params'!$E$12*EXP(-'Growth Params'!$E$13*'Growth Params'!$E$11*CO20)))</f>
        <v>54.93242741070187</v>
      </c>
    </row>
    <row r="21" spans="1:94" ht="18" x14ac:dyDescent="0.4">
      <c r="A21" t="str">
        <f t="shared" si="4"/>
        <v>Defalt</v>
      </c>
      <c r="B21" s="19" t="s">
        <v>46</v>
      </c>
      <c r="C21" s="19" t="s">
        <v>50</v>
      </c>
      <c r="D21" s="19">
        <f t="shared" si="2"/>
        <v>1</v>
      </c>
      <c r="E21" s="19">
        <f>'Time Ind Phys Params'!E8</f>
        <v>0.62</v>
      </c>
      <c r="F21" s="19"/>
      <c r="G21" s="19"/>
      <c r="H21" s="19"/>
      <c r="I21" s="19"/>
      <c r="J21" s="19"/>
      <c r="K21" s="19"/>
      <c r="L21" s="19"/>
      <c r="M21" s="19"/>
      <c r="N21" s="19"/>
      <c r="O21" s="19"/>
      <c r="P21" s="19"/>
      <c r="Q21" s="19"/>
      <c r="R21" s="19"/>
      <c r="S21" s="19"/>
      <c r="T21" s="19"/>
      <c r="U21" s="19"/>
      <c r="V21" s="19"/>
      <c r="W21" s="19"/>
      <c r="X21" s="19"/>
      <c r="Y21" s="19"/>
      <c r="Z21" s="19"/>
      <c r="AA21" s="19"/>
      <c r="AB21" s="19"/>
      <c r="AC21" s="19"/>
      <c r="BI21" s="194">
        <v>4.4999999999999999E-4</v>
      </c>
      <c r="BJ21" s="194">
        <v>4.4999999999999999E-4</v>
      </c>
      <c r="BK21" s="194">
        <v>4.4999999999999999E-4</v>
      </c>
      <c r="BL21" s="194">
        <v>1.4999999999999999E-4</v>
      </c>
      <c r="BM21" s="194">
        <v>1.4999999999999999E-4</v>
      </c>
      <c r="BN21" s="194">
        <v>1.4999999999999999E-4</v>
      </c>
      <c r="BO21" s="194">
        <v>1.4999999999999999E-4</v>
      </c>
      <c r="BP21" s="194">
        <v>1.4999999999999999E-4</v>
      </c>
      <c r="BQ21" s="194">
        <v>1.4999999999999999E-4</v>
      </c>
      <c r="BR21" s="194">
        <v>1.4999999999999999E-4</v>
      </c>
      <c r="BS21" s="194">
        <v>1.4999999999999999E-4</v>
      </c>
      <c r="BU21" s="156">
        <v>22</v>
      </c>
      <c r="BV21" s="18"/>
      <c r="BW21" s="18"/>
      <c r="CO21" s="181">
        <v>18</v>
      </c>
      <c r="CP21" s="80">
        <f>IF(ParamSex="Male",'Growth Params'!$F$8+CO21*'Growth Params'!$F$9/('Growth Params'!$F$10+CO21)+'Growth Params'!$F$11/(1+'Growth Params'!$F$12*EXP(-'Growth Params'!$F$13*'Growth Params'!$F$11*CO21)),'Growth Params'!$E$8+CO21*'Growth Params'!$E$9/('Growth Params'!$E$10+CO21)+'Growth Params'!$E$11/(1+'Growth Params'!$E$12*EXP(-'Growth Params'!$E$13*'Growth Params'!$E$11*CO21)))</f>
        <v>55.549843248108552</v>
      </c>
    </row>
    <row r="22" spans="1:94" ht="18" x14ac:dyDescent="0.4">
      <c r="A22" t="str">
        <f t="shared" si="4"/>
        <v>Defalt</v>
      </c>
      <c r="B22" s="19" t="s">
        <v>46</v>
      </c>
      <c r="C22" s="19" t="s">
        <v>51</v>
      </c>
      <c r="D22" s="19">
        <f t="shared" si="2"/>
        <v>1</v>
      </c>
      <c r="E22" s="19">
        <f>'Time Ind Phys Params'!E9</f>
        <v>0.32</v>
      </c>
      <c r="F22" s="19"/>
      <c r="G22" s="19"/>
      <c r="H22" s="19"/>
      <c r="I22" s="19"/>
      <c r="J22" s="19"/>
      <c r="K22" s="19"/>
      <c r="L22" s="19"/>
      <c r="M22" s="19"/>
      <c r="N22" s="19"/>
      <c r="O22" s="19"/>
      <c r="P22" s="19"/>
      <c r="Q22" s="19"/>
      <c r="R22" s="19"/>
      <c r="S22" s="19"/>
      <c r="T22" s="19"/>
      <c r="U22" s="19"/>
      <c r="V22" s="19"/>
      <c r="W22" s="19"/>
      <c r="X22" s="19"/>
      <c r="Y22" s="19"/>
      <c r="Z22" s="19"/>
      <c r="AA22" s="19"/>
      <c r="AB22" s="19"/>
      <c r="AC22" s="19"/>
      <c r="BI22" s="194">
        <v>8.3449999999999996E-2</v>
      </c>
      <c r="BJ22" s="194">
        <v>8.3449999999999996E-2</v>
      </c>
      <c r="BK22" s="194">
        <v>8.3449999999999996E-2</v>
      </c>
      <c r="BL22" s="194">
        <v>8.3750000000000005E-2</v>
      </c>
      <c r="BM22" s="194">
        <v>8.3750000000000005E-2</v>
      </c>
      <c r="BN22" s="194">
        <v>8.3750000000000005E-2</v>
      </c>
      <c r="BO22" s="194">
        <v>8.8749999999999996E-2</v>
      </c>
      <c r="BP22" s="194">
        <v>8.8749999999999996E-2</v>
      </c>
      <c r="BQ22" s="194">
        <v>8.8749999999999996E-2</v>
      </c>
      <c r="BR22" s="194">
        <v>8.8749999999999996E-2</v>
      </c>
      <c r="BS22" s="194">
        <v>8.8749999999999996E-2</v>
      </c>
      <c r="BU22" s="156">
        <v>0.01</v>
      </c>
      <c r="BV22" s="18"/>
      <c r="BW22" s="18"/>
      <c r="CO22" s="181">
        <v>19</v>
      </c>
      <c r="CP22" s="80">
        <f>IF(ParamSex="Male",'Growth Params'!$F$8+CO22*'Growth Params'!$F$9/('Growth Params'!$F$10+CO22)+'Growth Params'!$F$11/(1+'Growth Params'!$F$12*EXP(-'Growth Params'!$F$13*'Growth Params'!$F$11*CO22)),'Growth Params'!$E$8+CO22*'Growth Params'!$E$9/('Growth Params'!$E$10+CO22)+'Growth Params'!$E$11/(1+'Growth Params'!$E$12*EXP(-'Growth Params'!$E$13*'Growth Params'!$E$11*CO22)))</f>
        <v>55.956600625713449</v>
      </c>
    </row>
    <row r="23" spans="1:94" ht="18" x14ac:dyDescent="0.4">
      <c r="A23" t="str">
        <f t="shared" si="4"/>
        <v>Defalt</v>
      </c>
      <c r="B23" s="19" t="s">
        <v>46</v>
      </c>
      <c r="C23" s="19" t="s">
        <v>52</v>
      </c>
      <c r="D23" s="19">
        <f t="shared" si="2"/>
        <v>1</v>
      </c>
      <c r="E23" s="19">
        <f>'Time Ind Phys Params'!E10</f>
        <v>4.4999999999999998E-2</v>
      </c>
      <c r="F23" s="19"/>
      <c r="G23" s="19"/>
      <c r="H23" s="19"/>
      <c r="I23" s="19"/>
      <c r="J23" s="19"/>
      <c r="K23" s="19"/>
      <c r="L23" s="19"/>
      <c r="M23" s="19"/>
      <c r="N23" s="19"/>
      <c r="O23" s="19"/>
      <c r="P23" s="19"/>
      <c r="Q23" s="19"/>
      <c r="R23" s="19"/>
      <c r="S23" s="19"/>
      <c r="T23" s="19"/>
      <c r="U23" s="19"/>
      <c r="V23" s="19"/>
      <c r="W23" s="19"/>
      <c r="X23" s="19"/>
      <c r="Y23" s="19"/>
      <c r="Z23" s="19"/>
      <c r="AA23" s="19"/>
      <c r="AB23" s="19"/>
      <c r="AC23" s="19"/>
      <c r="BI23" s="194">
        <v>0.01</v>
      </c>
      <c r="BJ23" s="194">
        <v>0.01</v>
      </c>
      <c r="BK23" s="194">
        <v>0.01</v>
      </c>
      <c r="BL23" s="194">
        <v>0.01</v>
      </c>
      <c r="BM23" s="194">
        <v>0.01</v>
      </c>
      <c r="BN23" s="194">
        <v>0.01</v>
      </c>
      <c r="BO23" s="194">
        <v>5.0000000000000001E-3</v>
      </c>
      <c r="BP23" s="194">
        <v>5.0000000000000001E-3</v>
      </c>
      <c r="BQ23" s="194">
        <v>5.0000000000000001E-3</v>
      </c>
      <c r="BR23" s="194">
        <v>5.0000000000000001E-3</v>
      </c>
      <c r="BS23" s="194">
        <v>5.0000000000000001E-3</v>
      </c>
      <c r="BU23" s="156">
        <v>0.13900000000000001</v>
      </c>
      <c r="BV23" s="18"/>
      <c r="BW23" s="18"/>
      <c r="CO23" s="181">
        <v>20</v>
      </c>
      <c r="CP23" s="80">
        <f>IF(ParamSex="Male",'Growth Params'!$F$8+CO23*'Growth Params'!$F$9/('Growth Params'!$F$10+CO23)+'Growth Params'!$F$11/(1+'Growth Params'!$F$12*EXP(-'Growth Params'!$F$13*'Growth Params'!$F$11*CO23)),'Growth Params'!$E$8+CO23*'Growth Params'!$E$9/('Growth Params'!$E$10+CO23)+'Growth Params'!$E$11/(1+'Growth Params'!$E$12*EXP(-'Growth Params'!$E$13*'Growth Params'!$E$11*CO23)))</f>
        <v>56.236923139553426</v>
      </c>
    </row>
    <row r="24" spans="1:94" ht="18" x14ac:dyDescent="0.4">
      <c r="A24" t="str">
        <f t="shared" si="4"/>
        <v>Defalt</v>
      </c>
      <c r="B24" s="19" t="s">
        <v>46</v>
      </c>
      <c r="C24" s="19" t="s">
        <v>53</v>
      </c>
      <c r="D24" s="19">
        <f t="shared" si="2"/>
        <v>1</v>
      </c>
      <c r="E24" s="19">
        <f>'Time Ind Phys Params'!E11</f>
        <v>0.85</v>
      </c>
      <c r="F24" s="19"/>
      <c r="G24" s="19"/>
      <c r="H24" s="19"/>
      <c r="I24" s="19"/>
      <c r="J24" s="19"/>
      <c r="K24" s="19"/>
      <c r="L24" s="19"/>
      <c r="M24" s="19"/>
      <c r="N24" s="19"/>
      <c r="O24" s="19"/>
      <c r="P24" s="19"/>
      <c r="Q24" s="19"/>
      <c r="R24" s="19"/>
      <c r="S24" s="19"/>
      <c r="T24" s="19"/>
      <c r="U24" s="19"/>
      <c r="V24" s="19"/>
      <c r="W24" s="19"/>
      <c r="X24" s="19"/>
      <c r="Y24" s="19"/>
      <c r="Z24" s="19"/>
      <c r="AA24" s="19"/>
      <c r="AB24" s="19"/>
      <c r="AC24" s="19"/>
      <c r="BI24" s="194">
        <v>1E-3</v>
      </c>
      <c r="BJ24" s="194">
        <v>1E-3</v>
      </c>
      <c r="BK24" s="194">
        <v>1E-3</v>
      </c>
      <c r="BL24" s="194">
        <v>1E-3</v>
      </c>
      <c r="BM24" s="194">
        <v>1E-3</v>
      </c>
      <c r="BN24" s="194">
        <v>1E-3</v>
      </c>
      <c r="BO24" s="194">
        <v>1E-3</v>
      </c>
      <c r="BP24" s="194">
        <v>1E-3</v>
      </c>
      <c r="BQ24" s="194">
        <v>1E-3</v>
      </c>
      <c r="BR24" s="194">
        <v>1E-3</v>
      </c>
      <c r="BS24" s="194">
        <v>1E-3</v>
      </c>
      <c r="BU24" s="156">
        <v>1</v>
      </c>
      <c r="BV24" s="18"/>
      <c r="BW24" s="18"/>
      <c r="CO24" s="181">
        <v>21</v>
      </c>
      <c r="CP24" s="80">
        <f>IF(ParamSex="Male",'Growth Params'!$F$8+CO24*'Growth Params'!$F$9/('Growth Params'!$F$10+CO24)+'Growth Params'!$F$11/(1+'Growth Params'!$F$12*EXP(-'Growth Params'!$F$13*'Growth Params'!$F$11*CO24)),'Growth Params'!$E$8+CO24*'Growth Params'!$E$9/('Growth Params'!$E$10+CO24)+'Growth Params'!$E$11/(1+'Growth Params'!$E$12*EXP(-'Growth Params'!$E$13*'Growth Params'!$E$11*CO24)))</f>
        <v>56.441164314223386</v>
      </c>
    </row>
    <row r="25" spans="1:94" ht="18" x14ac:dyDescent="0.4">
      <c r="A25" t="str">
        <f t="shared" si="4"/>
        <v>Defalt</v>
      </c>
      <c r="B25" s="19" t="s">
        <v>46</v>
      </c>
      <c r="C25" s="19" t="s">
        <v>54</v>
      </c>
      <c r="D25" s="19">
        <f t="shared" si="2"/>
        <v>1</v>
      </c>
      <c r="E25" s="19">
        <f>'Time Ind Phys Params'!E12</f>
        <v>4000</v>
      </c>
      <c r="F25" s="19"/>
      <c r="G25" s="19"/>
      <c r="H25" s="19"/>
      <c r="I25" s="19"/>
      <c r="J25" s="19"/>
      <c r="K25" s="19"/>
      <c r="L25" s="19"/>
      <c r="M25" s="19"/>
      <c r="N25" s="19"/>
      <c r="O25" s="19"/>
      <c r="P25" s="19"/>
      <c r="Q25" s="19"/>
      <c r="R25" s="19"/>
      <c r="S25" s="19"/>
      <c r="T25" s="19"/>
      <c r="U25" s="19"/>
      <c r="V25" s="19"/>
      <c r="W25" s="19"/>
      <c r="X25" s="19"/>
      <c r="Y25" s="19"/>
      <c r="Z25" s="19"/>
      <c r="AA25" s="19"/>
      <c r="AB25" s="19"/>
      <c r="AC25" s="19"/>
      <c r="BU25" s="156">
        <v>6.93E-2</v>
      </c>
      <c r="BV25" s="18"/>
      <c r="BW25" s="18"/>
      <c r="CO25" s="181">
        <v>22</v>
      </c>
      <c r="CP25" s="80">
        <f>IF(ParamSex="Male",'Growth Params'!$F$8+CO25*'Growth Params'!$F$9/('Growth Params'!$F$10+CO25)+'Growth Params'!$F$11/(1+'Growth Params'!$F$12*EXP(-'Growth Params'!$F$13*'Growth Params'!$F$11*CO25)),'Growth Params'!$E$8+CO25*'Growth Params'!$E$9/('Growth Params'!$E$10+CO25)+'Growth Params'!$E$11/(1+'Growth Params'!$E$12*EXP(-'Growth Params'!$E$13*'Growth Params'!$E$11*CO25)))</f>
        <v>56.598855160839975</v>
      </c>
    </row>
    <row r="26" spans="1:94" ht="18" x14ac:dyDescent="0.4">
      <c r="A26" t="str">
        <f t="shared" si="4"/>
        <v>Defalt</v>
      </c>
      <c r="B26" s="19" t="s">
        <v>46</v>
      </c>
      <c r="C26" s="19" t="s">
        <v>55</v>
      </c>
      <c r="D26" s="19">
        <f t="shared" si="2"/>
        <v>1</v>
      </c>
      <c r="E26" s="19">
        <f>'Time Ind Phys Params'!E13</f>
        <v>0.45</v>
      </c>
      <c r="F26" s="19"/>
      <c r="G26" s="19"/>
      <c r="H26" s="19"/>
      <c r="I26" s="19"/>
      <c r="J26" s="19"/>
      <c r="K26" s="19"/>
      <c r="L26" s="19"/>
      <c r="M26" s="19"/>
      <c r="N26" s="19"/>
      <c r="O26" s="19"/>
      <c r="P26" s="19"/>
      <c r="Q26" s="19"/>
      <c r="R26" s="19"/>
      <c r="S26" s="19"/>
      <c r="T26" s="19"/>
      <c r="U26" s="19"/>
      <c r="V26" s="19"/>
      <c r="W26" s="19"/>
      <c r="X26" s="19"/>
      <c r="Y26" s="19"/>
      <c r="Z26" s="19"/>
      <c r="AA26" s="19"/>
      <c r="AB26" s="19"/>
      <c r="AC26" s="19"/>
      <c r="BU26" s="156">
        <v>2000</v>
      </c>
      <c r="BV26" s="18"/>
      <c r="BW26" s="18"/>
      <c r="CO26" s="181">
        <v>23</v>
      </c>
      <c r="CP26" s="80">
        <f>IF(ParamSex="Male",'Growth Params'!$F$8+CO26*'Growth Params'!$F$9/('Growth Params'!$F$10+CO26)+'Growth Params'!$F$11/(1+'Growth Params'!$F$12*EXP(-'Growth Params'!$F$13*'Growth Params'!$F$11*CO26)),'Growth Params'!$E$8+CO26*'Growth Params'!$E$9/('Growth Params'!$E$10+CO26)+'Growth Params'!$E$11/(1+'Growth Params'!$E$12*EXP(-'Growth Params'!$E$13*'Growth Params'!$E$11*CO26)))</f>
        <v>56.727207925314133</v>
      </c>
    </row>
    <row r="27" spans="1:94" ht="18" x14ac:dyDescent="0.4">
      <c r="A27" t="str">
        <f t="shared" si="4"/>
        <v>Defalt</v>
      </c>
      <c r="B27" s="19" t="s">
        <v>46</v>
      </c>
      <c r="C27" s="19" t="s">
        <v>56</v>
      </c>
      <c r="D27" s="19">
        <f t="shared" si="2"/>
        <v>1</v>
      </c>
      <c r="E27" s="19">
        <f>'Time Ind Phys Params'!E14</f>
        <v>0.1</v>
      </c>
      <c r="F27" s="19"/>
      <c r="G27" s="19"/>
      <c r="H27" s="19"/>
      <c r="I27" s="19"/>
      <c r="J27" s="19"/>
      <c r="K27" s="19"/>
      <c r="L27" s="19"/>
      <c r="M27" s="19"/>
      <c r="N27" s="19"/>
      <c r="O27" s="19"/>
      <c r="P27" s="19"/>
      <c r="Q27" s="19"/>
      <c r="R27" s="19"/>
      <c r="S27" s="19"/>
      <c r="T27" s="19"/>
      <c r="U27" s="19"/>
      <c r="V27" s="19"/>
      <c r="W27" s="19"/>
      <c r="X27" s="19"/>
      <c r="Y27" s="19"/>
      <c r="Z27" s="19"/>
      <c r="AA27" s="19"/>
      <c r="AB27" s="19"/>
      <c r="AC27" s="19"/>
      <c r="BU27" s="156">
        <v>0.13900000000000001</v>
      </c>
      <c r="BV27" s="18"/>
      <c r="BW27" s="18"/>
      <c r="CO27" s="181">
        <v>24</v>
      </c>
      <c r="CP27" s="80">
        <f>IF(ParamSex="Male",'Growth Params'!$F$8+CO27*'Growth Params'!$F$9/('Growth Params'!$F$10+CO27)+'Growth Params'!$F$11/(1+'Growth Params'!$F$12*EXP(-'Growth Params'!$F$13*'Growth Params'!$F$11*CO27)),'Growth Params'!$E$8+CO27*'Growth Params'!$E$9/('Growth Params'!$E$10+CO27)+'Growth Params'!$E$11/(1+'Growth Params'!$E$12*EXP(-'Growth Params'!$E$13*'Growth Params'!$E$11*CO27)))</f>
        <v>56.836286921919296</v>
      </c>
    </row>
    <row r="28" spans="1:94" ht="18" x14ac:dyDescent="0.4">
      <c r="A28" t="str">
        <f t="shared" si="4"/>
        <v>Defalt</v>
      </c>
      <c r="B28" s="19" t="s">
        <v>46</v>
      </c>
      <c r="C28" s="19" t="s">
        <v>57</v>
      </c>
      <c r="D28" s="19">
        <f t="shared" si="2"/>
        <v>1</v>
      </c>
      <c r="E28" s="19">
        <f>'Time Ind Phys Params'!E15</f>
        <v>0.45</v>
      </c>
      <c r="F28" s="19"/>
      <c r="G28" s="19"/>
      <c r="H28" s="19"/>
      <c r="I28" s="19"/>
      <c r="J28" s="19"/>
      <c r="K28" s="19"/>
      <c r="L28" s="19"/>
      <c r="M28" s="19"/>
      <c r="N28" s="19"/>
      <c r="O28" s="19"/>
      <c r="P28" s="19"/>
      <c r="Q28" s="19"/>
      <c r="R28" s="19"/>
      <c r="S28" s="19"/>
      <c r="T28" s="19"/>
      <c r="U28" s="19"/>
      <c r="V28" s="19"/>
      <c r="W28" s="19"/>
      <c r="X28" s="19"/>
      <c r="Y28" s="19"/>
      <c r="Z28" s="19"/>
      <c r="AA28" s="19"/>
      <c r="AB28" s="19"/>
      <c r="AC28" s="19"/>
      <c r="BU28" s="156">
        <v>6</v>
      </c>
      <c r="BV28" s="18"/>
      <c r="BW28" s="18"/>
      <c r="CO28" s="181">
        <v>25</v>
      </c>
      <c r="CP28" s="80">
        <f>IF(ParamSex="Male",'Growth Params'!$F$8+CO28*'Growth Params'!$F$9/('Growth Params'!$F$10+CO28)+'Growth Params'!$F$11/(1+'Growth Params'!$F$12*EXP(-'Growth Params'!$F$13*'Growth Params'!$F$11*CO28)),'Growth Params'!$E$8+CO28*'Growth Params'!$E$9/('Growth Params'!$E$10+CO28)+'Growth Params'!$E$11/(1+'Growth Params'!$E$12*EXP(-'Growth Params'!$E$13*'Growth Params'!$E$11*CO28)))</f>
        <v>56.932044377801944</v>
      </c>
    </row>
    <row r="29" spans="1:94" ht="18" x14ac:dyDescent="0.4">
      <c r="A29" t="str">
        <f>IF(E29=BU14,"Defalt","Changed")</f>
        <v>Defalt</v>
      </c>
      <c r="B29" s="19" t="s">
        <v>46</v>
      </c>
      <c r="C29" s="19" t="s">
        <v>58</v>
      </c>
      <c r="D29" s="19">
        <f t="shared" si="2"/>
        <v>1</v>
      </c>
      <c r="E29" s="19">
        <f>'Time Ind Phys Params'!E18</f>
        <v>5.5E-2</v>
      </c>
      <c r="F29" s="19"/>
      <c r="G29" s="19"/>
      <c r="H29" s="19"/>
      <c r="I29" s="19"/>
      <c r="J29" s="19"/>
      <c r="K29" s="19"/>
      <c r="L29" s="19"/>
      <c r="M29" s="19"/>
      <c r="N29" s="19"/>
      <c r="O29" s="19"/>
      <c r="P29" s="19"/>
      <c r="Q29" s="19"/>
      <c r="R29" s="19"/>
      <c r="S29" s="19"/>
      <c r="T29" s="19"/>
      <c r="U29" s="19"/>
      <c r="V29" s="19"/>
      <c r="W29" s="19"/>
      <c r="X29" s="19"/>
      <c r="Y29" s="19"/>
      <c r="Z29" s="19"/>
      <c r="AA29" s="19"/>
      <c r="AB29" s="19"/>
      <c r="AC29" s="19"/>
      <c r="BU29" s="156">
        <v>2.0790000000000002</v>
      </c>
      <c r="BV29" s="18"/>
      <c r="BW29" s="18"/>
      <c r="CO29" s="181">
        <v>26</v>
      </c>
      <c r="CP29" s="80">
        <f>IF(ParamSex="Male",'Growth Params'!$F$8+CO29*'Growth Params'!$F$9/('Growth Params'!$F$10+CO29)+'Growth Params'!$F$11/(1+'Growth Params'!$F$12*EXP(-'Growth Params'!$F$13*'Growth Params'!$F$11*CO29)),'Growth Params'!$E$8+CO29*'Growth Params'!$E$9/('Growth Params'!$E$10+CO29)+'Growth Params'!$E$11/(1+'Growth Params'!$E$12*EXP(-'Growth Params'!$E$13*'Growth Params'!$E$11*CO29)))</f>
        <v>57.018070914336477</v>
      </c>
    </row>
    <row r="30" spans="1:94" ht="18" x14ac:dyDescent="0.4">
      <c r="A30" t="str">
        <f t="shared" ref="A30:A52" si="5">IF(E30=BU15,"Defalt","Changed")</f>
        <v>Defalt</v>
      </c>
      <c r="B30" s="19" t="s">
        <v>46</v>
      </c>
      <c r="C30" s="19" t="s">
        <v>59</v>
      </c>
      <c r="D30" s="19">
        <f t="shared" si="2"/>
        <v>1</v>
      </c>
      <c r="E30" s="19">
        <f>'Time Ind Phys Params'!E19</f>
        <v>1</v>
      </c>
      <c r="F30" s="19"/>
      <c r="G30" s="19"/>
      <c r="H30" s="19"/>
      <c r="I30" s="19"/>
      <c r="J30" s="19"/>
      <c r="K30" s="19"/>
      <c r="L30" s="19"/>
      <c r="M30" s="19"/>
      <c r="N30" s="19"/>
      <c r="O30" s="19"/>
      <c r="P30" s="19"/>
      <c r="Q30" s="19"/>
      <c r="R30" s="19"/>
      <c r="S30" s="19"/>
      <c r="T30" s="19"/>
      <c r="U30" s="19"/>
      <c r="V30" s="19"/>
      <c r="W30" s="19"/>
      <c r="X30" s="19"/>
      <c r="Y30" s="19"/>
      <c r="Z30" s="19"/>
      <c r="AA30" s="19"/>
      <c r="AB30" s="19"/>
      <c r="AC30" s="19"/>
      <c r="BU30" s="156">
        <v>6.9300000000000004E-3</v>
      </c>
      <c r="BV30" s="18"/>
      <c r="BW30" s="18"/>
      <c r="CO30" s="181">
        <v>27</v>
      </c>
      <c r="CP30" s="80">
        <f>IF(ParamSex="Male",'Growth Params'!$F$8+CO30*'Growth Params'!$F$9/('Growth Params'!$F$10+CO30)+'Growth Params'!$F$11/(1+'Growth Params'!$F$12*EXP(-'Growth Params'!$F$13*'Growth Params'!$F$11*CO30)),'Growth Params'!$E$8+CO30*'Growth Params'!$E$9/('Growth Params'!$E$10+CO30)+'Growth Params'!$E$11/(1+'Growth Params'!$E$12*EXP(-'Growth Params'!$E$13*'Growth Params'!$E$11*CO30)))</f>
        <v>57.096596019994934</v>
      </c>
    </row>
    <row r="31" spans="1:94" ht="18" x14ac:dyDescent="0.4">
      <c r="A31" t="str">
        <f t="shared" si="5"/>
        <v>Defalt</v>
      </c>
      <c r="B31" s="19" t="s">
        <v>46</v>
      </c>
      <c r="C31" s="19" t="s">
        <v>60</v>
      </c>
      <c r="D31" s="19">
        <f t="shared" si="2"/>
        <v>1</v>
      </c>
      <c r="E31" s="19">
        <f>'Time Ind Phys Params'!E20</f>
        <v>310</v>
      </c>
      <c r="F31" s="19"/>
      <c r="G31" s="19"/>
      <c r="H31" s="19"/>
      <c r="I31" s="19"/>
      <c r="J31" s="19"/>
      <c r="K31" s="19"/>
      <c r="L31" s="19"/>
      <c r="M31" s="19"/>
      <c r="N31" s="19"/>
      <c r="O31" s="19"/>
      <c r="P31" s="19"/>
      <c r="Q31" s="19"/>
      <c r="R31" s="19"/>
      <c r="S31" s="19"/>
      <c r="T31" s="19"/>
      <c r="U31" s="19"/>
      <c r="V31" s="19"/>
      <c r="W31" s="19"/>
      <c r="X31" s="19"/>
      <c r="Y31" s="19"/>
      <c r="Z31" s="19"/>
      <c r="AA31" s="19"/>
      <c r="AB31" s="19"/>
      <c r="AC31" s="19"/>
      <c r="BU31" s="156">
        <v>3.8000000000000002E-4</v>
      </c>
      <c r="BV31" s="18"/>
      <c r="BW31" s="18"/>
      <c r="CO31" s="181">
        <v>28</v>
      </c>
      <c r="CP31" s="80">
        <f>IF(ParamSex="Male",'Growth Params'!$F$8+CO31*'Growth Params'!$F$9/('Growth Params'!$F$10+CO31)+'Growth Params'!$F$11/(1+'Growth Params'!$F$12*EXP(-'Growth Params'!$F$13*'Growth Params'!$F$11*CO31)),'Growth Params'!$E$8+CO31*'Growth Params'!$E$9/('Growth Params'!$E$10+CO31)+'Growth Params'!$E$11/(1+'Growth Params'!$E$12*EXP(-'Growth Params'!$E$13*'Growth Params'!$E$11*CO31)))</f>
        <v>57.169057959576925</v>
      </c>
    </row>
    <row r="32" spans="1:94" ht="18" x14ac:dyDescent="0.4">
      <c r="A32" t="str">
        <f t="shared" si="5"/>
        <v>Defalt</v>
      </c>
      <c r="B32" s="19" t="s">
        <v>46</v>
      </c>
      <c r="C32" s="19" t="s">
        <v>61</v>
      </c>
      <c r="D32" s="19">
        <f t="shared" si="2"/>
        <v>1</v>
      </c>
      <c r="E32" s="19">
        <f>'Time Ind Phys Params'!E21</f>
        <v>30</v>
      </c>
      <c r="F32" s="19"/>
      <c r="G32" s="19"/>
      <c r="H32" s="19"/>
      <c r="I32" s="19"/>
      <c r="J32" s="19"/>
      <c r="K32" s="19"/>
      <c r="L32" s="19"/>
      <c r="M32" s="19"/>
      <c r="N32" s="19"/>
      <c r="O32" s="19"/>
      <c r="P32" s="19"/>
      <c r="Q32" s="19"/>
      <c r="R32" s="19"/>
      <c r="S32" s="19"/>
      <c r="T32" s="19"/>
      <c r="U32" s="19"/>
      <c r="V32" s="19"/>
      <c r="W32" s="19"/>
      <c r="X32" s="19"/>
      <c r="Y32" s="19"/>
      <c r="Z32" s="19"/>
      <c r="AA32" s="19"/>
      <c r="AB32" s="19"/>
      <c r="AC32" s="19"/>
      <c r="BU32" s="156">
        <v>24</v>
      </c>
      <c r="BV32" s="18"/>
      <c r="BW32" s="18"/>
      <c r="CO32" s="181">
        <v>29</v>
      </c>
      <c r="CP32" s="80">
        <f>IF(ParamSex="Male",'Growth Params'!$F$8+CO32*'Growth Params'!$F$9/('Growth Params'!$F$10+CO32)+'Growth Params'!$F$11/(1+'Growth Params'!$F$12*EXP(-'Growth Params'!$F$13*'Growth Params'!$F$11*CO32)),'Growth Params'!$E$8+CO32*'Growth Params'!$E$9/('Growth Params'!$E$10+CO32)+'Growth Params'!$E$11/(1+'Growth Params'!$E$12*EXP(-'Growth Params'!$E$13*'Growth Params'!$E$11*CO32)))</f>
        <v>57.236428548849517</v>
      </c>
    </row>
    <row r="33" spans="1:94" ht="18" x14ac:dyDescent="0.4">
      <c r="A33" t="str">
        <f t="shared" si="5"/>
        <v>Defalt</v>
      </c>
      <c r="B33" s="19" t="s">
        <v>46</v>
      </c>
      <c r="C33" s="19" t="s">
        <v>62</v>
      </c>
      <c r="D33" s="19">
        <f t="shared" si="2"/>
        <v>1</v>
      </c>
      <c r="E33" s="19">
        <f>'Time Ind Phys Params'!E22</f>
        <v>1.5</v>
      </c>
      <c r="F33" s="19"/>
      <c r="G33" s="19"/>
      <c r="H33" s="19"/>
      <c r="I33" s="19"/>
      <c r="J33" s="19"/>
      <c r="K33" s="19"/>
      <c r="L33" s="19"/>
      <c r="M33" s="19"/>
      <c r="N33" s="19"/>
      <c r="O33" s="19"/>
      <c r="P33" s="19"/>
      <c r="Q33" s="19"/>
      <c r="R33" s="19"/>
      <c r="S33" s="19"/>
      <c r="T33" s="19"/>
      <c r="U33" s="19"/>
      <c r="V33" s="19"/>
      <c r="W33" s="19"/>
      <c r="X33" s="19"/>
      <c r="Y33" s="19"/>
      <c r="Z33" s="19"/>
      <c r="AA33" s="19"/>
      <c r="AB33" s="19"/>
      <c r="AC33" s="19"/>
      <c r="BU33" s="156">
        <v>1.85</v>
      </c>
      <c r="BV33" s="18"/>
      <c r="BW33" s="18"/>
      <c r="CO33" s="181">
        <v>30</v>
      </c>
      <c r="CP33" s="80">
        <f>IF(ParamSex="Male",'Growth Params'!$F$8+CO33*'Growth Params'!$F$9/('Growth Params'!$F$10+CO33)+'Growth Params'!$F$11/(1+'Growth Params'!$F$12*EXP(-'Growth Params'!$F$13*'Growth Params'!$F$11*CO33)),'Growth Params'!$E$8+CO33*'Growth Params'!$E$9/('Growth Params'!$E$10+CO33)+'Growth Params'!$E$11/(1+'Growth Params'!$E$12*EXP(-'Growth Params'!$E$13*'Growth Params'!$E$11*CO33)))</f>
        <v>57.299398886927264</v>
      </c>
    </row>
    <row r="34" spans="1:94" ht="18" x14ac:dyDescent="0.4">
      <c r="A34" t="str">
        <f t="shared" si="5"/>
        <v>Defalt</v>
      </c>
      <c r="B34" s="19" t="s">
        <v>46</v>
      </c>
      <c r="C34" s="19" t="s">
        <v>63</v>
      </c>
      <c r="D34" s="19">
        <f t="shared" si="2"/>
        <v>1</v>
      </c>
      <c r="E34" s="19">
        <f>'Time Ind Phys Params'!E23</f>
        <v>7.0000000000000007E-2</v>
      </c>
      <c r="F34" s="19"/>
      <c r="G34" s="19"/>
      <c r="H34" s="19"/>
      <c r="I34" s="19"/>
      <c r="J34" s="19"/>
      <c r="K34" s="19"/>
      <c r="L34" s="19"/>
      <c r="M34" s="19"/>
      <c r="N34" s="19"/>
      <c r="O34" s="19"/>
      <c r="P34" s="19"/>
      <c r="Q34" s="19"/>
      <c r="R34" s="19"/>
      <c r="S34" s="19"/>
      <c r="T34" s="19"/>
      <c r="U34" s="19"/>
      <c r="V34" s="19"/>
      <c r="W34" s="19"/>
      <c r="X34" s="19"/>
      <c r="Y34" s="19"/>
      <c r="Z34" s="19"/>
      <c r="AA34" s="19"/>
      <c r="AB34" s="19"/>
      <c r="AC34" s="19"/>
      <c r="BU34" s="156">
        <v>0.4</v>
      </c>
      <c r="BV34" s="18"/>
      <c r="BW34" s="18"/>
      <c r="CO34" s="181">
        <v>31</v>
      </c>
      <c r="CP34" s="80">
        <f>IF(ParamSex="Male",'Growth Params'!$F$8+CO34*'Growth Params'!$F$9/('Growth Params'!$F$10+CO34)+'Growth Params'!$F$11/(1+'Growth Params'!$F$12*EXP(-'Growth Params'!$F$13*'Growth Params'!$F$11*CO34)),'Growth Params'!$E$8+CO34*'Growth Params'!$E$9/('Growth Params'!$E$10+CO34)+'Growth Params'!$E$11/(1+'Growth Params'!$E$12*EXP(-'Growth Params'!$E$13*'Growth Params'!$E$11*CO34)))</f>
        <v>57.358486290768852</v>
      </c>
    </row>
    <row r="35" spans="1:94" ht="18" x14ac:dyDescent="0.4">
      <c r="A35" t="str">
        <f t="shared" si="5"/>
        <v>Defalt</v>
      </c>
      <c r="B35" s="19" t="s">
        <v>46</v>
      </c>
      <c r="C35" s="19" t="s">
        <v>64</v>
      </c>
      <c r="D35" s="19">
        <f t="shared" si="2"/>
        <v>1</v>
      </c>
      <c r="E35" s="19">
        <f>'Time Ind Phys Params'!E24</f>
        <v>20</v>
      </c>
      <c r="F35" s="19"/>
      <c r="G35" s="19"/>
      <c r="H35" s="19"/>
      <c r="I35" s="19"/>
      <c r="J35" s="19"/>
      <c r="K35" s="19"/>
      <c r="L35" s="19"/>
      <c r="M35" s="19"/>
      <c r="N35" s="19"/>
      <c r="O35" s="19"/>
      <c r="P35" s="19"/>
      <c r="Q35" s="19"/>
      <c r="R35" s="19"/>
      <c r="S35" s="19"/>
      <c r="T35" s="19"/>
      <c r="U35" s="19"/>
      <c r="V35" s="19"/>
      <c r="W35" s="19"/>
      <c r="X35" s="19"/>
      <c r="Y35" s="19"/>
      <c r="Z35" s="19"/>
      <c r="AA35" s="19"/>
      <c r="AB35" s="19"/>
      <c r="AC35" s="19"/>
      <c r="BU35" s="156">
        <v>350</v>
      </c>
      <c r="BV35" s="18"/>
      <c r="BW35" s="18"/>
      <c r="CO35" s="181">
        <v>32</v>
      </c>
      <c r="CP35" s="80">
        <f>IF(ParamSex="Male",'Growth Params'!$F$8+CO35*'Growth Params'!$F$9/('Growth Params'!$F$10+CO35)+'Growth Params'!$F$11/(1+'Growth Params'!$F$12*EXP(-'Growth Params'!$F$13*'Growth Params'!$F$11*CO35)),'Growth Params'!$E$8+CO35*'Growth Params'!$E$9/('Growth Params'!$E$10+CO35)+'Growth Params'!$E$11/(1+'Growth Params'!$E$12*EXP(-'Growth Params'!$E$13*'Growth Params'!$E$11*CO35)))</f>
        <v>57.414096516079979</v>
      </c>
    </row>
    <row r="36" spans="1:94" ht="18" x14ac:dyDescent="0.4">
      <c r="A36" t="str">
        <f t="shared" si="5"/>
        <v>Defalt</v>
      </c>
      <c r="B36" s="19" t="s">
        <v>46</v>
      </c>
      <c r="C36" s="19" t="s">
        <v>65</v>
      </c>
      <c r="D36" s="19">
        <f t="shared" si="2"/>
        <v>1</v>
      </c>
      <c r="E36" s="19">
        <f>'Time Ind Phys Params'!E25</f>
        <v>22</v>
      </c>
      <c r="F36" s="19"/>
      <c r="G36" s="19"/>
      <c r="H36" s="19"/>
      <c r="I36" s="19"/>
      <c r="J36" s="19"/>
      <c r="K36" s="19"/>
      <c r="L36" s="19"/>
      <c r="M36" s="19"/>
      <c r="N36" s="19"/>
      <c r="O36" s="19"/>
      <c r="P36" s="19"/>
      <c r="Q36" s="19"/>
      <c r="R36" s="19"/>
      <c r="S36" s="19"/>
      <c r="T36" s="19"/>
      <c r="U36" s="19"/>
      <c r="V36" s="19"/>
      <c r="W36" s="19"/>
      <c r="X36" s="19"/>
      <c r="Y36" s="19"/>
      <c r="Z36" s="19"/>
      <c r="AA36" s="19"/>
      <c r="AB36" s="19"/>
      <c r="AC36" s="19"/>
      <c r="BU36" s="156">
        <v>3</v>
      </c>
      <c r="BV36" s="18"/>
      <c r="BW36" s="18"/>
      <c r="CO36" s="181">
        <v>33</v>
      </c>
      <c r="CP36" s="80">
        <f>IF(ParamSex="Male",'Growth Params'!$F$8+CO36*'Growth Params'!$F$9/('Growth Params'!$F$10+CO36)+'Growth Params'!$F$11/(1+'Growth Params'!$F$12*EXP(-'Growth Params'!$F$13*'Growth Params'!$F$11*CO36)),'Growth Params'!$E$8+CO36*'Growth Params'!$E$9/('Growth Params'!$E$10+CO36)+'Growth Params'!$E$11/(1+'Growth Params'!$E$12*EXP(-'Growth Params'!$E$13*'Growth Params'!$E$11*CO36)))</f>
        <v>57.466560522565501</v>
      </c>
    </row>
    <row r="37" spans="1:94" ht="18" x14ac:dyDescent="0.4">
      <c r="A37" t="str">
        <f t="shared" si="5"/>
        <v>Defalt</v>
      </c>
      <c r="B37" s="19" t="s">
        <v>46</v>
      </c>
      <c r="C37" s="19" t="s">
        <v>66</v>
      </c>
      <c r="D37" s="19">
        <f t="shared" si="2"/>
        <v>1</v>
      </c>
      <c r="E37" s="19">
        <f>'Time Ind Phys Params'!E26</f>
        <v>0.01</v>
      </c>
      <c r="F37" s="19"/>
      <c r="G37" s="19"/>
      <c r="H37" s="19"/>
      <c r="I37" s="19"/>
      <c r="J37" s="19"/>
      <c r="K37" s="19"/>
      <c r="L37" s="19"/>
      <c r="M37" s="19"/>
      <c r="N37" s="19"/>
      <c r="O37" s="19"/>
      <c r="P37" s="19"/>
      <c r="Q37" s="19"/>
      <c r="R37" s="19"/>
      <c r="S37" s="19"/>
      <c r="T37" s="19"/>
      <c r="U37" s="19"/>
      <c r="V37" s="19"/>
      <c r="W37" s="19"/>
      <c r="X37" s="19"/>
      <c r="Y37" s="19"/>
      <c r="Z37" s="19"/>
      <c r="AA37" s="19"/>
      <c r="AB37" s="19"/>
      <c r="AC37" s="19"/>
      <c r="BU37" s="156">
        <v>0.5</v>
      </c>
      <c r="BV37" s="18"/>
      <c r="BW37" s="18"/>
      <c r="CO37" s="181">
        <v>34</v>
      </c>
      <c r="CP37" s="80">
        <f>IF(ParamSex="Male",'Growth Params'!$F$8+CO37*'Growth Params'!$F$9/('Growth Params'!$F$10+CO37)+'Growth Params'!$F$11/(1+'Growth Params'!$F$12*EXP(-'Growth Params'!$F$13*'Growth Params'!$F$11*CO37)),'Growth Params'!$E$8+CO37*'Growth Params'!$E$9/('Growth Params'!$E$10+CO37)+'Growth Params'!$E$11/(1+'Growth Params'!$E$12*EXP(-'Growth Params'!$E$13*'Growth Params'!$E$11*CO37)))</f>
        <v>57.516156667246989</v>
      </c>
    </row>
    <row r="38" spans="1:94" ht="18" x14ac:dyDescent="0.4">
      <c r="A38" t="str">
        <f t="shared" si="5"/>
        <v>Defalt</v>
      </c>
      <c r="B38" s="19" t="s">
        <v>46</v>
      </c>
      <c r="C38" s="19" t="s">
        <v>67</v>
      </c>
      <c r="D38" s="19">
        <f t="shared" si="2"/>
        <v>1</v>
      </c>
      <c r="E38" s="19">
        <f>'Time Ind Phys Params'!E27</f>
        <v>0.13900000000000001</v>
      </c>
      <c r="F38" s="19"/>
      <c r="G38" s="19"/>
      <c r="H38" s="19"/>
      <c r="I38" s="19"/>
      <c r="J38" s="19"/>
      <c r="K38" s="19"/>
      <c r="L38" s="19"/>
      <c r="M38" s="19"/>
      <c r="N38" s="19"/>
      <c r="O38" s="19"/>
      <c r="P38" s="19"/>
      <c r="Q38" s="19"/>
      <c r="R38" s="19"/>
      <c r="S38" s="19"/>
      <c r="T38" s="19"/>
      <c r="U38" s="19"/>
      <c r="V38" s="19"/>
      <c r="W38" s="19"/>
      <c r="X38" s="19"/>
      <c r="Y38" s="19"/>
      <c r="Z38" s="19"/>
      <c r="AA38" s="19"/>
      <c r="AB38" s="19"/>
      <c r="AC38" s="19"/>
      <c r="BU38" s="156">
        <v>0.08</v>
      </c>
      <c r="BV38" s="18"/>
      <c r="BW38" s="18"/>
      <c r="CO38" s="181">
        <v>35</v>
      </c>
      <c r="CP38" s="80">
        <f>IF(ParamSex="Male",'Growth Params'!$F$8+CO38*'Growth Params'!$F$9/('Growth Params'!$F$10+CO38)+'Growth Params'!$F$11/(1+'Growth Params'!$F$12*EXP(-'Growth Params'!$F$13*'Growth Params'!$F$11*CO38)),'Growth Params'!$E$8+CO38*'Growth Params'!$E$9/('Growth Params'!$E$10+CO38)+'Growth Params'!$E$11/(1+'Growth Params'!$E$12*EXP(-'Growth Params'!$E$13*'Growth Params'!$E$11*CO38)))</f>
        <v>57.563124486591093</v>
      </c>
    </row>
    <row r="39" spans="1:94" ht="18" x14ac:dyDescent="0.4">
      <c r="A39" t="str">
        <f t="shared" si="5"/>
        <v>Defalt</v>
      </c>
      <c r="B39" s="19" t="s">
        <v>46</v>
      </c>
      <c r="C39" s="19" t="s">
        <v>68</v>
      </c>
      <c r="D39" s="19">
        <f t="shared" si="2"/>
        <v>1</v>
      </c>
      <c r="E39" s="19">
        <f>'Time Ind Phys Params'!E28</f>
        <v>1</v>
      </c>
      <c r="F39" s="19"/>
      <c r="G39" s="19"/>
      <c r="H39" s="19"/>
      <c r="I39" s="19"/>
      <c r="J39" s="19"/>
      <c r="K39" s="19"/>
      <c r="L39" s="19"/>
      <c r="M39" s="19"/>
      <c r="N39" s="19"/>
      <c r="O39" s="19"/>
      <c r="P39" s="19"/>
      <c r="Q39" s="19"/>
      <c r="R39" s="19"/>
      <c r="S39" s="19"/>
      <c r="T39" s="19"/>
      <c r="U39" s="19"/>
      <c r="V39" s="19"/>
      <c r="W39" s="19"/>
      <c r="X39" s="19"/>
      <c r="Y39" s="19"/>
      <c r="Z39" s="19"/>
      <c r="AA39" s="19"/>
      <c r="AB39" s="19"/>
      <c r="AC39" s="19"/>
      <c r="BU39" s="156">
        <v>0.5</v>
      </c>
      <c r="BV39" s="18"/>
      <c r="BW39" s="18"/>
      <c r="CO39" s="181">
        <v>36</v>
      </c>
      <c r="CP39" s="80">
        <f>IF(ParamSex="Male",'Growth Params'!$F$8+CO39*'Growth Params'!$F$9/('Growth Params'!$F$10+CO39)+'Growth Params'!$F$11/(1+'Growth Params'!$F$12*EXP(-'Growth Params'!$F$13*'Growth Params'!$F$11*CO39)),'Growth Params'!$E$8+CO39*'Growth Params'!$E$9/('Growth Params'!$E$10+CO39)+'Growth Params'!$E$11/(1+'Growth Params'!$E$12*EXP(-'Growth Params'!$E$13*'Growth Params'!$E$11*CO39)))</f>
        <v>57.607673565070215</v>
      </c>
    </row>
    <row r="40" spans="1:94" ht="18" x14ac:dyDescent="0.4">
      <c r="A40" t="str">
        <f t="shared" si="5"/>
        <v>Defalt</v>
      </c>
      <c r="B40" s="19" t="s">
        <v>46</v>
      </c>
      <c r="C40" s="19" t="s">
        <v>69</v>
      </c>
      <c r="D40" s="19">
        <f t="shared" si="2"/>
        <v>1</v>
      </c>
      <c r="E40" s="19">
        <f>'Time Ind Phys Params'!E29</f>
        <v>6.93E-2</v>
      </c>
      <c r="F40" s="19"/>
      <c r="G40" s="19"/>
      <c r="H40" s="19"/>
      <c r="I40" s="19"/>
      <c r="J40" s="19"/>
      <c r="K40" s="19"/>
      <c r="L40" s="19"/>
      <c r="M40" s="19"/>
      <c r="N40" s="19"/>
      <c r="O40" s="19"/>
      <c r="P40" s="19"/>
      <c r="Q40" s="19"/>
      <c r="R40" s="19"/>
      <c r="S40" s="19"/>
      <c r="T40" s="19"/>
      <c r="U40" s="19"/>
      <c r="V40" s="19"/>
      <c r="W40" s="19"/>
      <c r="X40" s="19"/>
      <c r="Y40" s="19"/>
      <c r="Z40" s="19"/>
      <c r="AA40" s="19"/>
      <c r="AB40" s="19"/>
      <c r="AC40" s="19"/>
      <c r="BU40" s="156">
        <v>6.0000000000000001E-3</v>
      </c>
      <c r="BV40" s="18"/>
      <c r="BW40" s="18"/>
      <c r="CO40" s="181">
        <v>37</v>
      </c>
      <c r="CP40" s="80">
        <f>IF(ParamSex="Male",'Growth Params'!$F$8+CO40*'Growth Params'!$F$9/('Growth Params'!$F$10+CO40)+'Growth Params'!$F$11/(1+'Growth Params'!$F$12*EXP(-'Growth Params'!$F$13*'Growth Params'!$F$11*CO40)),'Growth Params'!$E$8+CO40*'Growth Params'!$E$9/('Growth Params'!$E$10+CO40)+'Growth Params'!$E$11/(1+'Growth Params'!$E$12*EXP(-'Growth Params'!$E$13*'Growth Params'!$E$11*CO40)))</f>
        <v>57.649989485025031</v>
      </c>
    </row>
    <row r="41" spans="1:94" ht="18" x14ac:dyDescent="0.4">
      <c r="A41" t="str">
        <f>IF(E41=BU26,"Defalt","Changed")</f>
        <v>Defalt</v>
      </c>
      <c r="B41" s="19" t="s">
        <v>46</v>
      </c>
      <c r="C41" s="19" t="s">
        <v>70</v>
      </c>
      <c r="D41" s="19">
        <f t="shared" si="2"/>
        <v>1</v>
      </c>
      <c r="E41" s="19">
        <f>'Time Ind Phys Params'!E30</f>
        <v>2000</v>
      </c>
      <c r="F41" s="19"/>
      <c r="G41" s="19"/>
      <c r="H41" s="19"/>
      <c r="I41" s="19"/>
      <c r="J41" s="19"/>
      <c r="K41" s="19"/>
      <c r="L41" s="19"/>
      <c r="M41" s="19"/>
      <c r="N41" s="19"/>
      <c r="O41" s="19"/>
      <c r="P41" s="19"/>
      <c r="Q41" s="19"/>
      <c r="R41" s="19"/>
      <c r="S41" s="19"/>
      <c r="T41" s="19"/>
      <c r="U41" s="19"/>
      <c r="V41" s="19"/>
      <c r="W41" s="19"/>
      <c r="X41" s="19"/>
      <c r="Y41" s="19"/>
      <c r="Z41" s="19"/>
      <c r="AA41" s="19"/>
      <c r="AB41" s="19"/>
      <c r="AC41" s="19"/>
      <c r="BU41" s="156">
        <v>2.5000000000000001E-2</v>
      </c>
      <c r="BV41" s="18"/>
      <c r="BW41" s="18"/>
      <c r="CO41" s="181">
        <v>38</v>
      </c>
      <c r="CP41" s="80">
        <f>IF(ParamSex="Male",'Growth Params'!$F$8+CO41*'Growth Params'!$F$9/('Growth Params'!$F$10+CO41)+'Growth Params'!$F$11/(1+'Growth Params'!$F$12*EXP(-'Growth Params'!$F$13*'Growth Params'!$F$11*CO41)),'Growth Params'!$E$8+CO41*'Growth Params'!$E$9/('Growth Params'!$E$10+CO41)+'Growth Params'!$E$11/(1+'Growth Params'!$E$12*EXP(-'Growth Params'!$E$13*'Growth Params'!$E$11*CO41)))</f>
        <v>57.6902380033345</v>
      </c>
    </row>
    <row r="42" spans="1:94" ht="18" x14ac:dyDescent="0.4">
      <c r="A42" t="str">
        <f t="shared" si="5"/>
        <v>Defalt</v>
      </c>
      <c r="B42" s="19" t="s">
        <v>46</v>
      </c>
      <c r="C42" s="19" t="s">
        <v>71</v>
      </c>
      <c r="D42" s="19">
        <f t="shared" ref="D42:D71" si="6">COUNT(E42:AC42)</f>
        <v>1</v>
      </c>
      <c r="E42" s="19">
        <f>'Time Ind Phys Params'!E31</f>
        <v>0.13900000000000001</v>
      </c>
      <c r="F42" s="19"/>
      <c r="G42" s="19"/>
      <c r="H42" s="19"/>
      <c r="I42" s="19"/>
      <c r="J42" s="19"/>
      <c r="K42" s="19"/>
      <c r="L42" s="19"/>
      <c r="M42" s="19"/>
      <c r="N42" s="19"/>
      <c r="O42" s="19"/>
      <c r="P42" s="19"/>
      <c r="Q42" s="19"/>
      <c r="R42" s="19"/>
      <c r="S42" s="19"/>
      <c r="T42" s="19"/>
      <c r="U42" s="19"/>
      <c r="V42" s="19"/>
      <c r="W42" s="19"/>
      <c r="X42" s="19"/>
      <c r="Y42" s="19"/>
      <c r="Z42" s="19"/>
      <c r="AA42" s="19"/>
      <c r="AB42" s="19"/>
      <c r="AC42" s="19"/>
      <c r="BU42" s="156">
        <v>4.0000000000000002E-4</v>
      </c>
      <c r="BV42" s="18"/>
      <c r="BW42" s="18"/>
      <c r="CO42" s="181">
        <v>39</v>
      </c>
      <c r="CP42" s="80">
        <f>IF(ParamSex="Male",'Growth Params'!$F$8+CO42*'Growth Params'!$F$9/('Growth Params'!$F$10+CO42)+'Growth Params'!$F$11/(1+'Growth Params'!$F$12*EXP(-'Growth Params'!$F$13*'Growth Params'!$F$11*CO42)),'Growth Params'!$E$8+CO42*'Growth Params'!$E$9/('Growth Params'!$E$10+CO42)+'Growth Params'!$E$11/(1+'Growth Params'!$E$12*EXP(-'Growth Params'!$E$13*'Growth Params'!$E$11*CO42)))</f>
        <v>57.72856811905978</v>
      </c>
    </row>
    <row r="43" spans="1:94" ht="18" x14ac:dyDescent="0.4">
      <c r="A43" t="str">
        <f t="shared" si="5"/>
        <v>Defalt</v>
      </c>
      <c r="B43" s="19" t="s">
        <v>46</v>
      </c>
      <c r="C43" s="19" t="s">
        <v>72</v>
      </c>
      <c r="D43" s="19">
        <f t="shared" si="6"/>
        <v>1</v>
      </c>
      <c r="E43" s="19">
        <f>'Time Ind Phys Params'!E32</f>
        <v>6</v>
      </c>
      <c r="F43" s="19"/>
      <c r="G43" s="19"/>
      <c r="H43" s="19"/>
      <c r="I43" s="19"/>
      <c r="J43" s="19"/>
      <c r="K43" s="19"/>
      <c r="L43" s="19"/>
      <c r="M43" s="19"/>
      <c r="N43" s="19"/>
      <c r="O43" s="19"/>
      <c r="P43" s="19"/>
      <c r="Q43" s="19"/>
      <c r="R43" s="19"/>
      <c r="S43" s="19"/>
      <c r="T43" s="19"/>
      <c r="U43" s="19"/>
      <c r="V43" s="19"/>
      <c r="W43" s="19"/>
      <c r="X43" s="19"/>
      <c r="Y43" s="19"/>
      <c r="Z43" s="19"/>
      <c r="AA43" s="19"/>
      <c r="AB43" s="19"/>
      <c r="AC43" s="19"/>
      <c r="BU43" s="156">
        <v>0.04</v>
      </c>
      <c r="BV43" s="18"/>
      <c r="BW43" s="18"/>
      <c r="CO43" s="181">
        <v>40</v>
      </c>
      <c r="CP43" s="80">
        <f>IF(ParamSex="Male",'Growth Params'!$F$8+CO43*'Growth Params'!$F$9/('Growth Params'!$F$10+CO43)+'Growth Params'!$F$11/(1+'Growth Params'!$F$12*EXP(-'Growth Params'!$F$13*'Growth Params'!$F$11*CO43)),'Growth Params'!$E$8+CO43*'Growth Params'!$E$9/('Growth Params'!$E$10+CO43)+'Growth Params'!$E$11/(1+'Growth Params'!$E$12*EXP(-'Growth Params'!$E$13*'Growth Params'!$E$11*CO43)))</f>
        <v>57.765114422369834</v>
      </c>
    </row>
    <row r="44" spans="1:94" ht="18" x14ac:dyDescent="0.4">
      <c r="A44" t="str">
        <f t="shared" si="5"/>
        <v>Defalt</v>
      </c>
      <c r="B44" s="19" t="s">
        <v>46</v>
      </c>
      <c r="C44" s="19" t="s">
        <v>73</v>
      </c>
      <c r="D44" s="19">
        <f t="shared" si="6"/>
        <v>1</v>
      </c>
      <c r="E44" s="19">
        <f>'Time Ind Phys Params'!E33</f>
        <v>2.0790000000000002</v>
      </c>
      <c r="F44" s="19"/>
      <c r="G44" s="19"/>
      <c r="H44" s="19"/>
      <c r="I44" s="19"/>
      <c r="J44" s="19"/>
      <c r="K44" s="19"/>
      <c r="L44" s="19"/>
      <c r="M44" s="19"/>
      <c r="N44" s="19"/>
      <c r="O44" s="19"/>
      <c r="P44" s="19"/>
      <c r="Q44" s="19"/>
      <c r="R44" s="19"/>
      <c r="S44" s="19"/>
      <c r="T44" s="19"/>
      <c r="U44" s="19"/>
      <c r="V44" s="19"/>
      <c r="W44" s="19"/>
      <c r="X44" s="19"/>
      <c r="Y44" s="19"/>
      <c r="Z44" s="19"/>
      <c r="AA44" s="19"/>
      <c r="AB44" s="19"/>
      <c r="AC44" s="19"/>
      <c r="BU44" s="156">
        <v>4.0000000000000002E-4</v>
      </c>
      <c r="BV44" s="18"/>
      <c r="BW44" s="18"/>
      <c r="CO44" s="181">
        <v>41</v>
      </c>
      <c r="CP44" s="80">
        <f>IF(ParamSex="Male",'Growth Params'!$F$8+CO44*'Growth Params'!$F$9/('Growth Params'!$F$10+CO44)+'Growth Params'!$F$11/(1+'Growth Params'!$F$12*EXP(-'Growth Params'!$F$13*'Growth Params'!$F$11*CO44)),'Growth Params'!$E$8+CO44*'Growth Params'!$E$9/('Growth Params'!$E$10+CO44)+'Growth Params'!$E$11/(1+'Growth Params'!$E$12*EXP(-'Growth Params'!$E$13*'Growth Params'!$E$11*CO44)))</f>
        <v>57.799998958355502</v>
      </c>
    </row>
    <row r="45" spans="1:94" ht="18" x14ac:dyDescent="0.4">
      <c r="A45" t="str">
        <f t="shared" si="5"/>
        <v>Defalt</v>
      </c>
      <c r="B45" s="19" t="s">
        <v>46</v>
      </c>
      <c r="C45" s="19" t="s">
        <v>74</v>
      </c>
      <c r="D45" s="19">
        <f t="shared" si="6"/>
        <v>1</v>
      </c>
      <c r="E45" s="19">
        <f>'Time Ind Phys Params'!E34</f>
        <v>6.9300000000000004E-3</v>
      </c>
      <c r="F45" s="19"/>
      <c r="G45" s="19"/>
      <c r="H45" s="19"/>
      <c r="I45" s="19"/>
      <c r="J45" s="19"/>
      <c r="K45" s="19"/>
      <c r="L45" s="19"/>
      <c r="M45" s="19"/>
      <c r="N45" s="19"/>
      <c r="O45" s="19"/>
      <c r="P45" s="19"/>
      <c r="Q45" s="19"/>
      <c r="R45" s="19"/>
      <c r="S45" s="19"/>
      <c r="T45" s="19"/>
      <c r="U45" s="19"/>
      <c r="V45" s="19"/>
      <c r="W45" s="19"/>
      <c r="X45" s="19"/>
      <c r="Y45" s="19"/>
      <c r="Z45" s="19"/>
      <c r="AA45" s="19"/>
      <c r="AB45" s="19"/>
      <c r="AC45" s="19"/>
      <c r="BU45" s="156">
        <v>0.25</v>
      </c>
      <c r="BV45" s="18"/>
      <c r="BW45" s="18"/>
      <c r="CO45" s="181">
        <v>42</v>
      </c>
      <c r="CP45" s="80">
        <f>IF(ParamSex="Male",'Growth Params'!$F$8+CO45*'Growth Params'!$F$9/('Growth Params'!$F$10+CO45)+'Growth Params'!$F$11/(1+'Growth Params'!$F$12*EXP(-'Growth Params'!$F$13*'Growth Params'!$F$11*CO45)),'Growth Params'!$E$8+CO45*'Growth Params'!$E$9/('Growth Params'!$E$10+CO45)+'Growth Params'!$E$11/(1+'Growth Params'!$E$12*EXP(-'Growth Params'!$E$13*'Growth Params'!$E$11*CO45)))</f>
        <v>57.833332748950681</v>
      </c>
    </row>
    <row r="46" spans="1:94" ht="18" x14ac:dyDescent="0.4">
      <c r="A46" t="str">
        <f t="shared" si="5"/>
        <v>Defalt</v>
      </c>
      <c r="B46" s="19" t="s">
        <v>46</v>
      </c>
      <c r="C46" s="19" t="s">
        <v>75</v>
      </c>
      <c r="D46" s="19">
        <f t="shared" si="6"/>
        <v>1</v>
      </c>
      <c r="E46" s="19">
        <f>'Time Ind Phys Params'!E35</f>
        <v>3.8000000000000002E-4</v>
      </c>
      <c r="F46" s="19"/>
      <c r="G46" s="19"/>
      <c r="H46" s="19"/>
      <c r="I46" s="19"/>
      <c r="J46" s="19"/>
      <c r="K46" s="19"/>
      <c r="L46" s="19"/>
      <c r="M46" s="19"/>
      <c r="N46" s="19"/>
      <c r="O46" s="19"/>
      <c r="P46" s="19"/>
      <c r="Q46" s="19"/>
      <c r="R46" s="19"/>
      <c r="S46" s="19"/>
      <c r="T46" s="19"/>
      <c r="U46" s="19"/>
      <c r="V46" s="19"/>
      <c r="W46" s="19"/>
      <c r="X46" s="19"/>
      <c r="Y46" s="19"/>
      <c r="Z46" s="19"/>
      <c r="AA46" s="19"/>
      <c r="AB46" s="19"/>
      <c r="AC46" s="19"/>
      <c r="BU46" s="156">
        <v>3.5000000000000001E-3</v>
      </c>
      <c r="BV46" s="18"/>
      <c r="BW46" s="18"/>
      <c r="CO46" s="181">
        <v>43</v>
      </c>
      <c r="CP46" s="80">
        <f>IF(ParamSex="Male",'Growth Params'!$F$8+CO46*'Growth Params'!$F$9/('Growth Params'!$F$10+CO46)+'Growth Params'!$F$11/(1+'Growth Params'!$F$12*EXP(-'Growth Params'!$F$13*'Growth Params'!$F$11*CO46)),'Growth Params'!$E$8+CO46*'Growth Params'!$E$9/('Growth Params'!$E$10+CO46)+'Growth Params'!$E$11/(1+'Growth Params'!$E$12*EXP(-'Growth Params'!$E$13*'Growth Params'!$E$11*CO46)))</f>
        <v>57.865217063454409</v>
      </c>
    </row>
    <row r="47" spans="1:94" ht="18" x14ac:dyDescent="0.4">
      <c r="A47" t="str">
        <f t="shared" si="5"/>
        <v>Defalt</v>
      </c>
      <c r="B47" s="19" t="s">
        <v>46</v>
      </c>
      <c r="C47" s="19" t="s">
        <v>76</v>
      </c>
      <c r="D47" s="19">
        <f t="shared" si="6"/>
        <v>1</v>
      </c>
      <c r="E47" s="19">
        <f>'Time Ind Phys Params'!E36</f>
        <v>24</v>
      </c>
      <c r="F47" s="19"/>
      <c r="G47" s="19"/>
      <c r="H47" s="19"/>
      <c r="I47" s="19"/>
      <c r="J47" s="19"/>
      <c r="K47" s="19"/>
      <c r="L47" s="19"/>
      <c r="M47" s="19"/>
      <c r="N47" s="19"/>
      <c r="O47" s="19"/>
      <c r="P47" s="19"/>
      <c r="Q47" s="19"/>
      <c r="R47" s="19"/>
      <c r="S47" s="19"/>
      <c r="T47" s="19"/>
      <c r="U47" s="19"/>
      <c r="V47" s="19"/>
      <c r="W47" s="19"/>
      <c r="X47" s="19"/>
      <c r="Y47" s="19"/>
      <c r="Z47" s="19"/>
      <c r="AA47" s="19"/>
      <c r="AB47" s="19"/>
      <c r="AC47" s="19"/>
      <c r="BU47" s="156">
        <v>0</v>
      </c>
      <c r="BV47" s="18"/>
      <c r="BW47" s="18"/>
      <c r="CO47" s="181">
        <v>44</v>
      </c>
      <c r="CP47" s="80">
        <f>IF(ParamSex="Male",'Growth Params'!$F$8+CO47*'Growth Params'!$F$9/('Growth Params'!$F$10+CO47)+'Growth Params'!$F$11/(1+'Growth Params'!$F$12*EXP(-'Growth Params'!$F$13*'Growth Params'!$F$11*CO47)),'Growth Params'!$E$8+CO47*'Growth Params'!$E$9/('Growth Params'!$E$10+CO47)+'Growth Params'!$E$11/(1+'Growth Params'!$E$12*EXP(-'Growth Params'!$E$13*'Growth Params'!$E$11*CO47)))</f>
        <v>57.895744496920926</v>
      </c>
    </row>
    <row r="48" spans="1:94" ht="18" x14ac:dyDescent="0.4">
      <c r="A48" t="str">
        <f t="shared" si="5"/>
        <v>Defalt</v>
      </c>
      <c r="B48" s="19" t="s">
        <v>46</v>
      </c>
      <c r="C48" s="19" t="s">
        <v>77</v>
      </c>
      <c r="D48" s="19">
        <f t="shared" si="6"/>
        <v>1</v>
      </c>
      <c r="E48" s="19">
        <f>'Time Ind Phys Params'!E37</f>
        <v>1.85</v>
      </c>
      <c r="F48" s="19"/>
      <c r="G48" s="19"/>
      <c r="H48" s="19"/>
      <c r="I48" s="19"/>
      <c r="J48" s="19"/>
      <c r="K48" s="19"/>
      <c r="L48" s="19"/>
      <c r="M48" s="19"/>
      <c r="N48" s="19"/>
      <c r="O48" s="19"/>
      <c r="P48" s="19"/>
      <c r="Q48" s="19"/>
      <c r="R48" s="19"/>
      <c r="S48" s="19"/>
      <c r="T48" s="19"/>
      <c r="U48" s="19"/>
      <c r="V48" s="19"/>
      <c r="W48" s="19"/>
      <c r="X48" s="19"/>
      <c r="Y48" s="19"/>
      <c r="Z48" s="19"/>
      <c r="AA48" s="19"/>
      <c r="AB48" s="19"/>
      <c r="AC48" s="19"/>
      <c r="BU48" s="156">
        <v>3000</v>
      </c>
      <c r="BV48" s="18"/>
      <c r="BW48" s="18"/>
      <c r="CO48" s="181">
        <v>45</v>
      </c>
      <c r="CP48" s="80">
        <f>IF(ParamSex="Male",'Growth Params'!$F$8+CO48*'Growth Params'!$F$9/('Growth Params'!$F$10+CO48)+'Growth Params'!$F$11/(1+'Growth Params'!$F$12*EXP(-'Growth Params'!$F$13*'Growth Params'!$F$11*CO48)),'Growth Params'!$E$8+CO48*'Growth Params'!$E$9/('Growth Params'!$E$10+CO48)+'Growth Params'!$E$11/(1+'Growth Params'!$E$12*EXP(-'Growth Params'!$E$13*'Growth Params'!$E$11*CO48)))</f>
        <v>57.924999896811642</v>
      </c>
    </row>
    <row r="49" spans="1:94" ht="18" x14ac:dyDescent="0.4">
      <c r="A49" t="str">
        <f t="shared" si="5"/>
        <v>Defalt</v>
      </c>
      <c r="B49" s="19" t="s">
        <v>46</v>
      </c>
      <c r="C49" s="19" t="s">
        <v>78</v>
      </c>
      <c r="D49" s="19">
        <f t="shared" si="6"/>
        <v>1</v>
      </c>
      <c r="E49" s="19">
        <f>'Time Ind Phys Params'!E38</f>
        <v>0.4</v>
      </c>
      <c r="F49" s="19"/>
      <c r="G49" s="19"/>
      <c r="H49" s="19"/>
      <c r="I49" s="19"/>
      <c r="J49" s="19"/>
      <c r="K49" s="19"/>
      <c r="L49" s="19"/>
      <c r="M49" s="19"/>
      <c r="N49" s="19"/>
      <c r="O49" s="19"/>
      <c r="P49" s="19"/>
      <c r="Q49" s="19"/>
      <c r="R49" s="19"/>
      <c r="S49" s="19"/>
      <c r="T49" s="19"/>
      <c r="U49" s="19"/>
      <c r="V49" s="19"/>
      <c r="W49" s="19"/>
      <c r="X49" s="19"/>
      <c r="Y49" s="19"/>
      <c r="Z49" s="19"/>
      <c r="AA49" s="19"/>
      <c r="AB49" s="19"/>
      <c r="AC49" s="19"/>
      <c r="BU49" s="156">
        <v>6.7000000000000004E-2</v>
      </c>
      <c r="BV49" s="18"/>
      <c r="BW49" s="18"/>
      <c r="CO49" s="181">
        <v>46</v>
      </c>
      <c r="CP49" s="80">
        <f>IF(ParamSex="Male",'Growth Params'!$F$8+CO49*'Growth Params'!$F$9/('Growth Params'!$F$10+CO49)+'Growth Params'!$F$11/(1+'Growth Params'!$F$12*EXP(-'Growth Params'!$F$13*'Growth Params'!$F$11*CO49)),'Growth Params'!$E$8+CO49*'Growth Params'!$E$9/('Growth Params'!$E$10+CO49)+'Growth Params'!$E$11/(1+'Growth Params'!$E$12*EXP(-'Growth Params'!$E$13*'Growth Params'!$E$11*CO49)))</f>
        <v>57.953061166599142</v>
      </c>
    </row>
    <row r="50" spans="1:94" ht="18" x14ac:dyDescent="0.4">
      <c r="A50" t="str">
        <f t="shared" si="5"/>
        <v>Defalt</v>
      </c>
      <c r="B50" s="19" t="s">
        <v>46</v>
      </c>
      <c r="C50" s="19" t="s">
        <v>79</v>
      </c>
      <c r="D50" s="19">
        <f t="shared" si="6"/>
        <v>1</v>
      </c>
      <c r="E50" s="19">
        <f>'Time Ind Phys Params'!E39</f>
        <v>350</v>
      </c>
      <c r="F50" s="19"/>
      <c r="G50" s="19"/>
      <c r="H50" s="19"/>
      <c r="I50" s="19"/>
      <c r="J50" s="19"/>
      <c r="K50" s="19"/>
      <c r="L50" s="19"/>
      <c r="M50" s="19"/>
      <c r="N50" s="19"/>
      <c r="O50" s="19"/>
      <c r="P50" s="19"/>
      <c r="Q50" s="19"/>
      <c r="R50" s="19"/>
      <c r="S50" s="19"/>
      <c r="T50" s="19"/>
      <c r="U50" s="19"/>
      <c r="V50" s="19"/>
      <c r="W50" s="19"/>
      <c r="X50" s="19"/>
      <c r="Y50" s="19"/>
      <c r="Z50" s="19"/>
      <c r="AA50" s="19"/>
      <c r="AB50" s="19"/>
      <c r="AC50" s="19"/>
      <c r="BU50" s="156">
        <v>8.5000000000000006E-3</v>
      </c>
      <c r="BV50" s="18"/>
      <c r="BW50" s="18"/>
      <c r="CO50" s="181">
        <v>47</v>
      </c>
      <c r="CP50" s="80">
        <f>IF(ParamSex="Male",'Growth Params'!$F$8+CO50*'Growth Params'!$F$9/('Growth Params'!$F$10+CO50)+'Growth Params'!$F$11/(1+'Growth Params'!$F$12*EXP(-'Growth Params'!$F$13*'Growth Params'!$F$11*CO50)),'Growth Params'!$E$8+CO50*'Growth Params'!$E$9/('Growth Params'!$E$10+CO50)+'Growth Params'!$E$11/(1+'Growth Params'!$E$12*EXP(-'Growth Params'!$E$13*'Growth Params'!$E$11*CO50)))</f>
        <v>57.979999967522218</v>
      </c>
    </row>
    <row r="51" spans="1:94" ht="18" x14ac:dyDescent="0.4">
      <c r="A51" t="str">
        <f t="shared" si="5"/>
        <v>Defalt</v>
      </c>
      <c r="B51" s="19" t="s">
        <v>46</v>
      </c>
      <c r="C51" s="19" t="s">
        <v>80</v>
      </c>
      <c r="D51" s="19">
        <f t="shared" si="6"/>
        <v>1</v>
      </c>
      <c r="E51" s="19">
        <f>'Time Ind Phys Params'!E40</f>
        <v>3</v>
      </c>
      <c r="F51" s="19"/>
      <c r="G51" s="19"/>
      <c r="H51" s="19"/>
      <c r="I51" s="19"/>
      <c r="J51" s="19"/>
      <c r="K51" s="19"/>
      <c r="L51" s="19"/>
      <c r="M51" s="19"/>
      <c r="N51" s="19"/>
      <c r="O51" s="19"/>
      <c r="P51" s="19"/>
      <c r="Q51" s="19"/>
      <c r="R51" s="19"/>
      <c r="S51" s="19"/>
      <c r="T51" s="19"/>
      <c r="U51" s="19"/>
      <c r="V51" s="19"/>
      <c r="W51" s="19"/>
      <c r="X51" s="19"/>
      <c r="Y51" s="19"/>
      <c r="Z51" s="19"/>
      <c r="AA51" s="19"/>
      <c r="AB51" s="19"/>
      <c r="AC51" s="19"/>
      <c r="BU51" s="156">
        <v>2.5000000000000001E-2</v>
      </c>
      <c r="BV51" s="18"/>
      <c r="BW51" s="18"/>
      <c r="CO51" s="181">
        <v>48</v>
      </c>
      <c r="CP51" s="80">
        <f>IF(ParamSex="Male",'Growth Params'!$F$8+CO51*'Growth Params'!$F$9/('Growth Params'!$F$10+CO51)+'Growth Params'!$F$11/(1+'Growth Params'!$F$12*EXP(-'Growth Params'!$F$13*'Growth Params'!$F$11*CO51)),'Growth Params'!$E$8+CO51*'Growth Params'!$E$9/('Growth Params'!$E$10+CO51)+'Growth Params'!$E$11/(1+'Growth Params'!$E$12*EXP(-'Growth Params'!$E$13*'Growth Params'!$E$11*CO51)))</f>
        <v>58.005882334720518</v>
      </c>
    </row>
    <row r="52" spans="1:94" ht="18" x14ac:dyDescent="0.4">
      <c r="A52" t="str">
        <f t="shared" si="5"/>
        <v>Defalt</v>
      </c>
      <c r="B52" s="19" t="s">
        <v>46</v>
      </c>
      <c r="C52" s="19" t="s">
        <v>81</v>
      </c>
      <c r="D52" s="19">
        <f t="shared" si="6"/>
        <v>1</v>
      </c>
      <c r="E52" s="19">
        <f>'Time Ind Phys Params'!E41</f>
        <v>0.5</v>
      </c>
      <c r="F52" s="19"/>
      <c r="G52" s="19"/>
      <c r="H52" s="19"/>
      <c r="I52" s="19"/>
      <c r="J52" s="19"/>
      <c r="K52" s="19"/>
      <c r="L52" s="19"/>
      <c r="M52" s="19"/>
      <c r="N52" s="19"/>
      <c r="O52" s="19"/>
      <c r="P52" s="19"/>
      <c r="Q52" s="19"/>
      <c r="R52" s="19"/>
      <c r="S52" s="19"/>
      <c r="T52" s="19"/>
      <c r="U52" s="19"/>
      <c r="V52" s="19"/>
      <c r="W52" s="19"/>
      <c r="X52" s="19"/>
      <c r="Y52" s="19"/>
      <c r="Z52" s="19"/>
      <c r="AA52" s="19"/>
      <c r="AB52" s="19"/>
      <c r="AC52" s="19"/>
      <c r="BU52" s="156">
        <v>1.4999999999999999E-2</v>
      </c>
      <c r="BV52" s="18"/>
      <c r="BW52" s="18"/>
      <c r="CO52" s="181">
        <v>49</v>
      </c>
      <c r="CP52" s="80">
        <f>IF(ParamSex="Male",'Growth Params'!$F$8+CO52*'Growth Params'!$F$9/('Growth Params'!$F$10+CO52)+'Growth Params'!$F$11/(1+'Growth Params'!$F$12*EXP(-'Growth Params'!$F$13*'Growth Params'!$F$11*CO52)),'Growth Params'!$E$8+CO52*'Growth Params'!$E$9/('Growth Params'!$E$10+CO52)+'Growth Params'!$E$11/(1+'Growth Params'!$E$12*EXP(-'Growth Params'!$E$13*'Growth Params'!$E$11*CO52)))</f>
        <v>58.030769220547086</v>
      </c>
    </row>
    <row r="53" spans="1:94" ht="18" x14ac:dyDescent="0.4">
      <c r="A53" t="str">
        <f>IF(E53=BU38,"Defalt","Changed")</f>
        <v>Defalt</v>
      </c>
      <c r="B53" s="19" t="s">
        <v>46</v>
      </c>
      <c r="C53" s="19" t="s">
        <v>82</v>
      </c>
      <c r="D53" s="19">
        <f t="shared" si="6"/>
        <v>1</v>
      </c>
      <c r="E53" s="19">
        <f>'Time Ind Phys Params'!E42</f>
        <v>0.08</v>
      </c>
      <c r="F53" s="19"/>
      <c r="G53" s="19"/>
      <c r="H53" s="19"/>
      <c r="I53" s="19"/>
      <c r="J53" s="19"/>
      <c r="K53" s="19"/>
      <c r="L53" s="19"/>
      <c r="M53" s="19"/>
      <c r="N53" s="19"/>
      <c r="O53" s="19"/>
      <c r="P53" s="19"/>
      <c r="Q53" s="19"/>
      <c r="R53" s="19"/>
      <c r="S53" s="19"/>
      <c r="T53" s="19"/>
      <c r="U53" s="19"/>
      <c r="V53" s="19"/>
      <c r="W53" s="19"/>
      <c r="X53" s="19"/>
      <c r="Y53" s="19"/>
      <c r="Z53" s="19"/>
      <c r="AA53" s="19"/>
      <c r="AB53" s="19"/>
      <c r="AC53" s="19"/>
      <c r="BV53" s="18"/>
      <c r="BW53" s="18"/>
      <c r="CO53" s="181">
        <v>50</v>
      </c>
      <c r="CP53" s="80">
        <f>IF(ParamSex="Male",'Growth Params'!$F$8+CO53*'Growth Params'!$F$9/('Growth Params'!$F$10+CO53)+'Growth Params'!$F$11/(1+'Growth Params'!$F$12*EXP(-'Growth Params'!$F$13*'Growth Params'!$F$11*CO53)),'Growth Params'!$E$8+CO53*'Growth Params'!$E$9/('Growth Params'!$E$10+CO53)+'Growth Params'!$E$11/(1+'Growth Params'!$E$12*EXP(-'Growth Params'!$E$13*'Growth Params'!$E$11*CO53)))</f>
        <v>58.054716975397255</v>
      </c>
    </row>
    <row r="54" spans="1:94" ht="18" x14ac:dyDescent="0.4">
      <c r="A54" t="str">
        <f>IF(E54=BU39,"Defalt","Changed")</f>
        <v>Defalt</v>
      </c>
      <c r="B54" s="19" t="s">
        <v>46</v>
      </c>
      <c r="C54" s="19" t="s">
        <v>83</v>
      </c>
      <c r="D54" s="19">
        <f t="shared" si="6"/>
        <v>1</v>
      </c>
      <c r="E54" s="19">
        <f>'Time Ind Phys Params'!E43</f>
        <v>0.5</v>
      </c>
      <c r="F54" s="19"/>
      <c r="G54" s="19"/>
      <c r="H54" s="19"/>
      <c r="I54" s="19"/>
      <c r="J54" s="19"/>
      <c r="K54" s="19"/>
      <c r="L54" s="19"/>
      <c r="M54" s="19"/>
      <c r="N54" s="19"/>
      <c r="O54" s="19"/>
      <c r="P54" s="19"/>
      <c r="Q54" s="19"/>
      <c r="R54" s="19"/>
      <c r="S54" s="19"/>
      <c r="T54" s="19"/>
      <c r="U54" s="19"/>
      <c r="V54" s="19"/>
      <c r="W54" s="19"/>
      <c r="X54" s="19"/>
      <c r="Y54" s="19"/>
      <c r="Z54" s="19"/>
      <c r="AA54" s="19"/>
      <c r="AB54" s="19"/>
      <c r="AC54" s="19"/>
      <c r="BW54" s="18"/>
      <c r="CO54" s="181">
        <v>51</v>
      </c>
      <c r="CP54" s="80">
        <f>IF(ParamSex="Male",'Growth Params'!$F$8+CO54*'Growth Params'!$F$9/('Growth Params'!$F$10+CO54)+'Growth Params'!$F$11/(1+'Growth Params'!$F$12*EXP(-'Growth Params'!$F$13*'Growth Params'!$F$11*CO54)),'Growth Params'!$E$8+CO54*'Growth Params'!$E$9/('Growth Params'!$E$10+CO54)+'Growth Params'!$E$11/(1+'Growth Params'!$E$12*EXP(-'Growth Params'!$E$13*'Growth Params'!$E$11*CO54)))</f>
        <v>58.077777774560445</v>
      </c>
    </row>
    <row r="55" spans="1:94" ht="18" x14ac:dyDescent="0.4">
      <c r="A55" t="str">
        <f t="shared" ref="A55:A63" si="7">IF(E55=BU40,"Defalt","Changed")</f>
        <v>Defalt</v>
      </c>
      <c r="B55" s="19" t="s">
        <v>46</v>
      </c>
      <c r="C55" s="19" t="s">
        <v>84</v>
      </c>
      <c r="D55" s="19">
        <f t="shared" si="6"/>
        <v>1</v>
      </c>
      <c r="E55" s="19">
        <f>'Time Ind Phys Params'!E44</f>
        <v>6.0000000000000001E-3</v>
      </c>
      <c r="F55" s="19"/>
      <c r="G55" s="19"/>
      <c r="H55" s="19"/>
      <c r="I55" s="19"/>
      <c r="J55" s="19"/>
      <c r="K55" s="19"/>
      <c r="L55" s="19"/>
      <c r="M55" s="19"/>
      <c r="N55" s="19"/>
      <c r="O55" s="19"/>
      <c r="P55" s="19"/>
      <c r="Q55" s="19"/>
      <c r="R55" s="19"/>
      <c r="S55" s="19"/>
      <c r="T55" s="19"/>
      <c r="U55" s="19"/>
      <c r="V55" s="19"/>
      <c r="W55" s="19"/>
      <c r="X55" s="19"/>
      <c r="Y55" s="19"/>
      <c r="Z55" s="19"/>
      <c r="AA55" s="19"/>
      <c r="AB55" s="19"/>
      <c r="AC55" s="19"/>
      <c r="BW55" s="18"/>
      <c r="CO55" s="181">
        <v>52</v>
      </c>
      <c r="CP55" s="80">
        <f>IF(ParamSex="Male",'Growth Params'!$F$8+CO55*'Growth Params'!$F$9/('Growth Params'!$F$10+CO55)+'Growth Params'!$F$11/(1+'Growth Params'!$F$12*EXP(-'Growth Params'!$F$13*'Growth Params'!$F$11*CO55)),'Growth Params'!$E$8+CO55*'Growth Params'!$E$9/('Growth Params'!$E$10+CO55)+'Growth Params'!$E$11/(1+'Growth Params'!$E$12*EXP(-'Growth Params'!$E$13*'Growth Params'!$E$11*CO55)))</f>
        <v>58.09999999819501</v>
      </c>
    </row>
    <row r="56" spans="1:94" ht="18" x14ac:dyDescent="0.4">
      <c r="A56" t="str">
        <f t="shared" si="7"/>
        <v>Defalt</v>
      </c>
      <c r="B56" s="19" t="s">
        <v>46</v>
      </c>
      <c r="C56" s="19" t="s">
        <v>85</v>
      </c>
      <c r="D56" s="19">
        <f t="shared" si="6"/>
        <v>1</v>
      </c>
      <c r="E56" s="19">
        <f>'Time Ind Phys Params'!E45</f>
        <v>2.5000000000000001E-2</v>
      </c>
      <c r="F56" s="19"/>
      <c r="G56" s="19"/>
      <c r="H56" s="19"/>
      <c r="I56" s="19"/>
      <c r="J56" s="19"/>
      <c r="K56" s="19"/>
      <c r="L56" s="19"/>
      <c r="M56" s="19"/>
      <c r="N56" s="19"/>
      <c r="O56" s="19"/>
      <c r="P56" s="19"/>
      <c r="Q56" s="19"/>
      <c r="R56" s="19"/>
      <c r="S56" s="19"/>
      <c r="T56" s="19"/>
      <c r="U56" s="19"/>
      <c r="V56" s="19"/>
      <c r="W56" s="19"/>
      <c r="X56" s="19"/>
      <c r="Y56" s="19"/>
      <c r="Z56" s="19"/>
      <c r="AA56" s="19"/>
      <c r="AB56" s="19"/>
      <c r="AC56" s="19"/>
      <c r="BW56" s="18"/>
      <c r="CO56" s="181">
        <v>53</v>
      </c>
      <c r="CP56" s="80">
        <f>IF(ParamSex="Male",'Growth Params'!$F$8+CO56*'Growth Params'!$F$9/('Growth Params'!$F$10+CO56)+'Growth Params'!$F$11/(1+'Growth Params'!$F$12*EXP(-'Growth Params'!$F$13*'Growth Params'!$F$11*CO56)),'Growth Params'!$E$8+CO56*'Growth Params'!$E$9/('Growth Params'!$E$10+CO56)+'Growth Params'!$E$11/(1+'Growth Params'!$E$12*EXP(-'Growth Params'!$E$13*'Growth Params'!$E$11*CO56)))</f>
        <v>58.121428570415944</v>
      </c>
    </row>
    <row r="57" spans="1:94" x14ac:dyDescent="0.25">
      <c r="A57" t="str">
        <f t="shared" si="7"/>
        <v>Defalt</v>
      </c>
      <c r="B57" s="19" t="s">
        <v>46</v>
      </c>
      <c r="C57" s="19" t="s">
        <v>86</v>
      </c>
      <c r="D57" s="19">
        <f t="shared" si="6"/>
        <v>1</v>
      </c>
      <c r="E57" s="19">
        <f>'Time Ind Phys Params'!E46</f>
        <v>4.0000000000000002E-4</v>
      </c>
      <c r="F57" s="19"/>
      <c r="G57" s="19"/>
      <c r="H57" s="19"/>
      <c r="I57" s="19"/>
      <c r="J57" s="19"/>
      <c r="K57" s="19"/>
      <c r="L57" s="19"/>
      <c r="M57" s="19"/>
      <c r="N57" s="19"/>
      <c r="O57" s="19"/>
      <c r="P57" s="19"/>
      <c r="Q57" s="19"/>
      <c r="R57" s="19"/>
      <c r="S57" s="19"/>
      <c r="T57" s="19"/>
      <c r="U57" s="19"/>
      <c r="V57" s="19"/>
      <c r="W57" s="19"/>
      <c r="X57" s="19"/>
      <c r="Y57" s="19"/>
      <c r="Z57" s="19"/>
      <c r="AA57" s="19"/>
      <c r="AB57" s="19"/>
      <c r="AC57" s="19"/>
      <c r="CO57" s="181">
        <v>54</v>
      </c>
      <c r="CP57" s="80">
        <f>IF(ParamSex="Male",'Growth Params'!$F$8+CO57*'Growth Params'!$F$9/('Growth Params'!$F$10+CO57)+'Growth Params'!$F$11/(1+'Growth Params'!$F$12*EXP(-'Growth Params'!$F$13*'Growth Params'!$F$11*CO57)),'Growth Params'!$E$8+CO57*'Growth Params'!$E$9/('Growth Params'!$E$10+CO57)+'Growth Params'!$E$11/(1+'Growth Params'!$E$12*EXP(-'Growth Params'!$E$13*'Growth Params'!$E$11*CO57)))</f>
        <v>58.142105262589787</v>
      </c>
    </row>
    <row r="58" spans="1:94" x14ac:dyDescent="0.25">
      <c r="A58" t="str">
        <f t="shared" si="7"/>
        <v>Defalt</v>
      </c>
      <c r="B58" s="19" t="s">
        <v>46</v>
      </c>
      <c r="C58" s="19" t="s">
        <v>87</v>
      </c>
      <c r="D58" s="19">
        <f t="shared" si="6"/>
        <v>1</v>
      </c>
      <c r="E58" s="19">
        <f>'Time Ind Phys Params'!E47</f>
        <v>0.04</v>
      </c>
      <c r="F58" s="19"/>
      <c r="G58" s="19"/>
      <c r="H58" s="19"/>
      <c r="I58" s="19"/>
      <c r="J58" s="19"/>
      <c r="K58" s="19"/>
      <c r="L58" s="19"/>
      <c r="M58" s="19"/>
      <c r="N58" s="19"/>
      <c r="O58" s="19"/>
      <c r="P58" s="19"/>
      <c r="Q58" s="19"/>
      <c r="R58" s="19"/>
      <c r="S58" s="19"/>
      <c r="T58" s="19"/>
      <c r="U58" s="19"/>
      <c r="V58" s="19"/>
      <c r="W58" s="19"/>
      <c r="X58" s="19"/>
      <c r="Y58" s="19"/>
      <c r="Z58" s="19"/>
      <c r="AA58" s="19"/>
      <c r="AB58" s="19"/>
      <c r="AC58" s="19"/>
      <c r="CO58" s="181">
        <v>55</v>
      </c>
      <c r="CP58" s="80">
        <f>IF(ParamSex="Male",'Growth Params'!$F$8+CO58*'Growth Params'!$F$9/('Growth Params'!$F$10+CO58)+'Growth Params'!$F$11/(1+'Growth Params'!$F$12*EXP(-'Growth Params'!$F$13*'Growth Params'!$F$11*CO58)),'Growth Params'!$E$8+CO58*'Growth Params'!$E$9/('Growth Params'!$E$10+CO58)+'Growth Params'!$E$11/(1+'Growth Params'!$E$12*EXP(-'Growth Params'!$E$13*'Growth Params'!$E$11*CO58)))</f>
        <v>58.162068965198522</v>
      </c>
    </row>
    <row r="59" spans="1:94" x14ac:dyDescent="0.25">
      <c r="A59" t="str">
        <f t="shared" si="7"/>
        <v>Defalt</v>
      </c>
      <c r="B59" s="19" t="s">
        <v>46</v>
      </c>
      <c r="C59" s="19" t="s">
        <v>88</v>
      </c>
      <c r="D59" s="19">
        <f t="shared" si="6"/>
        <v>1</v>
      </c>
      <c r="E59" s="19">
        <f>'Time Ind Phys Params'!E48</f>
        <v>4.0000000000000002E-4</v>
      </c>
      <c r="F59" s="19"/>
      <c r="G59" s="19"/>
      <c r="H59" s="19"/>
      <c r="I59" s="19"/>
      <c r="J59" s="19"/>
      <c r="K59" s="19"/>
      <c r="L59" s="19"/>
      <c r="M59" s="19"/>
      <c r="N59" s="19"/>
      <c r="O59" s="19"/>
      <c r="P59" s="19"/>
      <c r="Q59" s="19"/>
      <c r="R59" s="19"/>
      <c r="S59" s="19"/>
      <c r="T59" s="19"/>
      <c r="U59" s="19"/>
      <c r="V59" s="19"/>
      <c r="W59" s="19"/>
      <c r="X59" s="19"/>
      <c r="Y59" s="19"/>
      <c r="Z59" s="19"/>
      <c r="AA59" s="19"/>
      <c r="AB59" s="19"/>
      <c r="AC59" s="19"/>
      <c r="CO59" s="181">
        <v>56</v>
      </c>
      <c r="CP59" s="80">
        <f>IF(ParamSex="Male",'Growth Params'!$F$8+CO59*'Growth Params'!$F$9/('Growth Params'!$F$10+CO59)+'Growth Params'!$F$11/(1+'Growth Params'!$F$12*EXP(-'Growth Params'!$F$13*'Growth Params'!$F$11*CO59)),'Growth Params'!$E$8+CO59*'Growth Params'!$E$9/('Growth Params'!$E$10+CO59)+'Growth Params'!$E$11/(1+'Growth Params'!$E$12*EXP(-'Growth Params'!$E$13*'Growth Params'!$E$11*CO59)))</f>
        <v>58.181355932024587</v>
      </c>
    </row>
    <row r="60" spans="1:94" x14ac:dyDescent="0.25">
      <c r="A60" t="str">
        <f t="shared" si="7"/>
        <v>Defalt</v>
      </c>
      <c r="B60" s="19" t="s">
        <v>46</v>
      </c>
      <c r="C60" s="19" t="s">
        <v>89</v>
      </c>
      <c r="D60" s="19">
        <f t="shared" si="6"/>
        <v>1</v>
      </c>
      <c r="E60" s="19">
        <f>'Time Ind Phys Params'!E49</f>
        <v>0.25</v>
      </c>
      <c r="F60" s="19"/>
      <c r="G60" s="19"/>
      <c r="H60" s="19"/>
      <c r="I60" s="19"/>
      <c r="J60" s="19"/>
      <c r="K60" s="19"/>
      <c r="L60" s="19"/>
      <c r="M60" s="19"/>
      <c r="N60" s="19"/>
      <c r="O60" s="19"/>
      <c r="P60" s="19"/>
      <c r="Q60" s="19"/>
      <c r="R60" s="19"/>
      <c r="S60" s="19"/>
      <c r="T60" s="19"/>
      <c r="U60" s="19"/>
      <c r="V60" s="19"/>
      <c r="W60" s="19"/>
      <c r="X60" s="19"/>
      <c r="Y60" s="19"/>
      <c r="Z60" s="19"/>
      <c r="AA60" s="19"/>
      <c r="AB60" s="19"/>
      <c r="AC60" s="19"/>
      <c r="CO60" s="181">
        <v>57</v>
      </c>
      <c r="CP60" s="80">
        <f>IF(ParamSex="Male",'Growth Params'!$F$8+CO60*'Growth Params'!$F$9/('Growth Params'!$F$10+CO60)+'Growth Params'!$F$11/(1+'Growth Params'!$F$12*EXP(-'Growth Params'!$F$13*'Growth Params'!$F$11*CO60)),'Growth Params'!$E$8+CO60*'Growth Params'!$E$9/('Growth Params'!$E$10+CO60)+'Growth Params'!$E$11/(1+'Growth Params'!$E$12*EXP(-'Growth Params'!$E$13*'Growth Params'!$E$11*CO60)))</f>
        <v>58.199999999899688</v>
      </c>
    </row>
    <row r="61" spans="1:94" x14ac:dyDescent="0.25">
      <c r="A61" t="str">
        <f t="shared" si="7"/>
        <v>Defalt</v>
      </c>
      <c r="B61" s="19" t="s">
        <v>46</v>
      </c>
      <c r="C61" s="19" t="s">
        <v>90</v>
      </c>
      <c r="D61" s="19">
        <f t="shared" si="6"/>
        <v>1</v>
      </c>
      <c r="E61" s="19">
        <f>'Time Ind Phys Params'!E50</f>
        <v>3.5000000000000001E-3</v>
      </c>
      <c r="F61" s="19"/>
      <c r="G61" s="19"/>
      <c r="H61" s="19"/>
      <c r="I61" s="19"/>
      <c r="J61" s="19"/>
      <c r="K61" s="19"/>
      <c r="L61" s="19"/>
      <c r="M61" s="19"/>
      <c r="N61" s="19"/>
      <c r="O61" s="19"/>
      <c r="P61" s="19"/>
      <c r="Q61" s="19"/>
      <c r="R61" s="19"/>
      <c r="S61" s="19"/>
      <c r="T61" s="19"/>
      <c r="U61" s="19"/>
      <c r="V61" s="19"/>
      <c r="W61" s="19"/>
      <c r="X61" s="19"/>
      <c r="Y61" s="19"/>
      <c r="Z61" s="19"/>
      <c r="AA61" s="19"/>
      <c r="AB61" s="19"/>
      <c r="AC61" s="19"/>
      <c r="CO61" s="181">
        <v>58</v>
      </c>
      <c r="CP61" s="80">
        <f>IF(ParamSex="Male",'Growth Params'!$F$8+CO61*'Growth Params'!$F$9/('Growth Params'!$F$10+CO61)+'Growth Params'!$F$11/(1+'Growth Params'!$F$12*EXP(-'Growth Params'!$F$13*'Growth Params'!$F$11*CO61)),'Growth Params'!$E$8+CO61*'Growth Params'!$E$9/('Growth Params'!$E$10+CO61)+'Growth Params'!$E$11/(1+'Growth Params'!$E$12*EXP(-'Growth Params'!$E$13*'Growth Params'!$E$11*CO61)))</f>
        <v>58.218032786828964</v>
      </c>
    </row>
    <row r="62" spans="1:94" x14ac:dyDescent="0.25">
      <c r="A62" t="str">
        <f t="shared" si="7"/>
        <v>Defalt</v>
      </c>
      <c r="B62" s="19" t="s">
        <v>46</v>
      </c>
      <c r="C62" s="19" t="s">
        <v>91</v>
      </c>
      <c r="D62" s="19">
        <f t="shared" si="6"/>
        <v>1</v>
      </c>
      <c r="E62" s="19">
        <f>'Time Ind Phys Params'!E51</f>
        <v>0</v>
      </c>
      <c r="F62" s="19"/>
      <c r="G62" s="19"/>
      <c r="H62" s="19"/>
      <c r="I62" s="19"/>
      <c r="J62" s="19"/>
      <c r="K62" s="19"/>
      <c r="L62" s="19"/>
      <c r="M62" s="19"/>
      <c r="N62" s="19"/>
      <c r="O62" s="19"/>
      <c r="P62" s="19"/>
      <c r="Q62" s="19"/>
      <c r="R62" s="19"/>
      <c r="S62" s="19"/>
      <c r="T62" s="19"/>
      <c r="U62" s="19"/>
      <c r="V62" s="19"/>
      <c r="W62" s="19"/>
      <c r="X62" s="19"/>
      <c r="Y62" s="19"/>
      <c r="Z62" s="19"/>
      <c r="AA62" s="19"/>
      <c r="AB62" s="19"/>
      <c r="AC62" s="19"/>
      <c r="CO62" s="181">
        <v>59</v>
      </c>
      <c r="CP62" s="80">
        <f>IF(ParamSex="Male",'Growth Params'!$F$8+CO62*'Growth Params'!$F$9/('Growth Params'!$F$10+CO62)+'Growth Params'!$F$11/(1+'Growth Params'!$F$12*EXP(-'Growth Params'!$F$13*'Growth Params'!$F$11*CO62)),'Growth Params'!$E$8+CO62*'Growth Params'!$E$9/('Growth Params'!$E$10+CO62)+'Growth Params'!$E$11/(1+'Growth Params'!$E$12*EXP(-'Growth Params'!$E$13*'Growth Params'!$E$11*CO62)))</f>
        <v>58.235483870936172</v>
      </c>
    </row>
    <row r="63" spans="1:94" x14ac:dyDescent="0.25">
      <c r="A63" t="str">
        <f t="shared" si="7"/>
        <v>Defalt</v>
      </c>
      <c r="B63" s="19" t="s">
        <v>46</v>
      </c>
      <c r="C63" s="19" t="s">
        <v>92</v>
      </c>
      <c r="D63" s="19">
        <f t="shared" si="6"/>
        <v>1</v>
      </c>
      <c r="E63" s="19">
        <f>'Time Ind Phys Params'!E52</f>
        <v>3000</v>
      </c>
      <c r="F63" s="19"/>
      <c r="G63" s="19"/>
      <c r="H63" s="19"/>
      <c r="I63" s="19"/>
      <c r="J63" s="19"/>
      <c r="K63" s="19"/>
      <c r="L63" s="19"/>
      <c r="M63" s="19"/>
      <c r="N63" s="19"/>
      <c r="O63" s="19"/>
      <c r="P63" s="19"/>
      <c r="Q63" s="19"/>
      <c r="R63" s="19"/>
      <c r="S63" s="19"/>
      <c r="T63" s="19"/>
      <c r="U63" s="19"/>
      <c r="V63" s="19"/>
      <c r="W63" s="19"/>
      <c r="X63" s="19"/>
      <c r="Y63" s="19"/>
      <c r="Z63" s="19"/>
      <c r="AA63" s="19"/>
      <c r="AB63" s="19"/>
      <c r="AC63" s="19"/>
      <c r="CO63" s="181">
        <v>60</v>
      </c>
      <c r="CP63" s="80">
        <f>IF(ParamSex="Male",'Growth Params'!$F$8+CO63*'Growth Params'!$F$9/('Growth Params'!$F$10+CO63)+'Growth Params'!$F$11/(1+'Growth Params'!$F$12*EXP(-'Growth Params'!$F$13*'Growth Params'!$F$11*CO63)),'Growth Params'!$E$8+CO63*'Growth Params'!$E$9/('Growth Params'!$E$10+CO63)+'Growth Params'!$E$11/(1+'Growth Params'!$E$12*EXP(-'Growth Params'!$E$13*'Growth Params'!$E$11*CO63)))</f>
        <v>58.252380952363239</v>
      </c>
    </row>
    <row r="64" spans="1:94" x14ac:dyDescent="0.25">
      <c r="A64" t="str">
        <f>IF(E64=BU49,"Defalt","Changed")</f>
        <v>Defalt</v>
      </c>
      <c r="B64" s="19" t="s">
        <v>46</v>
      </c>
      <c r="C64" s="19" t="s">
        <v>93</v>
      </c>
      <c r="D64" s="19">
        <f t="shared" si="6"/>
        <v>1</v>
      </c>
      <c r="E64" s="19">
        <f>'Time Ind Phys Params'!E53</f>
        <v>6.7000000000000004E-2</v>
      </c>
      <c r="F64" s="19"/>
      <c r="G64" s="19"/>
      <c r="H64" s="19"/>
      <c r="I64" s="19"/>
      <c r="J64" s="19"/>
      <c r="K64" s="19"/>
      <c r="L64" s="19"/>
      <c r="M64" s="19"/>
      <c r="N64" s="19"/>
      <c r="O64" s="19"/>
      <c r="P64" s="19"/>
      <c r="Q64" s="19"/>
      <c r="R64" s="19"/>
      <c r="S64" s="19"/>
      <c r="T64" s="19"/>
      <c r="U64" s="19"/>
      <c r="V64" s="19"/>
      <c r="W64" s="19"/>
      <c r="X64" s="19"/>
      <c r="Y64" s="19"/>
      <c r="Z64" s="19"/>
      <c r="AA64" s="19"/>
      <c r="AB64" s="19"/>
      <c r="AC64" s="19"/>
      <c r="CO64" s="181">
        <v>61</v>
      </c>
      <c r="CP64" s="80">
        <f>IF(ParamSex="Male",'Growth Params'!$F$8+CO64*'Growth Params'!$F$9/('Growth Params'!$F$10+CO64)+'Growth Params'!$F$11/(1+'Growth Params'!$F$12*EXP(-'Growth Params'!$F$13*'Growth Params'!$F$11*CO64)),'Growth Params'!$E$8+CO64*'Growth Params'!$E$9/('Growth Params'!$E$10+CO64)+'Growth Params'!$E$11/(1+'Growth Params'!$E$12*EXP(-'Growth Params'!$E$13*'Growth Params'!$E$11*CO64)))</f>
        <v>58.268749999990064</v>
      </c>
    </row>
    <row r="65" spans="1:94" x14ac:dyDescent="0.25">
      <c r="A65" t="str">
        <f>IF(E65=BU50,"Defalt","Changed")</f>
        <v>Defalt</v>
      </c>
      <c r="B65" s="19" t="s">
        <v>46</v>
      </c>
      <c r="C65" s="19" t="s">
        <v>94</v>
      </c>
      <c r="D65" s="19">
        <f t="shared" si="6"/>
        <v>1</v>
      </c>
      <c r="E65" s="19">
        <f>'Time Ind Phys Params'!E54</f>
        <v>8.5000000000000006E-3</v>
      </c>
      <c r="F65" s="19"/>
      <c r="G65" s="19"/>
      <c r="H65" s="19"/>
      <c r="I65" s="19"/>
      <c r="J65" s="19"/>
      <c r="K65" s="19"/>
      <c r="L65" s="19"/>
      <c r="M65" s="19"/>
      <c r="N65" s="19"/>
      <c r="O65" s="19"/>
      <c r="P65" s="19"/>
      <c r="Q65" s="19"/>
      <c r="R65" s="19"/>
      <c r="S65" s="19"/>
      <c r="T65" s="19"/>
      <c r="U65" s="19"/>
      <c r="V65" s="19"/>
      <c r="W65" s="19"/>
      <c r="X65" s="19"/>
      <c r="Y65" s="19"/>
      <c r="Z65" s="19"/>
      <c r="AA65" s="19"/>
      <c r="AB65" s="19"/>
      <c r="AC65" s="19"/>
      <c r="CO65" s="181">
        <v>62</v>
      </c>
      <c r="CP65" s="80">
        <f>IF(ParamSex="Male",'Growth Params'!$F$8+CO65*'Growth Params'!$F$9/('Growth Params'!$F$10+CO65)+'Growth Params'!$F$11/(1+'Growth Params'!$F$12*EXP(-'Growth Params'!$F$13*'Growth Params'!$F$11*CO65)),'Growth Params'!$E$8+CO65*'Growth Params'!$E$9/('Growth Params'!$E$10+CO65)+'Growth Params'!$E$11/(1+'Growth Params'!$E$12*EXP(-'Growth Params'!$E$13*'Growth Params'!$E$11*CO65)))</f>
        <v>58.284615384609815</v>
      </c>
    </row>
    <row r="66" spans="1:94" x14ac:dyDescent="0.25">
      <c r="A66" t="str">
        <f>IF(E66=BU51,"Defalt","Changed")</f>
        <v>Defalt</v>
      </c>
      <c r="B66" s="19" t="s">
        <v>46</v>
      </c>
      <c r="C66" s="19" t="s">
        <v>95</v>
      </c>
      <c r="D66" s="19">
        <f t="shared" si="6"/>
        <v>1</v>
      </c>
      <c r="E66" s="19">
        <f>'Time Ind Phys Params'!E55</f>
        <v>2.5000000000000001E-2</v>
      </c>
      <c r="F66" s="19"/>
      <c r="G66" s="19"/>
      <c r="H66" s="19"/>
      <c r="I66" s="19"/>
      <c r="J66" s="19"/>
      <c r="K66" s="19"/>
      <c r="L66" s="19"/>
      <c r="M66" s="19"/>
      <c r="N66" s="19"/>
      <c r="O66" s="19"/>
      <c r="P66" s="19"/>
      <c r="Q66" s="19"/>
      <c r="R66" s="19"/>
      <c r="S66" s="19"/>
      <c r="T66" s="19"/>
      <c r="U66" s="19"/>
      <c r="V66" s="19"/>
      <c r="W66" s="19"/>
      <c r="X66" s="19"/>
      <c r="Y66" s="19"/>
      <c r="Z66" s="19"/>
      <c r="AA66" s="19"/>
      <c r="AB66" s="19"/>
      <c r="AC66" s="19"/>
      <c r="CO66" s="181">
        <v>63</v>
      </c>
      <c r="CP66" s="80">
        <f>IF(ParamSex="Male",'Growth Params'!$F$8+CO66*'Growth Params'!$F$9/('Growth Params'!$F$10+CO66)+'Growth Params'!$F$11/(1+'Growth Params'!$F$12*EXP(-'Growth Params'!$F$13*'Growth Params'!$F$11*CO66)),'Growth Params'!$E$8+CO66*'Growth Params'!$E$9/('Growth Params'!$E$10+CO66)+'Growth Params'!$E$11/(1+'Growth Params'!$E$12*EXP(-'Growth Params'!$E$13*'Growth Params'!$E$11*CO66)))</f>
        <v>58.299999999996871</v>
      </c>
    </row>
    <row r="67" spans="1:94" x14ac:dyDescent="0.25">
      <c r="A67" t="str">
        <f>IF(E67=BU52,"Defalt","Changed")</f>
        <v>Defalt</v>
      </c>
      <c r="B67" s="19" t="s">
        <v>46</v>
      </c>
      <c r="C67" s="19" t="s">
        <v>96</v>
      </c>
      <c r="D67" s="19">
        <f t="shared" si="6"/>
        <v>1</v>
      </c>
      <c r="E67" s="19">
        <f>'Time Ind Phys Params'!E56</f>
        <v>1.4999999999999999E-2</v>
      </c>
      <c r="F67" s="19"/>
      <c r="G67" s="19"/>
      <c r="H67" s="19"/>
      <c r="I67" s="19"/>
      <c r="J67" s="19"/>
      <c r="K67" s="19"/>
      <c r="L67" s="19"/>
      <c r="M67" s="19"/>
      <c r="N67" s="19"/>
      <c r="O67" s="19"/>
      <c r="P67" s="19"/>
      <c r="Q67" s="19"/>
      <c r="R67" s="19"/>
      <c r="S67" s="19"/>
      <c r="T67" s="19"/>
      <c r="U67" s="19"/>
      <c r="V67" s="19"/>
      <c r="W67" s="19"/>
      <c r="X67" s="19"/>
      <c r="Y67" s="19"/>
      <c r="Z67" s="19"/>
      <c r="AA67" s="19"/>
      <c r="AB67" s="19"/>
      <c r="AC67" s="19"/>
      <c r="BI67" t="s">
        <v>332</v>
      </c>
      <c r="CO67" s="181">
        <v>64</v>
      </c>
      <c r="CP67" s="80">
        <f>IF(ParamSex="Male",'Growth Params'!$F$8+CO67*'Growth Params'!$F$9/('Growth Params'!$F$10+CO67)+'Growth Params'!$F$11/(1+'Growth Params'!$F$12*EXP(-'Growth Params'!$F$13*'Growth Params'!$F$11*CO67)),'Growth Params'!$E$8+CO67*'Growth Params'!$E$9/('Growth Params'!$E$10+CO67)+'Growth Params'!$E$11/(1+'Growth Params'!$E$12*EXP(-'Growth Params'!$E$13*'Growth Params'!$E$11*CO67)))</f>
        <v>58.314925373132581</v>
      </c>
    </row>
    <row r="68" spans="1:94" x14ac:dyDescent="0.25">
      <c r="A68" t="str">
        <f ca="1">IF(AND(E68=(BI2*365),F68=(BJ2*365),G68=(BK2*365),H68=(BL2*365),I68=(BM2*365),J68=(BN2*365),K68=(BO2*365),L68=(BP2*365),M68=(BQ2*365),N68=(BR2*365),O68=(BS2*365),P68=(BT2)),"Defalt","Changed")</f>
        <v>Defalt</v>
      </c>
      <c r="B68" s="19" t="s">
        <v>46</v>
      </c>
      <c r="C68" s="19" t="s">
        <v>97</v>
      </c>
      <c r="D68" s="19">
        <f t="shared" ca="1" si="6"/>
        <v>11</v>
      </c>
      <c r="E68" s="19">
        <f ca="1">IF(ISNUMBER(OFFSET('Time Dep Phys Params'!$D$9,0,BI68))=TRUE,OFFSET('Time Dep Phys Params'!$D$9,0,BI68)*365,"")</f>
        <v>0</v>
      </c>
      <c r="F68" s="19">
        <f ca="1">IF(ISNUMBER(OFFSET('Time Dep Phys Params'!$D$9,0,BJ68))=TRUE,OFFSET('Time Dep Phys Params'!$D$9,0,BJ68)*365,"")</f>
        <v>100.01</v>
      </c>
      <c r="G68" s="19">
        <f ca="1">IF(ISNUMBER(OFFSET('Time Dep Phys Params'!$D$9,0,BK68))=TRUE,OFFSET('Time Dep Phys Params'!$D$9,0,BK68)*365,"")</f>
        <v>365</v>
      </c>
      <c r="H68" s="19">
        <f ca="1">IF(ISNUMBER(OFFSET('Time Dep Phys Params'!$D$9,0,BL68))=TRUE,OFFSET('Time Dep Phys Params'!$D$9,0,BL68)*365,"")</f>
        <v>1825</v>
      </c>
      <c r="I68" s="19">
        <f ca="1">IF(ISNUMBER(OFFSET('Time Dep Phys Params'!$D$9,0,BM68))=TRUE,OFFSET('Time Dep Phys Params'!$D$9,0,BM68)*365,"")</f>
        <v>3650</v>
      </c>
      <c r="J68" s="19">
        <f ca="1">IF(ISNUMBER(OFFSET('Time Dep Phys Params'!$D$9,0,BN68))=TRUE,OFFSET('Time Dep Phys Params'!$D$9,0,BN68)*365,"")</f>
        <v>5475</v>
      </c>
      <c r="K68" s="19">
        <f ca="1">IF(ISNUMBER(OFFSET('Time Dep Phys Params'!$D$9,0,BO68))=TRUE,OFFSET('Time Dep Phys Params'!$D$9,0,BO68)*365,"")</f>
        <v>9125</v>
      </c>
      <c r="L68" s="19">
        <f ca="1">IF(ISNUMBER(OFFSET('Time Dep Phys Params'!$D$9,0,BP68))=TRUE,OFFSET('Time Dep Phys Params'!$D$9,0,BP68)*365,"")</f>
        <v>10950</v>
      </c>
      <c r="M68" s="19">
        <f ca="1">IF(ISNUMBER(OFFSET('Time Dep Phys Params'!$D$9,0,BQ68))=TRUE,OFFSET('Time Dep Phys Params'!$D$9,0,BQ68)*365,"")</f>
        <v>14600</v>
      </c>
      <c r="N68" s="19">
        <f ca="1">IF(ISNUMBER(OFFSET('Time Dep Phys Params'!$D$9,0,BR68))=TRUE,OFFSET('Time Dep Phys Params'!$D$9,0,BR68)*365,"")</f>
        <v>21900</v>
      </c>
      <c r="O68" s="19">
        <f ca="1">IF(ISNUMBER(OFFSET('Time Dep Phys Params'!$D$9,0,BS68))=TRUE,OFFSET('Time Dep Phys Params'!$D$9,0,BS68)*365,"")</f>
        <v>32850</v>
      </c>
      <c r="P68" s="19" t="str">
        <f ca="1">IF(ISNUMBER(OFFSET('Time Dep Phys Params'!$D$9,0,BT68))=TRUE,OFFSET('Time Dep Phys Params'!$D$9,0,BT68)*365,"")</f>
        <v/>
      </c>
      <c r="Q68" s="19" t="str">
        <f ca="1">IF(ISNUMBER(OFFSET('Time Dep Phys Params'!$D$9,0,BU68))=TRUE,OFFSET('Time Dep Phys Params'!$D$9,0,BU68)*365,"")</f>
        <v/>
      </c>
      <c r="R68" s="19" t="str">
        <f ca="1">IF(ISNUMBER(OFFSET('Time Dep Phys Params'!$D$9,0,BV68))=TRUE,OFFSET('Time Dep Phys Params'!$D$9,0,BV68)*365,"")</f>
        <v/>
      </c>
      <c r="S68" s="19" t="str">
        <f ca="1">IF(ISNUMBER(OFFSET('Time Dep Phys Params'!$D$9,0,BW68))=TRUE,OFFSET('Time Dep Phys Params'!$D$9,0,BW68)*365,"")</f>
        <v/>
      </c>
      <c r="T68" s="19" t="str">
        <f ca="1">IF(ISNUMBER(OFFSET('Time Dep Phys Params'!$D$9,0,BX68))=TRUE,OFFSET('Time Dep Phys Params'!$D$9,0,BX68)*365,"")</f>
        <v/>
      </c>
      <c r="U68" s="19" t="str">
        <f ca="1">IF(ISNUMBER(OFFSET('Time Dep Phys Params'!$D$9,0,BY68))=TRUE,OFFSET('Time Dep Phys Params'!$D$9,0,BY68)*365,"")</f>
        <v/>
      </c>
      <c r="V68" s="19" t="str">
        <f ca="1">IF(ISNUMBER(OFFSET('Time Dep Phys Params'!$D$9,0,BZ68))=TRUE,OFFSET('Time Dep Phys Params'!$D$9,0,BZ68)*365,"")</f>
        <v/>
      </c>
      <c r="W68" s="19" t="str">
        <f ca="1">IF(ISNUMBER(OFFSET('Time Dep Phys Params'!$D$9,0,CA68))=TRUE,OFFSET('Time Dep Phys Params'!$D$9,0,CA68)*365,"")</f>
        <v/>
      </c>
      <c r="X68" s="19" t="str">
        <f ca="1">IF(ISNUMBER(OFFSET('Time Dep Phys Params'!$D$9,0,CB68))=TRUE,OFFSET('Time Dep Phys Params'!$D$9,0,CB68)*365,"")</f>
        <v/>
      </c>
      <c r="Y68" s="19" t="str">
        <f ca="1">IF(ISNUMBER(OFFSET('Time Dep Phys Params'!$D$9,0,CC68))=TRUE,OFFSET('Time Dep Phys Params'!$D$9,0,CC68)*365,"")</f>
        <v/>
      </c>
      <c r="Z68" s="19" t="str">
        <f ca="1">IF(ISNUMBER(OFFSET('Time Dep Phys Params'!$D$9,0,CD68))=TRUE,OFFSET('Time Dep Phys Params'!$D$9,0,CD68)*365,"")</f>
        <v/>
      </c>
      <c r="AA68" s="19" t="str">
        <f ca="1">IF(ISNUMBER(OFFSET('Time Dep Phys Params'!$D$9,0,CE68))=TRUE,OFFSET('Time Dep Phys Params'!$D$9,0,CE68)*365,"")</f>
        <v/>
      </c>
      <c r="AB68" s="19" t="str">
        <f ca="1">IF(ISNUMBER(OFFSET('Time Dep Phys Params'!$D$9,0,CF68))=TRUE,OFFSET('Time Dep Phys Params'!$D$9,0,CF68)*365,"")</f>
        <v/>
      </c>
      <c r="AC68" s="19" t="str">
        <f ca="1">IF(ISNUMBER(OFFSET('Time Dep Phys Params'!$D$9,0,CG68))=TRUE,OFFSET('Time Dep Phys Params'!$D$9,0,CG68)*365,"")</f>
        <v/>
      </c>
      <c r="BI68">
        <v>1</v>
      </c>
      <c r="BJ68">
        <v>2</v>
      </c>
      <c r="BK68">
        <v>3</v>
      </c>
      <c r="BL68">
        <v>4</v>
      </c>
      <c r="BM68">
        <v>5</v>
      </c>
      <c r="BN68">
        <v>6</v>
      </c>
      <c r="BO68">
        <v>7</v>
      </c>
      <c r="BP68">
        <v>8</v>
      </c>
      <c r="BQ68">
        <v>9</v>
      </c>
      <c r="BR68">
        <v>10</v>
      </c>
      <c r="BS68">
        <v>11</v>
      </c>
      <c r="BT68">
        <v>12</v>
      </c>
      <c r="BU68">
        <v>13</v>
      </c>
      <c r="BV68">
        <v>14</v>
      </c>
      <c r="BW68">
        <v>15</v>
      </c>
      <c r="BX68">
        <v>16</v>
      </c>
      <c r="BY68">
        <v>17</v>
      </c>
      <c r="BZ68">
        <v>18</v>
      </c>
      <c r="CA68">
        <v>19</v>
      </c>
      <c r="CB68">
        <v>20</v>
      </c>
      <c r="CC68">
        <v>21</v>
      </c>
      <c r="CD68">
        <v>22</v>
      </c>
      <c r="CE68">
        <v>23</v>
      </c>
      <c r="CF68">
        <v>24</v>
      </c>
      <c r="CG68">
        <v>25</v>
      </c>
      <c r="CO68" s="181">
        <v>65</v>
      </c>
      <c r="CP68" s="80">
        <f>IF(ParamSex="Male",'Growth Params'!$F$8+CO68*'Growth Params'!$F$9/('Growth Params'!$F$10+CO68)+'Growth Params'!$F$11/(1+'Growth Params'!$F$12*EXP(-'Growth Params'!$F$13*'Growth Params'!$F$11*CO68)),'Growth Params'!$E$8+CO68*'Growth Params'!$E$9/('Growth Params'!$E$10+CO68)+'Growth Params'!$E$11/(1+'Growth Params'!$E$12*EXP(-'Growth Params'!$E$13*'Growth Params'!$E$11*CO68)))</f>
        <v>58.329411764704901</v>
      </c>
    </row>
    <row r="69" spans="1:94" x14ac:dyDescent="0.25">
      <c r="A69" t="str">
        <f ca="1">IF(AND(E69=(BI3),F69=(BJ3),G69=(BK3),H69=(BL3),I69=(BM3),J69=(BN3),K69=(BO3),L69=(BP3),M69=(BQ3),N69=(BR3),O69=(BS3),P69=(BT3)),"Defalt","Changed")</f>
        <v>Defalt</v>
      </c>
      <c r="B69" s="19" t="s">
        <v>46</v>
      </c>
      <c r="C69" s="19" t="s">
        <v>98</v>
      </c>
      <c r="D69" s="19">
        <f t="shared" ca="1" si="6"/>
        <v>11</v>
      </c>
      <c r="E69" s="19">
        <f ca="1">IF(ISNUMBER(OFFSET('Time Dep Phys Params'!$D$10,0,BI68))=TRUE,OFFSET('Time Dep Phys Params'!$D$10,0,BI68),"")</f>
        <v>0.39096774193548389</v>
      </c>
      <c r="F69" s="19">
        <f ca="1">IF(ISNUMBER(OFFSET('Time Dep Phys Params'!$D$10,0,BJ68))=TRUE,OFFSET('Time Dep Phys Params'!$D$10,0,BJ68),"")</f>
        <v>0.388240525204816</v>
      </c>
      <c r="G69" s="19">
        <f ca="1">IF(ISNUMBER(OFFSET('Time Dep Phys Params'!$D$10,0,BK68))=TRUE,OFFSET('Time Dep Phys Params'!$D$10,0,BK68),"")</f>
        <v>0.37673719799960598</v>
      </c>
      <c r="H69" s="19">
        <f ca="1">IF(ISNUMBER(OFFSET('Time Dep Phys Params'!$D$10,0,BL68))=TRUE,OFFSET('Time Dep Phys Params'!$D$10,0,BL68),"")</f>
        <v>0.1670817289613179</v>
      </c>
      <c r="I69" s="19">
        <f ca="1">IF(ISNUMBER(OFFSET('Time Dep Phys Params'!$D$10,0,BM68))=TRUE,OFFSET('Time Dep Phys Params'!$D$10,0,BM68),"")</f>
        <v>0.1203808407057661</v>
      </c>
      <c r="J69" s="19">
        <f ca="1">IF(ISNUMBER(OFFSET('Time Dep Phys Params'!$D$10,0,BN68))=TRUE,OFFSET('Time Dep Phys Params'!$D$10,0,BN68),"")</f>
        <v>0.12000256955591121</v>
      </c>
      <c r="K69" s="19">
        <f ca="1">IF(ISNUMBER(OFFSET('Time Dep Phys Params'!$D$10,0,BO68))=TRUE,OFFSET('Time Dep Phys Params'!$D$10,0,BO68),"")</f>
        <v>0.12000000011665873</v>
      </c>
      <c r="L69" s="19">
        <f ca="1">IF(ISNUMBER(OFFSET('Time Dep Phys Params'!$D$10,0,BP68))=TRUE,OFFSET('Time Dep Phys Params'!$D$10,0,BP68),"")</f>
        <v>0.12000000000078603</v>
      </c>
      <c r="M69" s="19">
        <f ca="1">IF(ISNUMBER(OFFSET('Time Dep Phys Params'!$D$10,0,BQ68))=TRUE,OFFSET('Time Dep Phys Params'!$D$10,0,BQ68),"")</f>
        <v>0.12000000000000005</v>
      </c>
      <c r="N69" s="19">
        <f ca="1">IF(ISNUMBER(OFFSET('Time Dep Phys Params'!$D$10,0,BR68))=TRUE,OFFSET('Time Dep Phys Params'!$D$10,0,BR68),"")</f>
        <v>0.12</v>
      </c>
      <c r="O69" s="19">
        <f ca="1">IF(ISNUMBER(OFFSET('Time Dep Phys Params'!$D$10,0,BS68))=TRUE,OFFSET('Time Dep Phys Params'!$D$10,0,BS68),"")</f>
        <v>0.12</v>
      </c>
      <c r="P69" s="19" t="str">
        <f ca="1">IF(ISNUMBER(OFFSET('Time Dep Phys Params'!$D$10,0,BT68))=TRUE,OFFSET('Time Dep Phys Params'!$D$10,0,BT68),"")</f>
        <v/>
      </c>
      <c r="Q69" s="19" t="str">
        <f ca="1">IF(ISNUMBER(OFFSET('Time Dep Phys Params'!$D$10,0,BU68))=TRUE,OFFSET('Time Dep Phys Params'!$D$10,0,BU68),"")</f>
        <v/>
      </c>
      <c r="R69" s="19" t="str">
        <f ca="1">IF(ISNUMBER(OFFSET('Time Dep Phys Params'!$D$10,0,BV68))=TRUE,OFFSET('Time Dep Phys Params'!$D$10,0,BV68),"")</f>
        <v/>
      </c>
      <c r="S69" s="19" t="str">
        <f ca="1">IF(ISNUMBER(OFFSET('Time Dep Phys Params'!$D$10,0,BW68))=TRUE,OFFSET('Time Dep Phys Params'!$D$10,0,BW68),"")</f>
        <v/>
      </c>
      <c r="T69" s="19" t="str">
        <f ca="1">IF(ISNUMBER(OFFSET('Time Dep Phys Params'!$D$10,0,BX68))=TRUE,OFFSET('Time Dep Phys Params'!$D$10,0,BX68),"")</f>
        <v/>
      </c>
      <c r="U69" s="19" t="str">
        <f ca="1">IF(ISNUMBER(OFFSET('Time Dep Phys Params'!$D$10,0,BY68))=TRUE,OFFSET('Time Dep Phys Params'!$D$10,0,BY68),"")</f>
        <v/>
      </c>
      <c r="V69" s="19" t="str">
        <f ca="1">IF(ISNUMBER(OFFSET('Time Dep Phys Params'!$D$10,0,BZ68))=TRUE,OFFSET('Time Dep Phys Params'!$D$10,0,BZ68),"")</f>
        <v/>
      </c>
      <c r="W69" s="19" t="str">
        <f ca="1">IF(ISNUMBER(OFFSET('Time Dep Phys Params'!$D$10,0,CA68))=TRUE,OFFSET('Time Dep Phys Params'!$D$10,0,CA68),"")</f>
        <v/>
      </c>
      <c r="X69" s="19" t="str">
        <f ca="1">IF(ISNUMBER(OFFSET('Time Dep Phys Params'!$D$10,0,CB68))=TRUE,OFFSET('Time Dep Phys Params'!$D$10,0,CB68),"")</f>
        <v/>
      </c>
      <c r="Y69" s="19" t="str">
        <f ca="1">IF(ISNUMBER(OFFSET('Time Dep Phys Params'!$D$10,0,CC68))=TRUE,OFFSET('Time Dep Phys Params'!$D$10,0,CC68),"")</f>
        <v/>
      </c>
      <c r="Z69" s="19" t="str">
        <f ca="1">IF(ISNUMBER(OFFSET('Time Dep Phys Params'!$D$10,0,CD68))=TRUE,OFFSET('Time Dep Phys Params'!$D$10,0,CD68),"")</f>
        <v/>
      </c>
      <c r="AA69" s="19" t="str">
        <f ca="1">IF(ISNUMBER(OFFSET('Time Dep Phys Params'!$D$10,0,CE68))=TRUE,OFFSET('Time Dep Phys Params'!$D$10,0,CE68),"")</f>
        <v/>
      </c>
      <c r="AB69" s="19" t="str">
        <f ca="1">IF(ISNUMBER(OFFSET('Time Dep Phys Params'!$D$10,0,CF68))=TRUE,OFFSET('Time Dep Phys Params'!$D$10,0,CF68),"")</f>
        <v/>
      </c>
      <c r="AC69" s="19" t="str">
        <f ca="1">IF(ISNUMBER(OFFSET('Time Dep Phys Params'!$D$10,0,CG68))=TRUE,OFFSET('Time Dep Phys Params'!$D$10,0,CG68),"")</f>
        <v/>
      </c>
      <c r="CO69" s="181">
        <v>66</v>
      </c>
      <c r="CP69" s="80">
        <f>IF(ParamSex="Male",'Growth Params'!$F$8+CO69*'Growth Params'!$F$9/('Growth Params'!$F$10+CO69)+'Growth Params'!$F$11/(1+'Growth Params'!$F$12*EXP(-'Growth Params'!$F$13*'Growth Params'!$F$11*CO69)),'Growth Params'!$E$8+CO69*'Growth Params'!$E$9/('Growth Params'!$E$10+CO69)+'Growth Params'!$E$11/(1+'Growth Params'!$E$12*EXP(-'Growth Params'!$E$13*'Growth Params'!$E$11*CO69)))</f>
        <v>58.343478260869013</v>
      </c>
    </row>
    <row r="70" spans="1:94" x14ac:dyDescent="0.25">
      <c r="A70" t="str">
        <f t="shared" ref="A70:A90" ca="1" si="8">IF(AND(E70=(BI4),F70=(BJ4),G70=(BK4),H70=(BL4),I70=(BM4),J70=(BN4),K70=(BO4),L70=(BP4),M70=(BQ4),N70=(BR4),O70=(BS4),P70=(BT4)),"Defalt","Changed")</f>
        <v>Defalt</v>
      </c>
      <c r="B70" s="19" t="s">
        <v>46</v>
      </c>
      <c r="C70" s="19" t="s">
        <v>99</v>
      </c>
      <c r="D70" s="19">
        <f t="shared" ca="1" si="6"/>
        <v>11</v>
      </c>
      <c r="E70" s="19">
        <f ca="1">IF(ISNUMBER(OFFSET('Time Dep Phys Params'!$D$11,0,BI$68))=TRUE,OFFSET('Time Dep Phys Params'!$D$11,0,BI$68),"")</f>
        <v>3</v>
      </c>
      <c r="F70" s="19">
        <f ca="1">IF(ISNUMBER(OFFSET('Time Dep Phys Params'!$D$11,0,BJ$68))=TRUE,OFFSET('Time Dep Phys Params'!$D$11,0,BJ$68),"")</f>
        <v>5.5</v>
      </c>
      <c r="G70" s="19">
        <f ca="1">IF(ISNUMBER(OFFSET('Time Dep Phys Params'!$D$11,0,BK$68))=TRUE,OFFSET('Time Dep Phys Params'!$D$11,0,BK$68),"")</f>
        <v>8</v>
      </c>
      <c r="H70" s="19">
        <f ca="1">IF(ISNUMBER(OFFSET('Time Dep Phys Params'!$D$11,0,BL$68))=TRUE,OFFSET('Time Dep Phys Params'!$D$11,0,BL$68),"")</f>
        <v>17</v>
      </c>
      <c r="I70" s="19">
        <f ca="1">IF(ISNUMBER(OFFSET('Time Dep Phys Params'!$D$11,0,BM$68))=TRUE,OFFSET('Time Dep Phys Params'!$D$11,0,BM$68),"")</f>
        <v>30</v>
      </c>
      <c r="J70" s="19">
        <f ca="1">IF(ISNUMBER(OFFSET('Time Dep Phys Params'!$D$11,0,BN$68))=TRUE,OFFSET('Time Dep Phys Params'!$D$11,0,BN$68),"")</f>
        <v>50</v>
      </c>
      <c r="K70" s="19">
        <f ca="1">IF(ISNUMBER(OFFSET('Time Dep Phys Params'!$D$11,0,BO$68))=TRUE,OFFSET('Time Dep Phys Params'!$D$11,0,BO$68),"")</f>
        <v>52</v>
      </c>
      <c r="L70" s="19">
        <f ca="1">IF(ISNUMBER(OFFSET('Time Dep Phys Params'!$D$11,0,BP$68))=TRUE,OFFSET('Time Dep Phys Params'!$D$11,0,BP$68),"")</f>
        <v>52</v>
      </c>
      <c r="M70" s="19">
        <f ca="1">IF(ISNUMBER(OFFSET('Time Dep Phys Params'!$D$11,0,BQ$68))=TRUE,OFFSET('Time Dep Phys Params'!$D$11,0,BQ$68),"")</f>
        <v>52</v>
      </c>
      <c r="N70" s="19">
        <f ca="1">IF(ISNUMBER(OFFSET('Time Dep Phys Params'!$D$11,0,BR$68))=TRUE,OFFSET('Time Dep Phys Params'!$D$11,0,BR$68),"")</f>
        <v>52</v>
      </c>
      <c r="O70" s="19">
        <f ca="1">IF(ISNUMBER(OFFSET('Time Dep Phys Params'!$D$11,0,BS$68))=TRUE,OFFSET('Time Dep Phys Params'!$D$11,0,BS$68),"")</f>
        <v>52</v>
      </c>
      <c r="P70" s="19" t="str">
        <f ca="1">IF(ISNUMBER(OFFSET('Time Dep Phys Params'!$D$11,0,BT$68))=TRUE,OFFSET('Time Dep Phys Params'!$D$11,0,BT$68),"")</f>
        <v/>
      </c>
      <c r="Q70" s="19" t="str">
        <f ca="1">IF(ISNUMBER(OFFSET('Time Dep Phys Params'!$D$11,0,BU$68))=TRUE,OFFSET('Time Dep Phys Params'!$D$11,0,BU$68),"")</f>
        <v/>
      </c>
      <c r="R70" s="19" t="str">
        <f ca="1">IF(ISNUMBER(OFFSET('Time Dep Phys Params'!$D$11,0,BV$68))=TRUE,OFFSET('Time Dep Phys Params'!$D$11,0,BV$68),"")</f>
        <v/>
      </c>
      <c r="S70" s="19" t="str">
        <f ca="1">IF(ISNUMBER(OFFSET('Time Dep Phys Params'!$D$11,0,BW$68))=TRUE,OFFSET('Time Dep Phys Params'!$D$11,0,BW$68),"")</f>
        <v/>
      </c>
      <c r="T70" s="19" t="str">
        <f ca="1">IF(ISNUMBER(OFFSET('Time Dep Phys Params'!$D$11,0,BX$68))=TRUE,OFFSET('Time Dep Phys Params'!$D$11,0,BX$68),"")</f>
        <v/>
      </c>
      <c r="U70" s="19" t="str">
        <f ca="1">IF(ISNUMBER(OFFSET('Time Dep Phys Params'!$D$11,0,BY$68))=TRUE,OFFSET('Time Dep Phys Params'!$D$11,0,BY$68),"")</f>
        <v/>
      </c>
      <c r="V70" s="19" t="str">
        <f ca="1">IF(ISNUMBER(OFFSET('Time Dep Phys Params'!$D$11,0,BZ$68))=TRUE,OFFSET('Time Dep Phys Params'!$D$11,0,BZ$68),"")</f>
        <v/>
      </c>
      <c r="W70" s="19" t="str">
        <f ca="1">IF(ISNUMBER(OFFSET('Time Dep Phys Params'!$D$11,0,CA$68))=TRUE,OFFSET('Time Dep Phys Params'!$D$11,0,CA$68),"")</f>
        <v/>
      </c>
      <c r="X70" s="19" t="str">
        <f ca="1">IF(ISNUMBER(OFFSET('Time Dep Phys Params'!$D$11,0,CB$68))=TRUE,OFFSET('Time Dep Phys Params'!$D$11,0,CB$68),"")</f>
        <v/>
      </c>
      <c r="Y70" s="19" t="str">
        <f ca="1">IF(ISNUMBER(OFFSET('Time Dep Phys Params'!$D$11,0,CC$68))=TRUE,OFFSET('Time Dep Phys Params'!$D$11,0,CC$68),"")</f>
        <v/>
      </c>
      <c r="Z70" s="19" t="str">
        <f ca="1">IF(ISNUMBER(OFFSET('Time Dep Phys Params'!$D$11,0,CD$68))=TRUE,OFFSET('Time Dep Phys Params'!$D$11,0,CD$68),"")</f>
        <v/>
      </c>
      <c r="AA70" s="19" t="str">
        <f ca="1">IF(ISNUMBER(OFFSET('Time Dep Phys Params'!$D$11,0,CE$68))=TRUE,OFFSET('Time Dep Phys Params'!$D$11,0,CE$68),"")</f>
        <v/>
      </c>
      <c r="AB70" s="19" t="str">
        <f ca="1">IF(ISNUMBER(OFFSET('Time Dep Phys Params'!$D$11,0,CF$68))=TRUE,OFFSET('Time Dep Phys Params'!$D$11,0,CF$68),"")</f>
        <v/>
      </c>
      <c r="AC70" s="19" t="str">
        <f ca="1">IF(ISNUMBER(OFFSET('Time Dep Phys Params'!$D$11,0,CG$68))=TRUE,OFFSET('Time Dep Phys Params'!$D$11,0,CG$68),"")</f>
        <v/>
      </c>
      <c r="CO70" s="181">
        <v>67</v>
      </c>
      <c r="CP70" s="80">
        <f>IF(ParamSex="Male",'Growth Params'!$F$8+CO70*'Growth Params'!$F$9/('Growth Params'!$F$10+CO70)+'Growth Params'!$F$11/(1+'Growth Params'!$F$12*EXP(-'Growth Params'!$F$13*'Growth Params'!$F$11*CO70)),'Growth Params'!$E$8+CO70*'Growth Params'!$E$9/('Growth Params'!$E$10+CO70)+'Growth Params'!$E$11/(1+'Growth Params'!$E$12*EXP(-'Growth Params'!$E$13*'Growth Params'!$E$11*CO70)))</f>
        <v>58.357142857142549</v>
      </c>
    </row>
    <row r="71" spans="1:94" x14ac:dyDescent="0.25">
      <c r="A71" t="str">
        <f t="shared" ca="1" si="8"/>
        <v>Defalt</v>
      </c>
      <c r="B71" s="19" t="s">
        <v>46</v>
      </c>
      <c r="C71" s="19" t="s">
        <v>100</v>
      </c>
      <c r="D71" s="19">
        <f t="shared" ca="1" si="6"/>
        <v>11</v>
      </c>
      <c r="E71" s="19">
        <f ca="1">IF(ISNUMBER(OFFSET('Time Dep Phys Params'!$D$12,0,BI$68))=TRUE,OFFSET('Time Dep Phys Params'!$D$12,0,BI$68),"")</f>
        <v>0.60000000000000009</v>
      </c>
      <c r="F71" s="19">
        <f ca="1">IF(ISNUMBER(OFFSET('Time Dep Phys Params'!$D$12,0,BJ$68))=TRUE,OFFSET('Time Dep Phys Params'!$D$12,0,BJ$68),"")</f>
        <v>0.60000000000000009</v>
      </c>
      <c r="G71" s="19">
        <f ca="1">IF(ISNUMBER(OFFSET('Time Dep Phys Params'!$D$12,0,BK$68))=TRUE,OFFSET('Time Dep Phys Params'!$D$12,0,BK$68),"")</f>
        <v>0.60000000000000009</v>
      </c>
      <c r="H71" s="19">
        <f ca="1">IF(ISNUMBER(OFFSET('Time Dep Phys Params'!$D$12,0,BL$68))=TRUE,OFFSET('Time Dep Phys Params'!$D$12,0,BL$68),"")</f>
        <v>0.60000000000000009</v>
      </c>
      <c r="I71" s="19">
        <f ca="1">IF(ISNUMBER(OFFSET('Time Dep Phys Params'!$D$12,0,BM$68))=TRUE,OFFSET('Time Dep Phys Params'!$D$12,0,BM$68),"")</f>
        <v>0.60000000000000009</v>
      </c>
      <c r="J71" s="19">
        <f ca="1">IF(ISNUMBER(OFFSET('Time Dep Phys Params'!$D$12,0,BN$68))=TRUE,OFFSET('Time Dep Phys Params'!$D$12,0,BN$68),"")</f>
        <v>0.60000000000000009</v>
      </c>
      <c r="K71" s="19">
        <f ca="1">IF(ISNUMBER(OFFSET('Time Dep Phys Params'!$D$12,0,BO$68))=TRUE,OFFSET('Time Dep Phys Params'!$D$12,0,BO$68),"")</f>
        <v>0.60000000000000009</v>
      </c>
      <c r="L71" s="19">
        <f ca="1">IF(ISNUMBER(OFFSET('Time Dep Phys Params'!$D$12,0,BP$68))=TRUE,OFFSET('Time Dep Phys Params'!$D$12,0,BP$68),"")</f>
        <v>0.60000000000000009</v>
      </c>
      <c r="M71" s="19">
        <f ca="1">IF(ISNUMBER(OFFSET('Time Dep Phys Params'!$D$12,0,BQ$68))=TRUE,OFFSET('Time Dep Phys Params'!$D$12,0,BQ$68),"")</f>
        <v>0.60000000000000009</v>
      </c>
      <c r="N71" s="19">
        <f ca="1">IF(ISNUMBER(OFFSET('Time Dep Phys Params'!$D$12,0,BR$68))=TRUE,OFFSET('Time Dep Phys Params'!$D$12,0,BR$68),"")</f>
        <v>0.60000000000000009</v>
      </c>
      <c r="O71" s="19">
        <f ca="1">IF(ISNUMBER(OFFSET('Time Dep Phys Params'!$D$12,0,BS$68))=TRUE,OFFSET('Time Dep Phys Params'!$D$12,0,BS$68),"")</f>
        <v>0.60000000000000009</v>
      </c>
      <c r="P71" s="19" t="str">
        <f ca="1">IF(ISNUMBER(OFFSET('Time Dep Phys Params'!$D$12,0,BT$68))=TRUE,OFFSET('Time Dep Phys Params'!$D$12,0,BT$68),"")</f>
        <v/>
      </c>
      <c r="Q71" s="19" t="str">
        <f ca="1">IF(ISNUMBER(OFFSET('Time Dep Phys Params'!$D$12,0,BU$68))=TRUE,OFFSET('Time Dep Phys Params'!$D$12,0,BU$68),"")</f>
        <v/>
      </c>
      <c r="R71" s="19" t="str">
        <f ca="1">IF(ISNUMBER(OFFSET('Time Dep Phys Params'!$D$12,0,BV$68))=TRUE,OFFSET('Time Dep Phys Params'!$D$12,0,BV$68),"")</f>
        <v/>
      </c>
      <c r="S71" s="19" t="str">
        <f ca="1">IF(ISNUMBER(OFFSET('Time Dep Phys Params'!$D$12,0,BW$68))=TRUE,OFFSET('Time Dep Phys Params'!$D$12,0,BW$68),"")</f>
        <v/>
      </c>
      <c r="T71" s="19" t="str">
        <f ca="1">IF(ISNUMBER(OFFSET('Time Dep Phys Params'!$D$12,0,BX$68))=TRUE,OFFSET('Time Dep Phys Params'!$D$12,0,BX$68),"")</f>
        <v/>
      </c>
      <c r="U71" s="19" t="str">
        <f ca="1">IF(ISNUMBER(OFFSET('Time Dep Phys Params'!$D$12,0,BY$68))=TRUE,OFFSET('Time Dep Phys Params'!$D$12,0,BY$68),"")</f>
        <v/>
      </c>
      <c r="V71" s="19" t="str">
        <f ca="1">IF(ISNUMBER(OFFSET('Time Dep Phys Params'!$D$12,0,BZ$68))=TRUE,OFFSET('Time Dep Phys Params'!$D$12,0,BZ$68),"")</f>
        <v/>
      </c>
      <c r="W71" s="19" t="str">
        <f ca="1">IF(ISNUMBER(OFFSET('Time Dep Phys Params'!$D$12,0,CA$68))=TRUE,OFFSET('Time Dep Phys Params'!$D$12,0,CA$68),"")</f>
        <v/>
      </c>
      <c r="X71" s="19" t="str">
        <f ca="1">IF(ISNUMBER(OFFSET('Time Dep Phys Params'!$D$12,0,CB$68))=TRUE,OFFSET('Time Dep Phys Params'!$D$12,0,CB$68),"")</f>
        <v/>
      </c>
      <c r="Y71" s="19" t="str">
        <f ca="1">IF(ISNUMBER(OFFSET('Time Dep Phys Params'!$D$12,0,CC$68))=TRUE,OFFSET('Time Dep Phys Params'!$D$12,0,CC$68),"")</f>
        <v/>
      </c>
      <c r="Z71" s="19" t="str">
        <f ca="1">IF(ISNUMBER(OFFSET('Time Dep Phys Params'!$D$12,0,CD$68))=TRUE,OFFSET('Time Dep Phys Params'!$D$12,0,CD$68),"")</f>
        <v/>
      </c>
      <c r="AA71" s="19" t="str">
        <f ca="1">IF(ISNUMBER(OFFSET('Time Dep Phys Params'!$D$12,0,CE$68))=TRUE,OFFSET('Time Dep Phys Params'!$D$12,0,CE$68),"")</f>
        <v/>
      </c>
      <c r="AB71" s="19" t="str">
        <f ca="1">IF(ISNUMBER(OFFSET('Time Dep Phys Params'!$D$12,0,CF$68))=TRUE,OFFSET('Time Dep Phys Params'!$D$12,0,CF$68),"")</f>
        <v/>
      </c>
      <c r="AC71" s="19" t="str">
        <f ca="1">IF(ISNUMBER(OFFSET('Time Dep Phys Params'!$D$12,0,CG$68))=TRUE,OFFSET('Time Dep Phys Params'!$D$12,0,CG$68),"")</f>
        <v/>
      </c>
      <c r="CO71" s="181">
        <v>68</v>
      </c>
      <c r="CP71" s="80">
        <f>IF(ParamSex="Male",'Growth Params'!$F$8+CO71*'Growth Params'!$F$9/('Growth Params'!$F$10+CO71)+'Growth Params'!$F$11/(1+'Growth Params'!$F$12*EXP(-'Growth Params'!$F$13*'Growth Params'!$F$11*CO71)),'Growth Params'!$E$8+CO71*'Growth Params'!$E$9/('Growth Params'!$E$10+CO71)+'Growth Params'!$E$11/(1+'Growth Params'!$E$12*EXP(-'Growth Params'!$E$13*'Growth Params'!$E$11*CO71)))</f>
        <v>58.370422535211098</v>
      </c>
    </row>
    <row r="72" spans="1:94" x14ac:dyDescent="0.25">
      <c r="A72" t="str">
        <f t="shared" ca="1" si="8"/>
        <v>Defalt</v>
      </c>
      <c r="B72" s="19" t="s">
        <v>46</v>
      </c>
      <c r="C72" s="19" t="s">
        <v>101</v>
      </c>
      <c r="D72" s="19">
        <f t="shared" ref="D72:D101" ca="1" si="9">COUNT(E72:AC72)</f>
        <v>11</v>
      </c>
      <c r="E72" s="19">
        <f ca="1">IF(ISNUMBER(OFFSET('Time Dep Phys Params'!$D$13,0,BI$68))=TRUE,OFFSET('Time Dep Phys Params'!$D$13,0,BI$68),"")</f>
        <v>1.6666700000000001</v>
      </c>
      <c r="F72" s="19">
        <f ca="1">IF(ISNUMBER(OFFSET('Time Dep Phys Params'!$D$13,0,BJ$68))=TRUE,OFFSET('Time Dep Phys Params'!$D$13,0,BJ$68),"")</f>
        <v>1.6666700000000001</v>
      </c>
      <c r="G72" s="19">
        <f ca="1">IF(ISNUMBER(OFFSET('Time Dep Phys Params'!$D$13,0,BK$68))=TRUE,OFFSET('Time Dep Phys Params'!$D$13,0,BK$68),"")</f>
        <v>1.6666700000000001</v>
      </c>
      <c r="H72" s="19">
        <f ca="1">IF(ISNUMBER(OFFSET('Time Dep Phys Params'!$D$13,0,BL$68))=TRUE,OFFSET('Time Dep Phys Params'!$D$13,0,BL$68),"")</f>
        <v>1.6666700000000001</v>
      </c>
      <c r="I72" s="19">
        <f ca="1">IF(ISNUMBER(OFFSET('Time Dep Phys Params'!$D$13,0,BM$68))=TRUE,OFFSET('Time Dep Phys Params'!$D$13,0,BM$68),"")</f>
        <v>1.6666700000000001</v>
      </c>
      <c r="J72" s="19">
        <f ca="1">IF(ISNUMBER(OFFSET('Time Dep Phys Params'!$D$13,0,BN$68))=TRUE,OFFSET('Time Dep Phys Params'!$D$13,0,BN$68),"")</f>
        <v>1.3333299999999999</v>
      </c>
      <c r="K72" s="19">
        <f ca="1">IF(ISNUMBER(OFFSET('Time Dep Phys Params'!$D$13,0,BO$68))=TRUE,OFFSET('Time Dep Phys Params'!$D$13,0,BO$68),"")</f>
        <v>1</v>
      </c>
      <c r="L72" s="19">
        <f ca="1">IF(ISNUMBER(OFFSET('Time Dep Phys Params'!$D$13,0,BP$68))=TRUE,OFFSET('Time Dep Phys Params'!$D$13,0,BP$68),"")</f>
        <v>1</v>
      </c>
      <c r="M72" s="19">
        <f ca="1">IF(ISNUMBER(OFFSET('Time Dep Phys Params'!$D$13,0,BQ$68))=TRUE,OFFSET('Time Dep Phys Params'!$D$13,0,BQ$68),"")</f>
        <v>1</v>
      </c>
      <c r="N72" s="19">
        <f ca="1">IF(ISNUMBER(OFFSET('Time Dep Phys Params'!$D$13,0,BR$68))=TRUE,OFFSET('Time Dep Phys Params'!$D$13,0,BR$68),"")</f>
        <v>1</v>
      </c>
      <c r="O72" s="19">
        <f ca="1">IF(ISNUMBER(OFFSET('Time Dep Phys Params'!$D$13,0,BS$68))=TRUE,OFFSET('Time Dep Phys Params'!$D$13,0,BS$68),"")</f>
        <v>1</v>
      </c>
      <c r="P72" s="19" t="str">
        <f ca="1">IF(ISNUMBER(OFFSET('Time Dep Phys Params'!$D$13,0,BT$68))=TRUE,OFFSET('Time Dep Phys Params'!$D$13,0,BT$68),"")</f>
        <v/>
      </c>
      <c r="Q72" s="19" t="str">
        <f ca="1">IF(ISNUMBER(OFFSET('Time Dep Phys Params'!$D$13,0,BU$68))=TRUE,OFFSET('Time Dep Phys Params'!$D$13,0,BU$68),"")</f>
        <v/>
      </c>
      <c r="R72" s="19" t="str">
        <f ca="1">IF(ISNUMBER(OFFSET('Time Dep Phys Params'!$D$13,0,BV$68))=TRUE,OFFSET('Time Dep Phys Params'!$D$13,0,BV$68),"")</f>
        <v/>
      </c>
      <c r="S72" s="19" t="str">
        <f ca="1">IF(ISNUMBER(OFFSET('Time Dep Phys Params'!$D$13,0,BW$68))=TRUE,OFFSET('Time Dep Phys Params'!$D$13,0,BW$68),"")</f>
        <v/>
      </c>
      <c r="T72" s="19" t="str">
        <f ca="1">IF(ISNUMBER(OFFSET('Time Dep Phys Params'!$D$13,0,BX$68))=TRUE,OFFSET('Time Dep Phys Params'!$D$13,0,BX$68),"")</f>
        <v/>
      </c>
      <c r="U72" s="19" t="str">
        <f ca="1">IF(ISNUMBER(OFFSET('Time Dep Phys Params'!$D$13,0,BY$68))=TRUE,OFFSET('Time Dep Phys Params'!$D$13,0,BY$68),"")</f>
        <v/>
      </c>
      <c r="V72" s="19" t="str">
        <f ca="1">IF(ISNUMBER(OFFSET('Time Dep Phys Params'!$D$13,0,BZ$68))=TRUE,OFFSET('Time Dep Phys Params'!$D$13,0,BZ$68),"")</f>
        <v/>
      </c>
      <c r="W72" s="19" t="str">
        <f ca="1">IF(ISNUMBER(OFFSET('Time Dep Phys Params'!$D$13,0,CA$68))=TRUE,OFFSET('Time Dep Phys Params'!$D$13,0,CA$68),"")</f>
        <v/>
      </c>
      <c r="X72" s="19" t="str">
        <f ca="1">IF(ISNUMBER(OFFSET('Time Dep Phys Params'!$D$13,0,CB$68))=TRUE,OFFSET('Time Dep Phys Params'!$D$13,0,CB$68),"")</f>
        <v/>
      </c>
      <c r="Y72" s="19" t="str">
        <f ca="1">IF(ISNUMBER(OFFSET('Time Dep Phys Params'!$D$13,0,CC$68))=TRUE,OFFSET('Time Dep Phys Params'!$D$13,0,CC$68),"")</f>
        <v/>
      </c>
      <c r="Z72" s="19" t="str">
        <f ca="1">IF(ISNUMBER(OFFSET('Time Dep Phys Params'!$D$13,0,CD$68))=TRUE,OFFSET('Time Dep Phys Params'!$D$13,0,CD$68),"")</f>
        <v/>
      </c>
      <c r="AA72" s="19" t="str">
        <f ca="1">IF(ISNUMBER(OFFSET('Time Dep Phys Params'!$D$13,0,CE$68))=TRUE,OFFSET('Time Dep Phys Params'!$D$13,0,CE$68),"")</f>
        <v/>
      </c>
      <c r="AB72" s="19" t="str">
        <f ca="1">IF(ISNUMBER(OFFSET('Time Dep Phys Params'!$D$13,0,CF$68))=TRUE,OFFSET('Time Dep Phys Params'!$D$13,0,CF$68),"")</f>
        <v/>
      </c>
      <c r="AC72" s="19" t="str">
        <f ca="1">IF(ISNUMBER(OFFSET('Time Dep Phys Params'!$D$13,0,CG$68))=TRUE,OFFSET('Time Dep Phys Params'!$D$13,0,CG$68),"")</f>
        <v/>
      </c>
      <c r="CO72" s="181">
        <v>69</v>
      </c>
      <c r="CP72" s="80">
        <f>IF(ParamSex="Male",'Growth Params'!$F$8+CO72*'Growth Params'!$F$9/('Growth Params'!$F$10+CO72)+'Growth Params'!$F$11/(1+'Growth Params'!$F$12*EXP(-'Growth Params'!$F$13*'Growth Params'!$F$11*CO72)),'Growth Params'!$E$8+CO72*'Growth Params'!$E$9/('Growth Params'!$E$10+CO72)+'Growth Params'!$E$11/(1+'Growth Params'!$E$12*EXP(-'Growth Params'!$E$13*'Growth Params'!$E$11*CO72)))</f>
        <v>58.383333333333233</v>
      </c>
    </row>
    <row r="73" spans="1:94" x14ac:dyDescent="0.25">
      <c r="A73" t="str">
        <f t="shared" ca="1" si="8"/>
        <v>Defalt</v>
      </c>
      <c r="B73" s="19" t="s">
        <v>46</v>
      </c>
      <c r="C73" s="19" t="s">
        <v>102</v>
      </c>
      <c r="D73" s="19">
        <f t="shared" ca="1" si="9"/>
        <v>11</v>
      </c>
      <c r="E73" s="19">
        <f ca="1">IF(ISNUMBER(OFFSET('Time Dep Phys Params'!$D$14,0,BI$68))=TRUE,OFFSET('Time Dep Phys Params'!$D$14,0,BI$68),"")</f>
        <v>12</v>
      </c>
      <c r="F73" s="19">
        <f ca="1">IF(ISNUMBER(OFFSET('Time Dep Phys Params'!$D$14,0,BJ$68))=TRUE,OFFSET('Time Dep Phys Params'!$D$14,0,BJ$68),"")</f>
        <v>12</v>
      </c>
      <c r="G73" s="19">
        <f ca="1">IF(ISNUMBER(OFFSET('Time Dep Phys Params'!$D$14,0,BK$68))=TRUE,OFFSET('Time Dep Phys Params'!$D$14,0,BK$68),"")</f>
        <v>15</v>
      </c>
      <c r="H73" s="19">
        <f ca="1">IF(ISNUMBER(OFFSET('Time Dep Phys Params'!$D$14,0,BL$68))=TRUE,OFFSET('Time Dep Phys Params'!$D$14,0,BL$68),"")</f>
        <v>11</v>
      </c>
      <c r="I73" s="19">
        <f ca="1">IF(ISNUMBER(OFFSET('Time Dep Phys Params'!$D$14,0,BM$68))=TRUE,OFFSET('Time Dep Phys Params'!$D$14,0,BM$68),"")</f>
        <v>8</v>
      </c>
      <c r="J73" s="19">
        <f ca="1">IF(ISNUMBER(OFFSET('Time Dep Phys Params'!$D$14,0,BN$68))=TRUE,OFFSET('Time Dep Phys Params'!$D$14,0,BN$68),"")</f>
        <v>7</v>
      </c>
      <c r="K73" s="19">
        <f ca="1">IF(ISNUMBER(OFFSET('Time Dep Phys Params'!$D$14,0,BO$68))=TRUE,OFFSET('Time Dep Phys Params'!$D$14,0,BO$68),"")</f>
        <v>7</v>
      </c>
      <c r="L73" s="19">
        <f ca="1">IF(ISNUMBER(OFFSET('Time Dep Phys Params'!$D$14,0,BP$68))=TRUE,OFFSET('Time Dep Phys Params'!$D$14,0,BP$68),"")</f>
        <v>7</v>
      </c>
      <c r="M73" s="19">
        <f ca="1">IF(ISNUMBER(OFFSET('Time Dep Phys Params'!$D$14,0,BQ$68))=TRUE,OFFSET('Time Dep Phys Params'!$D$14,0,BQ$68),"")</f>
        <v>7</v>
      </c>
      <c r="N73" s="19">
        <f ca="1">IF(ISNUMBER(OFFSET('Time Dep Phys Params'!$D$14,0,BR$68))=TRUE,OFFSET('Time Dep Phys Params'!$D$14,0,BR$68),"")</f>
        <v>7</v>
      </c>
      <c r="O73" s="19">
        <f ca="1">IF(ISNUMBER(OFFSET('Time Dep Phys Params'!$D$14,0,BS$68))=TRUE,OFFSET('Time Dep Phys Params'!$D$14,0,BS$68),"")</f>
        <v>7</v>
      </c>
      <c r="P73" s="19" t="str">
        <f ca="1">IF(ISNUMBER(OFFSET('Time Dep Phys Params'!$D$14,0,BT$68))=TRUE,OFFSET('Time Dep Phys Params'!$D$14,0,BT$68),"")</f>
        <v/>
      </c>
      <c r="Q73" s="19" t="str">
        <f ca="1">IF(ISNUMBER(OFFSET('Time Dep Phys Params'!$D$14,0,BU$68))=TRUE,OFFSET('Time Dep Phys Params'!$D$14,0,BU$68),"")</f>
        <v/>
      </c>
      <c r="R73" s="19" t="str">
        <f ca="1">IF(ISNUMBER(OFFSET('Time Dep Phys Params'!$D$14,0,BV$68))=TRUE,OFFSET('Time Dep Phys Params'!$D$14,0,BV$68),"")</f>
        <v/>
      </c>
      <c r="S73" s="19" t="str">
        <f ca="1">IF(ISNUMBER(OFFSET('Time Dep Phys Params'!$D$14,0,BW$68))=TRUE,OFFSET('Time Dep Phys Params'!$D$14,0,BW$68),"")</f>
        <v/>
      </c>
      <c r="T73" s="19" t="str">
        <f ca="1">IF(ISNUMBER(OFFSET('Time Dep Phys Params'!$D$14,0,BX$68))=TRUE,OFFSET('Time Dep Phys Params'!$D$14,0,BX$68),"")</f>
        <v/>
      </c>
      <c r="U73" s="19" t="str">
        <f ca="1">IF(ISNUMBER(OFFSET('Time Dep Phys Params'!$D$14,0,BY$68))=TRUE,OFFSET('Time Dep Phys Params'!$D$14,0,BY$68),"")</f>
        <v/>
      </c>
      <c r="V73" s="19" t="str">
        <f ca="1">IF(ISNUMBER(OFFSET('Time Dep Phys Params'!$D$14,0,BZ$68))=TRUE,OFFSET('Time Dep Phys Params'!$D$14,0,BZ$68),"")</f>
        <v/>
      </c>
      <c r="W73" s="19" t="str">
        <f ca="1">IF(ISNUMBER(OFFSET('Time Dep Phys Params'!$D$14,0,CA$68))=TRUE,OFFSET('Time Dep Phys Params'!$D$14,0,CA$68),"")</f>
        <v/>
      </c>
      <c r="X73" s="19" t="str">
        <f ca="1">IF(ISNUMBER(OFFSET('Time Dep Phys Params'!$D$14,0,CB$68))=TRUE,OFFSET('Time Dep Phys Params'!$D$14,0,CB$68),"")</f>
        <v/>
      </c>
      <c r="Y73" s="19" t="str">
        <f ca="1">IF(ISNUMBER(OFFSET('Time Dep Phys Params'!$D$14,0,CC$68))=TRUE,OFFSET('Time Dep Phys Params'!$D$14,0,CC$68),"")</f>
        <v/>
      </c>
      <c r="Z73" s="19" t="str">
        <f ca="1">IF(ISNUMBER(OFFSET('Time Dep Phys Params'!$D$14,0,CD$68))=TRUE,OFFSET('Time Dep Phys Params'!$D$14,0,CD$68),"")</f>
        <v/>
      </c>
      <c r="AA73" s="19" t="str">
        <f ca="1">IF(ISNUMBER(OFFSET('Time Dep Phys Params'!$D$14,0,CE$68))=TRUE,OFFSET('Time Dep Phys Params'!$D$14,0,CE$68),"")</f>
        <v/>
      </c>
      <c r="AB73" s="19" t="str">
        <f ca="1">IF(ISNUMBER(OFFSET('Time Dep Phys Params'!$D$14,0,CF$68))=TRUE,OFFSET('Time Dep Phys Params'!$D$14,0,CF$68),"")</f>
        <v/>
      </c>
      <c r="AC73" s="19" t="str">
        <f ca="1">IF(ISNUMBER(OFFSET('Time Dep Phys Params'!$D$14,0,CG$68))=TRUE,OFFSET('Time Dep Phys Params'!$D$14,0,CG$68),"")</f>
        <v/>
      </c>
      <c r="CO73" s="181">
        <v>70</v>
      </c>
      <c r="CP73" s="80">
        <f>IF(ParamSex="Male",'Growth Params'!$F$8+CO73*'Growth Params'!$F$9/('Growth Params'!$F$10+CO73)+'Growth Params'!$F$11/(1+'Growth Params'!$F$12*EXP(-'Growth Params'!$F$13*'Growth Params'!$F$11*CO73)),'Growth Params'!$E$8+CO73*'Growth Params'!$E$9/('Growth Params'!$E$10+CO73)+'Growth Params'!$E$11/(1+'Growth Params'!$E$12*EXP(-'Growth Params'!$E$13*'Growth Params'!$E$11*CO73)))</f>
        <v>58.395890410958856</v>
      </c>
    </row>
    <row r="74" spans="1:94" x14ac:dyDescent="0.25">
      <c r="A74" t="str">
        <f t="shared" ca="1" si="8"/>
        <v>Defalt</v>
      </c>
      <c r="B74" s="19" t="s">
        <v>46</v>
      </c>
      <c r="C74" s="19" t="s">
        <v>103</v>
      </c>
      <c r="D74" s="19">
        <f t="shared" ca="1" si="9"/>
        <v>11</v>
      </c>
      <c r="E74" s="19">
        <f ca="1">IF(ISNUMBER(OFFSET('Time Dep Phys Params'!$D$15,0,BI$68))=TRUE,OFFSET('Time Dep Phys Params'!$D$15,0,BI$68),"")</f>
        <v>9.5E-4</v>
      </c>
      <c r="F74" s="19">
        <f ca="1">IF(ISNUMBER(OFFSET('Time Dep Phys Params'!$D$15,0,BJ$68))=TRUE,OFFSET('Time Dep Phys Params'!$D$15,0,BJ$68),"")</f>
        <v>9.5E-4</v>
      </c>
      <c r="G74" s="19">
        <f ca="1">IF(ISNUMBER(OFFSET('Time Dep Phys Params'!$D$15,0,BK$68))=TRUE,OFFSET('Time Dep Phys Params'!$D$15,0,BK$68),"")</f>
        <v>9.5E-4</v>
      </c>
      <c r="H74" s="19">
        <f ca="1">IF(ISNUMBER(OFFSET('Time Dep Phys Params'!$D$15,0,BL$68))=TRUE,OFFSET('Time Dep Phys Params'!$D$15,0,BL$68),"")</f>
        <v>9.5E-4</v>
      </c>
      <c r="I74" s="19">
        <f ca="1">IF(ISNUMBER(OFFSET('Time Dep Phys Params'!$D$15,0,BM$68))=TRUE,OFFSET('Time Dep Phys Params'!$D$15,0,BM$68),"")</f>
        <v>9.5E-4</v>
      </c>
      <c r="J74" s="19">
        <f ca="1">IF(ISNUMBER(OFFSET('Time Dep Phys Params'!$D$15,0,BN$68))=TRUE,OFFSET('Time Dep Phys Params'!$D$15,0,BN$68),"")</f>
        <v>9.5E-4</v>
      </c>
      <c r="K74" s="19">
        <f ca="1">IF(ISNUMBER(OFFSET('Time Dep Phys Params'!$D$15,0,BO$68))=TRUE,OFFSET('Time Dep Phys Params'!$D$15,0,BO$68),"")</f>
        <v>9.5E-4</v>
      </c>
      <c r="L74" s="19">
        <f ca="1">IF(ISNUMBER(OFFSET('Time Dep Phys Params'!$D$15,0,BP$68))=TRUE,OFFSET('Time Dep Phys Params'!$D$15,0,BP$68),"")</f>
        <v>9.5E-4</v>
      </c>
      <c r="M74" s="19">
        <f ca="1">IF(ISNUMBER(OFFSET('Time Dep Phys Params'!$D$15,0,BQ$68))=TRUE,OFFSET('Time Dep Phys Params'!$D$15,0,BQ$68),"")</f>
        <v>9.5E-4</v>
      </c>
      <c r="N74" s="19">
        <f ca="1">IF(ISNUMBER(OFFSET('Time Dep Phys Params'!$D$15,0,BR$68))=TRUE,OFFSET('Time Dep Phys Params'!$D$15,0,BR$68),"")</f>
        <v>9.5E-4</v>
      </c>
      <c r="O74" s="19">
        <f ca="1">IF(ISNUMBER(OFFSET('Time Dep Phys Params'!$D$15,0,BS$68))=TRUE,OFFSET('Time Dep Phys Params'!$D$15,0,BS$68),"")</f>
        <v>9.5E-4</v>
      </c>
      <c r="P74" s="19" t="str">
        <f ca="1">IF(ISNUMBER(OFFSET('Time Dep Phys Params'!$D$15,0,BT$68))=TRUE,OFFSET('Time Dep Phys Params'!$D$15,0,BT$68),"")</f>
        <v/>
      </c>
      <c r="Q74" s="19" t="str">
        <f ca="1">IF(ISNUMBER(OFFSET('Time Dep Phys Params'!$D$15,0,BU$68))=TRUE,OFFSET('Time Dep Phys Params'!$D$15,0,BU$68),"")</f>
        <v/>
      </c>
      <c r="R74" s="19" t="str">
        <f ca="1">IF(ISNUMBER(OFFSET('Time Dep Phys Params'!$D$15,0,BV$68))=TRUE,OFFSET('Time Dep Phys Params'!$D$15,0,BV$68),"")</f>
        <v/>
      </c>
      <c r="S74" s="19" t="str">
        <f ca="1">IF(ISNUMBER(OFFSET('Time Dep Phys Params'!$D$15,0,BW$68))=TRUE,OFFSET('Time Dep Phys Params'!$D$15,0,BW$68),"")</f>
        <v/>
      </c>
      <c r="T74" s="19" t="str">
        <f ca="1">IF(ISNUMBER(OFFSET('Time Dep Phys Params'!$D$15,0,BX$68))=TRUE,OFFSET('Time Dep Phys Params'!$D$15,0,BX$68),"")</f>
        <v/>
      </c>
      <c r="U74" s="19" t="str">
        <f ca="1">IF(ISNUMBER(OFFSET('Time Dep Phys Params'!$D$15,0,BY$68))=TRUE,OFFSET('Time Dep Phys Params'!$D$15,0,BY$68),"")</f>
        <v/>
      </c>
      <c r="V74" s="19" t="str">
        <f ca="1">IF(ISNUMBER(OFFSET('Time Dep Phys Params'!$D$15,0,BZ$68))=TRUE,OFFSET('Time Dep Phys Params'!$D$15,0,BZ$68),"")</f>
        <v/>
      </c>
      <c r="W74" s="19" t="str">
        <f ca="1">IF(ISNUMBER(OFFSET('Time Dep Phys Params'!$D$15,0,CA$68))=TRUE,OFFSET('Time Dep Phys Params'!$D$15,0,CA$68),"")</f>
        <v/>
      </c>
      <c r="X74" s="19" t="str">
        <f ca="1">IF(ISNUMBER(OFFSET('Time Dep Phys Params'!$D$15,0,CB$68))=TRUE,OFFSET('Time Dep Phys Params'!$D$15,0,CB$68),"")</f>
        <v/>
      </c>
      <c r="Y74" s="19" t="str">
        <f ca="1">IF(ISNUMBER(OFFSET('Time Dep Phys Params'!$D$15,0,CC$68))=TRUE,OFFSET('Time Dep Phys Params'!$D$15,0,CC$68),"")</f>
        <v/>
      </c>
      <c r="Z74" s="19" t="str">
        <f ca="1">IF(ISNUMBER(OFFSET('Time Dep Phys Params'!$D$15,0,CD$68))=TRUE,OFFSET('Time Dep Phys Params'!$D$15,0,CD$68),"")</f>
        <v/>
      </c>
      <c r="AA74" s="19" t="str">
        <f ca="1">IF(ISNUMBER(OFFSET('Time Dep Phys Params'!$D$15,0,CE$68))=TRUE,OFFSET('Time Dep Phys Params'!$D$15,0,CE$68),"")</f>
        <v/>
      </c>
      <c r="AB74" s="19" t="str">
        <f ca="1">IF(ISNUMBER(OFFSET('Time Dep Phys Params'!$D$15,0,CF$68))=TRUE,OFFSET('Time Dep Phys Params'!$D$15,0,CF$68),"")</f>
        <v/>
      </c>
      <c r="AC74" s="19" t="str">
        <f ca="1">IF(ISNUMBER(OFFSET('Time Dep Phys Params'!$D$15,0,CG$68))=TRUE,OFFSET('Time Dep Phys Params'!$D$15,0,CG$68),"")</f>
        <v/>
      </c>
      <c r="CO74" s="181">
        <v>71</v>
      </c>
      <c r="CP74" s="80">
        <f>IF(ParamSex="Male",'Growth Params'!$F$8+CO74*'Growth Params'!$F$9/('Growth Params'!$F$10+CO74)+'Growth Params'!$F$11/(1+'Growth Params'!$F$12*EXP(-'Growth Params'!$F$13*'Growth Params'!$F$11*CO74)),'Growth Params'!$E$8+CO74*'Growth Params'!$E$9/('Growth Params'!$E$10+CO74)+'Growth Params'!$E$11/(1+'Growth Params'!$E$12*EXP(-'Growth Params'!$E$13*'Growth Params'!$E$11*CO74)))</f>
        <v>58.408108108108081</v>
      </c>
    </row>
    <row r="75" spans="1:94" x14ac:dyDescent="0.25">
      <c r="A75" t="str">
        <f t="shared" ca="1" si="8"/>
        <v>Defalt</v>
      </c>
      <c r="B75" s="19" t="s">
        <v>46</v>
      </c>
      <c r="C75" s="19" t="s">
        <v>104</v>
      </c>
      <c r="D75" s="19">
        <f t="shared" ca="1" si="9"/>
        <v>11</v>
      </c>
      <c r="E75" s="19">
        <f ca="1">IF(ISNUMBER(OFFSET('Time Dep Phys Params'!$D$16,0,BI$68))=TRUE,OFFSET('Time Dep Phys Params'!$D$16,0,BI$68),"")</f>
        <v>2.0400000000000001E-2</v>
      </c>
      <c r="F75" s="19">
        <f ca="1">IF(ISNUMBER(OFFSET('Time Dep Phys Params'!$D$16,0,BJ$68))=TRUE,OFFSET('Time Dep Phys Params'!$D$16,0,BJ$68),"")</f>
        <v>1.644E-2</v>
      </c>
      <c r="G75" s="19">
        <f ca="1">IF(ISNUMBER(OFFSET('Time Dep Phys Params'!$D$16,0,BK$68))=TRUE,OFFSET('Time Dep Phys Params'!$D$16,0,BK$68),"")</f>
        <v>5.7600000000000004E-3</v>
      </c>
      <c r="H75" s="19">
        <f ca="1">IF(ISNUMBER(OFFSET('Time Dep Phys Params'!$D$16,0,BL$68))=TRUE,OFFSET('Time Dep Phys Params'!$D$16,0,BL$68),"")</f>
        <v>3.0799999999999998E-3</v>
      </c>
      <c r="I75" s="19">
        <f ca="1">IF(ISNUMBER(OFFSET('Time Dep Phys Params'!$D$16,0,BM$68))=TRUE,OFFSET('Time Dep Phys Params'!$D$16,0,BM$68),"")</f>
        <v>1.7799999999999999E-3</v>
      </c>
      <c r="J75" s="19">
        <f ca="1">IF(ISNUMBER(OFFSET('Time Dep Phys Params'!$D$16,0,BN$68))=TRUE,OFFSET('Time Dep Phys Params'!$D$16,0,BN$68),"")</f>
        <v>1.024E-3</v>
      </c>
      <c r="K75" s="19">
        <f ca="1">IF(ISNUMBER(OFFSET('Time Dep Phys Params'!$D$16,0,BO$68))=TRUE,OFFSET('Time Dep Phys Params'!$D$16,0,BO$68),"")</f>
        <v>1.6440000000000001E-4</v>
      </c>
      <c r="L75" s="19">
        <f ca="1">IF(ISNUMBER(OFFSET('Time Dep Phys Params'!$D$16,0,BP$68))=TRUE,OFFSET('Time Dep Phys Params'!$D$16,0,BP$68),"")</f>
        <v>1.6440000000000001E-4</v>
      </c>
      <c r="M75" s="19">
        <f ca="1">IF(ISNUMBER(OFFSET('Time Dep Phys Params'!$D$16,0,BQ$68))=TRUE,OFFSET('Time Dep Phys Params'!$D$16,0,BQ$68),"")</f>
        <v>1.6440000000000001E-4</v>
      </c>
      <c r="N75" s="19">
        <f ca="1">IF(ISNUMBER(OFFSET('Time Dep Phys Params'!$D$16,0,BR$68))=TRUE,OFFSET('Time Dep Phys Params'!$D$16,0,BR$68),"")</f>
        <v>1.6440000000000001E-4</v>
      </c>
      <c r="O75" s="19">
        <f ca="1">IF(ISNUMBER(OFFSET('Time Dep Phys Params'!$D$16,0,BS$68))=TRUE,OFFSET('Time Dep Phys Params'!$D$16,0,BS$68),"")</f>
        <v>1.6440000000000001E-4</v>
      </c>
      <c r="P75" s="19" t="str">
        <f ca="1">IF(ISNUMBER(OFFSET('Time Dep Phys Params'!$D$16,0,BT$68))=TRUE,OFFSET('Time Dep Phys Params'!$D$16,0,BT$68),"")</f>
        <v/>
      </c>
      <c r="Q75" s="19" t="str">
        <f ca="1">IF(ISNUMBER(OFFSET('Time Dep Phys Params'!$D$16,0,BU$68))=TRUE,OFFSET('Time Dep Phys Params'!$D$16,0,BU$68),"")</f>
        <v/>
      </c>
      <c r="R75" s="19" t="str">
        <f ca="1">IF(ISNUMBER(OFFSET('Time Dep Phys Params'!$D$16,0,BV$68))=TRUE,OFFSET('Time Dep Phys Params'!$D$16,0,BV$68),"")</f>
        <v/>
      </c>
      <c r="S75" s="19" t="str">
        <f ca="1">IF(ISNUMBER(OFFSET('Time Dep Phys Params'!$D$16,0,BW$68))=TRUE,OFFSET('Time Dep Phys Params'!$D$16,0,BW$68),"")</f>
        <v/>
      </c>
      <c r="T75" s="19" t="str">
        <f ca="1">IF(ISNUMBER(OFFSET('Time Dep Phys Params'!$D$16,0,BX$68))=TRUE,OFFSET('Time Dep Phys Params'!$D$16,0,BX$68),"")</f>
        <v/>
      </c>
      <c r="U75" s="19" t="str">
        <f ca="1">IF(ISNUMBER(OFFSET('Time Dep Phys Params'!$D$16,0,BY$68))=TRUE,OFFSET('Time Dep Phys Params'!$D$16,0,BY$68),"")</f>
        <v/>
      </c>
      <c r="V75" s="19" t="str">
        <f ca="1">IF(ISNUMBER(OFFSET('Time Dep Phys Params'!$D$16,0,BZ$68))=TRUE,OFFSET('Time Dep Phys Params'!$D$16,0,BZ$68),"")</f>
        <v/>
      </c>
      <c r="W75" s="19" t="str">
        <f ca="1">IF(ISNUMBER(OFFSET('Time Dep Phys Params'!$D$16,0,CA$68))=TRUE,OFFSET('Time Dep Phys Params'!$D$16,0,CA$68),"")</f>
        <v/>
      </c>
      <c r="X75" s="19" t="str">
        <f ca="1">IF(ISNUMBER(OFFSET('Time Dep Phys Params'!$D$16,0,CB$68))=TRUE,OFFSET('Time Dep Phys Params'!$D$16,0,CB$68),"")</f>
        <v/>
      </c>
      <c r="Y75" s="19" t="str">
        <f ca="1">IF(ISNUMBER(OFFSET('Time Dep Phys Params'!$D$16,0,CC$68))=TRUE,OFFSET('Time Dep Phys Params'!$D$16,0,CC$68),"")</f>
        <v/>
      </c>
      <c r="Z75" s="19" t="str">
        <f ca="1">IF(ISNUMBER(OFFSET('Time Dep Phys Params'!$D$16,0,CD$68))=TRUE,OFFSET('Time Dep Phys Params'!$D$16,0,CD$68),"")</f>
        <v/>
      </c>
      <c r="AA75" s="19" t="str">
        <f ca="1">IF(ISNUMBER(OFFSET('Time Dep Phys Params'!$D$16,0,CE$68))=TRUE,OFFSET('Time Dep Phys Params'!$D$16,0,CE$68),"")</f>
        <v/>
      </c>
      <c r="AB75" s="19" t="str">
        <f ca="1">IF(ISNUMBER(OFFSET('Time Dep Phys Params'!$D$16,0,CF$68))=TRUE,OFFSET('Time Dep Phys Params'!$D$16,0,CF$68),"")</f>
        <v/>
      </c>
      <c r="AC75" s="19" t="str">
        <f ca="1">IF(ISNUMBER(OFFSET('Time Dep Phys Params'!$D$16,0,CG$68))=TRUE,OFFSET('Time Dep Phys Params'!$D$16,0,CG$68),"")</f>
        <v/>
      </c>
      <c r="CO75" s="181">
        <v>72</v>
      </c>
      <c r="CP75" s="80">
        <f>IF(ParamSex="Male",'Growth Params'!$F$8+CO75*'Growth Params'!$F$9/('Growth Params'!$F$10+CO75)+'Growth Params'!$F$11/(1+'Growth Params'!$F$12*EXP(-'Growth Params'!$F$13*'Growth Params'!$F$11*CO75)),'Growth Params'!$E$8+CO75*'Growth Params'!$E$9/('Growth Params'!$E$10+CO75)+'Growth Params'!$E$11/(1+'Growth Params'!$E$12*EXP(-'Growth Params'!$E$13*'Growth Params'!$E$11*CO75)))</f>
        <v>58.419999999999987</v>
      </c>
    </row>
    <row r="76" spans="1:94" x14ac:dyDescent="0.25">
      <c r="A76" t="str">
        <f t="shared" ca="1" si="8"/>
        <v>Defalt</v>
      </c>
      <c r="B76" s="19" t="s">
        <v>46</v>
      </c>
      <c r="C76" s="19" t="s">
        <v>105</v>
      </c>
      <c r="D76" s="19">
        <f t="shared" ca="1" si="9"/>
        <v>11</v>
      </c>
      <c r="E76" s="19">
        <f ca="1">IF(ISNUMBER(OFFSET('Time Dep Phys Params'!$D$17,0,BI$68))=TRUE,OFFSET('Time Dep Phys Params'!$D$17,0,BI$68),"")</f>
        <v>0.35</v>
      </c>
      <c r="F76" s="19">
        <f ca="1">IF(ISNUMBER(OFFSET('Time Dep Phys Params'!$D$17,0,BJ$68))=TRUE,OFFSET('Time Dep Phys Params'!$D$17,0,BJ$68),"")</f>
        <v>0.35</v>
      </c>
      <c r="G76" s="19">
        <f ca="1">IF(ISNUMBER(OFFSET('Time Dep Phys Params'!$D$17,0,BK$68))=TRUE,OFFSET('Time Dep Phys Params'!$D$17,0,BK$68),"")</f>
        <v>0.35</v>
      </c>
      <c r="H76" s="19">
        <f ca="1">IF(ISNUMBER(OFFSET('Time Dep Phys Params'!$D$17,0,BL$68))=TRUE,OFFSET('Time Dep Phys Params'!$D$17,0,BL$68),"")</f>
        <v>0.35</v>
      </c>
      <c r="I76" s="19">
        <f ca="1">IF(ISNUMBER(OFFSET('Time Dep Phys Params'!$D$17,0,BM$68))=TRUE,OFFSET('Time Dep Phys Params'!$D$17,0,BM$68),"")</f>
        <v>0.35</v>
      </c>
      <c r="J76" s="19">
        <f ca="1">IF(ISNUMBER(OFFSET('Time Dep Phys Params'!$D$17,0,BN$68))=TRUE,OFFSET('Time Dep Phys Params'!$D$17,0,BN$68),"")</f>
        <v>0.35</v>
      </c>
      <c r="K76" s="19">
        <f ca="1">IF(ISNUMBER(OFFSET('Time Dep Phys Params'!$D$17,0,BO$68))=TRUE,OFFSET('Time Dep Phys Params'!$D$17,0,BO$68),"")</f>
        <v>0.5</v>
      </c>
      <c r="L76" s="19">
        <f ca="1">IF(ISNUMBER(OFFSET('Time Dep Phys Params'!$D$17,0,BP$68))=TRUE,OFFSET('Time Dep Phys Params'!$D$17,0,BP$68),"")</f>
        <v>0.5</v>
      </c>
      <c r="M76" s="19">
        <f ca="1">IF(ISNUMBER(OFFSET('Time Dep Phys Params'!$D$17,0,BQ$68))=TRUE,OFFSET('Time Dep Phys Params'!$D$17,0,BQ$68),"")</f>
        <v>0.5</v>
      </c>
      <c r="N76" s="19">
        <f ca="1">IF(ISNUMBER(OFFSET('Time Dep Phys Params'!$D$17,0,BR$68))=TRUE,OFFSET('Time Dep Phys Params'!$D$17,0,BR$68),"")</f>
        <v>0.5</v>
      </c>
      <c r="O76" s="19">
        <f ca="1">IF(ISNUMBER(OFFSET('Time Dep Phys Params'!$D$17,0,BS$68))=TRUE,OFFSET('Time Dep Phys Params'!$D$17,0,BS$68),"")</f>
        <v>0.5</v>
      </c>
      <c r="P76" s="19" t="str">
        <f ca="1">IF(ISNUMBER(OFFSET('Time Dep Phys Params'!$D$17,0,BT$68))=TRUE,OFFSET('Time Dep Phys Params'!$D$17,0,BT$68),"")</f>
        <v/>
      </c>
      <c r="Q76" s="19" t="str">
        <f ca="1">IF(ISNUMBER(OFFSET('Time Dep Phys Params'!$D$17,0,BU$68))=TRUE,OFFSET('Time Dep Phys Params'!$D$17,0,BU$68),"")</f>
        <v/>
      </c>
      <c r="R76" s="19" t="str">
        <f ca="1">IF(ISNUMBER(OFFSET('Time Dep Phys Params'!$D$17,0,BV$68))=TRUE,OFFSET('Time Dep Phys Params'!$D$17,0,BV$68),"")</f>
        <v/>
      </c>
      <c r="S76" s="19" t="str">
        <f ca="1">IF(ISNUMBER(OFFSET('Time Dep Phys Params'!$D$17,0,BW$68))=TRUE,OFFSET('Time Dep Phys Params'!$D$17,0,BW$68),"")</f>
        <v/>
      </c>
      <c r="T76" s="19" t="str">
        <f ca="1">IF(ISNUMBER(OFFSET('Time Dep Phys Params'!$D$17,0,BX$68))=TRUE,OFFSET('Time Dep Phys Params'!$D$17,0,BX$68),"")</f>
        <v/>
      </c>
      <c r="U76" s="19" t="str">
        <f ca="1">IF(ISNUMBER(OFFSET('Time Dep Phys Params'!$D$17,0,BY$68))=TRUE,OFFSET('Time Dep Phys Params'!$D$17,0,BY$68),"")</f>
        <v/>
      </c>
      <c r="V76" s="19" t="str">
        <f ca="1">IF(ISNUMBER(OFFSET('Time Dep Phys Params'!$D$17,0,BZ$68))=TRUE,OFFSET('Time Dep Phys Params'!$D$17,0,BZ$68),"")</f>
        <v/>
      </c>
      <c r="W76" s="19" t="str">
        <f ca="1">IF(ISNUMBER(OFFSET('Time Dep Phys Params'!$D$17,0,CA$68))=TRUE,OFFSET('Time Dep Phys Params'!$D$17,0,CA$68),"")</f>
        <v/>
      </c>
      <c r="X76" s="19" t="str">
        <f ca="1">IF(ISNUMBER(OFFSET('Time Dep Phys Params'!$D$17,0,CB$68))=TRUE,OFFSET('Time Dep Phys Params'!$D$17,0,CB$68),"")</f>
        <v/>
      </c>
      <c r="Y76" s="19" t="str">
        <f ca="1">IF(ISNUMBER(OFFSET('Time Dep Phys Params'!$D$17,0,CC$68))=TRUE,OFFSET('Time Dep Phys Params'!$D$17,0,CC$68),"")</f>
        <v/>
      </c>
      <c r="Z76" s="19" t="str">
        <f ca="1">IF(ISNUMBER(OFFSET('Time Dep Phys Params'!$D$17,0,CD$68))=TRUE,OFFSET('Time Dep Phys Params'!$D$17,0,CD$68),"")</f>
        <v/>
      </c>
      <c r="AA76" s="19" t="str">
        <f ca="1">IF(ISNUMBER(OFFSET('Time Dep Phys Params'!$D$17,0,CE$68))=TRUE,OFFSET('Time Dep Phys Params'!$D$17,0,CE$68),"")</f>
        <v/>
      </c>
      <c r="AB76" s="19" t="str">
        <f ca="1">IF(ISNUMBER(OFFSET('Time Dep Phys Params'!$D$17,0,CF$68))=TRUE,OFFSET('Time Dep Phys Params'!$D$17,0,CF$68),"")</f>
        <v/>
      </c>
      <c r="AC76" s="19" t="str">
        <f ca="1">IF(ISNUMBER(OFFSET('Time Dep Phys Params'!$D$17,0,CG$68))=TRUE,OFFSET('Time Dep Phys Params'!$D$17,0,CG$68),"")</f>
        <v/>
      </c>
      <c r="CO76" s="181">
        <v>73</v>
      </c>
      <c r="CP76" s="80">
        <f>IF(ParamSex="Male",'Growth Params'!$F$8+CO76*'Growth Params'!$F$9/('Growth Params'!$F$10+CO76)+'Growth Params'!$F$11/(1+'Growth Params'!$F$12*EXP(-'Growth Params'!$F$13*'Growth Params'!$F$11*CO76)),'Growth Params'!$E$8+CO76*'Growth Params'!$E$9/('Growth Params'!$E$10+CO76)+'Growth Params'!$E$11/(1+'Growth Params'!$E$12*EXP(-'Growth Params'!$E$13*'Growth Params'!$E$11*CO76)))</f>
        <v>58.431578947368415</v>
      </c>
    </row>
    <row r="77" spans="1:94" x14ac:dyDescent="0.25">
      <c r="A77" t="str">
        <f t="shared" ca="1" si="8"/>
        <v>Defalt</v>
      </c>
      <c r="B77" s="19" t="s">
        <v>46</v>
      </c>
      <c r="C77" s="19" t="s">
        <v>106</v>
      </c>
      <c r="D77" s="19">
        <f t="shared" ca="1" si="9"/>
        <v>11</v>
      </c>
      <c r="E77" s="19">
        <f ca="1">IF(ISNUMBER(OFFSET('Time Dep Phys Params'!$D$18,0,BI$68))=TRUE,OFFSET('Time Dep Phys Params'!$D$18,0,BI$68),"")</f>
        <v>0.65</v>
      </c>
      <c r="F77" s="19">
        <f ca="1">IF(ISNUMBER(OFFSET('Time Dep Phys Params'!$D$18,0,BJ$68))=TRUE,OFFSET('Time Dep Phys Params'!$D$18,0,BJ$68),"")</f>
        <v>0.65</v>
      </c>
      <c r="G77" s="19">
        <f ca="1">IF(ISNUMBER(OFFSET('Time Dep Phys Params'!$D$18,0,BK$68))=TRUE,OFFSET('Time Dep Phys Params'!$D$18,0,BK$68),"")</f>
        <v>0.65</v>
      </c>
      <c r="H77" s="19">
        <f ca="1">IF(ISNUMBER(OFFSET('Time Dep Phys Params'!$D$18,0,BL$68))=TRUE,OFFSET('Time Dep Phys Params'!$D$18,0,BL$68),"")</f>
        <v>0.65</v>
      </c>
      <c r="I77" s="19">
        <f ca="1">IF(ISNUMBER(OFFSET('Time Dep Phys Params'!$D$18,0,BM$68))=TRUE,OFFSET('Time Dep Phys Params'!$D$18,0,BM$68),"")</f>
        <v>0.65</v>
      </c>
      <c r="J77" s="19">
        <f ca="1">IF(ISNUMBER(OFFSET('Time Dep Phys Params'!$D$18,0,BN$68))=TRUE,OFFSET('Time Dep Phys Params'!$D$18,0,BN$68),"")</f>
        <v>0.65</v>
      </c>
      <c r="K77" s="19">
        <f ca="1">IF(ISNUMBER(OFFSET('Time Dep Phys Params'!$D$18,0,BO$68))=TRUE,OFFSET('Time Dep Phys Params'!$D$18,0,BO$68),"")</f>
        <v>0.5</v>
      </c>
      <c r="L77" s="19">
        <f ca="1">IF(ISNUMBER(OFFSET('Time Dep Phys Params'!$D$18,0,BP$68))=TRUE,OFFSET('Time Dep Phys Params'!$D$18,0,BP$68),"")</f>
        <v>0.5</v>
      </c>
      <c r="M77" s="19">
        <f ca="1">IF(ISNUMBER(OFFSET('Time Dep Phys Params'!$D$18,0,BQ$68))=TRUE,OFFSET('Time Dep Phys Params'!$D$18,0,BQ$68),"")</f>
        <v>0.5</v>
      </c>
      <c r="N77" s="19">
        <f ca="1">IF(ISNUMBER(OFFSET('Time Dep Phys Params'!$D$18,0,BR$68))=TRUE,OFFSET('Time Dep Phys Params'!$D$18,0,BR$68),"")</f>
        <v>0.5</v>
      </c>
      <c r="O77" s="19">
        <f ca="1">IF(ISNUMBER(OFFSET('Time Dep Phys Params'!$D$18,0,BS$68))=TRUE,OFFSET('Time Dep Phys Params'!$D$18,0,BS$68),"")</f>
        <v>0.5</v>
      </c>
      <c r="P77" s="19" t="str">
        <f ca="1">IF(ISNUMBER(OFFSET('Time Dep Phys Params'!$D$18,0,BT$68))=TRUE,OFFSET('Time Dep Phys Params'!$D$18,0,BT$68),"")</f>
        <v/>
      </c>
      <c r="Q77" s="19" t="str">
        <f ca="1">IF(ISNUMBER(OFFSET('Time Dep Phys Params'!$D$18,0,BU$68))=TRUE,OFFSET('Time Dep Phys Params'!$D$18,0,BU$68),"")</f>
        <v/>
      </c>
      <c r="R77" s="19" t="str">
        <f ca="1">IF(ISNUMBER(OFFSET('Time Dep Phys Params'!$D$18,0,BV$68))=TRUE,OFFSET('Time Dep Phys Params'!$D$18,0,BV$68),"")</f>
        <v/>
      </c>
      <c r="S77" s="19" t="str">
        <f ca="1">IF(ISNUMBER(OFFSET('Time Dep Phys Params'!$D$18,0,BW$68))=TRUE,OFFSET('Time Dep Phys Params'!$D$18,0,BW$68),"")</f>
        <v/>
      </c>
      <c r="T77" s="19" t="str">
        <f ca="1">IF(ISNUMBER(OFFSET('Time Dep Phys Params'!$D$18,0,BX$68))=TRUE,OFFSET('Time Dep Phys Params'!$D$18,0,BX$68),"")</f>
        <v/>
      </c>
      <c r="U77" s="19" t="str">
        <f ca="1">IF(ISNUMBER(OFFSET('Time Dep Phys Params'!$D$18,0,BY$68))=TRUE,OFFSET('Time Dep Phys Params'!$D$18,0,BY$68),"")</f>
        <v/>
      </c>
      <c r="V77" s="19" t="str">
        <f ca="1">IF(ISNUMBER(OFFSET('Time Dep Phys Params'!$D$18,0,BZ$68))=TRUE,OFFSET('Time Dep Phys Params'!$D$18,0,BZ$68),"")</f>
        <v/>
      </c>
      <c r="W77" s="19" t="str">
        <f ca="1">IF(ISNUMBER(OFFSET('Time Dep Phys Params'!$D$18,0,CA$68))=TRUE,OFFSET('Time Dep Phys Params'!$D$18,0,CA$68),"")</f>
        <v/>
      </c>
      <c r="X77" s="19" t="str">
        <f ca="1">IF(ISNUMBER(OFFSET('Time Dep Phys Params'!$D$18,0,CB$68))=TRUE,OFFSET('Time Dep Phys Params'!$D$18,0,CB$68),"")</f>
        <v/>
      </c>
      <c r="Y77" s="19" t="str">
        <f ca="1">IF(ISNUMBER(OFFSET('Time Dep Phys Params'!$D$18,0,CC$68))=TRUE,OFFSET('Time Dep Phys Params'!$D$18,0,CC$68),"")</f>
        <v/>
      </c>
      <c r="Z77" s="19" t="str">
        <f ca="1">IF(ISNUMBER(OFFSET('Time Dep Phys Params'!$D$18,0,CD$68))=TRUE,OFFSET('Time Dep Phys Params'!$D$18,0,CD$68),"")</f>
        <v/>
      </c>
      <c r="AA77" s="19" t="str">
        <f ca="1">IF(ISNUMBER(OFFSET('Time Dep Phys Params'!$D$18,0,CE$68))=TRUE,OFFSET('Time Dep Phys Params'!$D$18,0,CE$68),"")</f>
        <v/>
      </c>
      <c r="AB77" s="19" t="str">
        <f ca="1">IF(ISNUMBER(OFFSET('Time Dep Phys Params'!$D$18,0,CF$68))=TRUE,OFFSET('Time Dep Phys Params'!$D$18,0,CF$68),"")</f>
        <v/>
      </c>
      <c r="AC77" s="19" t="str">
        <f ca="1">IF(ISNUMBER(OFFSET('Time Dep Phys Params'!$D$18,0,CG$68))=TRUE,OFFSET('Time Dep Phys Params'!$D$18,0,CG$68),"")</f>
        <v/>
      </c>
      <c r="CO77" s="181">
        <v>74</v>
      </c>
      <c r="CP77" s="80">
        <f>IF(ParamSex="Male",'Growth Params'!$F$8+CO77*'Growth Params'!$F$9/('Growth Params'!$F$10+CO77)+'Growth Params'!$F$11/(1+'Growth Params'!$F$12*EXP(-'Growth Params'!$F$13*'Growth Params'!$F$11*CO77)),'Growth Params'!$E$8+CO77*'Growth Params'!$E$9/('Growth Params'!$E$10+CO77)+'Growth Params'!$E$11/(1+'Growth Params'!$E$12*EXP(-'Growth Params'!$E$13*'Growth Params'!$E$11*CO77)))</f>
        <v>58.442857142857136</v>
      </c>
    </row>
    <row r="78" spans="1:94" x14ac:dyDescent="0.25">
      <c r="A78" t="str">
        <f t="shared" ca="1" si="8"/>
        <v>Defalt</v>
      </c>
      <c r="B78" s="19" t="s">
        <v>46</v>
      </c>
      <c r="C78" s="19" t="s">
        <v>107</v>
      </c>
      <c r="D78" s="19">
        <f t="shared" ca="1" si="9"/>
        <v>11</v>
      </c>
      <c r="E78" s="19">
        <f ca="1">IF(ISNUMBER(OFFSET('Time Dep Phys Params'!$D$19,0,BI$68))=TRUE,OFFSET('Time Dep Phys Params'!$D$19,0,BI$68),"")</f>
        <v>2.3105000000000001E-2</v>
      </c>
      <c r="F78" s="19">
        <f ca="1">IF(ISNUMBER(OFFSET('Time Dep Phys Params'!$D$19,0,BJ$68))=TRUE,OFFSET('Time Dep Phys Params'!$D$19,0,BJ$68),"")</f>
        <v>2.3105000000000001E-2</v>
      </c>
      <c r="G78" s="19">
        <f ca="1">IF(ISNUMBER(OFFSET('Time Dep Phys Params'!$D$19,0,BK$68))=TRUE,OFFSET('Time Dep Phys Params'!$D$19,0,BK$68),"")</f>
        <v>2.3105000000000001E-2</v>
      </c>
      <c r="H78" s="19">
        <f ca="1">IF(ISNUMBER(OFFSET('Time Dep Phys Params'!$D$19,0,BL$68))=TRUE,OFFSET('Time Dep Phys Params'!$D$19,0,BL$68),"")</f>
        <v>2.3105000000000001E-2</v>
      </c>
      <c r="I78" s="19">
        <f ca="1">IF(ISNUMBER(OFFSET('Time Dep Phys Params'!$D$19,0,BM$68))=TRUE,OFFSET('Time Dep Phys Params'!$D$19,0,BM$68),"")</f>
        <v>2.3105000000000001E-2</v>
      </c>
      <c r="J78" s="19">
        <f ca="1">IF(ISNUMBER(OFFSET('Time Dep Phys Params'!$D$19,0,BN$68))=TRUE,OFFSET('Time Dep Phys Params'!$D$19,0,BN$68),"")</f>
        <v>2.3105000000000001E-2</v>
      </c>
      <c r="K78" s="19">
        <f ca="1">IF(ISNUMBER(OFFSET('Time Dep Phys Params'!$D$19,0,BO$68))=TRUE,OFFSET('Time Dep Phys Params'!$D$19,0,BO$68),"")</f>
        <v>2.3105000000000001E-2</v>
      </c>
      <c r="L78" s="19">
        <f ca="1">IF(ISNUMBER(OFFSET('Time Dep Phys Params'!$D$19,0,BP$68))=TRUE,OFFSET('Time Dep Phys Params'!$D$19,0,BP$68),"")</f>
        <v>2.3105000000000001E-2</v>
      </c>
      <c r="M78" s="19">
        <f ca="1">IF(ISNUMBER(OFFSET('Time Dep Phys Params'!$D$19,0,BQ$68))=TRUE,OFFSET('Time Dep Phys Params'!$D$19,0,BQ$68),"")</f>
        <v>2.3105000000000001E-2</v>
      </c>
      <c r="N78" s="19">
        <f ca="1">IF(ISNUMBER(OFFSET('Time Dep Phys Params'!$D$19,0,BR$68))=TRUE,OFFSET('Time Dep Phys Params'!$D$19,0,BR$68),"")</f>
        <v>2.3105000000000001E-2</v>
      </c>
      <c r="O78" s="19">
        <f ca="1">IF(ISNUMBER(OFFSET('Time Dep Phys Params'!$D$19,0,BS$68))=TRUE,OFFSET('Time Dep Phys Params'!$D$19,0,BS$68),"")</f>
        <v>2.3105000000000001E-2</v>
      </c>
      <c r="P78" s="19" t="str">
        <f ca="1">IF(ISNUMBER(OFFSET('Time Dep Phys Params'!$D$19,0,BT$68))=TRUE,OFFSET('Time Dep Phys Params'!$D$19,0,BT$68),"")</f>
        <v/>
      </c>
      <c r="Q78" s="19" t="str">
        <f ca="1">IF(ISNUMBER(OFFSET('Time Dep Phys Params'!$D$19,0,BU$68))=TRUE,OFFSET('Time Dep Phys Params'!$D$19,0,BU$68),"")</f>
        <v/>
      </c>
      <c r="R78" s="19" t="str">
        <f ca="1">IF(ISNUMBER(OFFSET('Time Dep Phys Params'!$D$19,0,BV$68))=TRUE,OFFSET('Time Dep Phys Params'!$D$19,0,BV$68),"")</f>
        <v/>
      </c>
      <c r="S78" s="19" t="str">
        <f ca="1">IF(ISNUMBER(OFFSET('Time Dep Phys Params'!$D$19,0,BW$68))=TRUE,OFFSET('Time Dep Phys Params'!$D$19,0,BW$68),"")</f>
        <v/>
      </c>
      <c r="T78" s="19" t="str">
        <f ca="1">IF(ISNUMBER(OFFSET('Time Dep Phys Params'!$D$19,0,BX$68))=TRUE,OFFSET('Time Dep Phys Params'!$D$19,0,BX$68),"")</f>
        <v/>
      </c>
      <c r="U78" s="19" t="str">
        <f ca="1">IF(ISNUMBER(OFFSET('Time Dep Phys Params'!$D$19,0,BY$68))=TRUE,OFFSET('Time Dep Phys Params'!$D$19,0,BY$68),"")</f>
        <v/>
      </c>
      <c r="V78" s="19" t="str">
        <f ca="1">IF(ISNUMBER(OFFSET('Time Dep Phys Params'!$D$19,0,BZ$68))=TRUE,OFFSET('Time Dep Phys Params'!$D$19,0,BZ$68),"")</f>
        <v/>
      </c>
      <c r="W78" s="19" t="str">
        <f ca="1">IF(ISNUMBER(OFFSET('Time Dep Phys Params'!$D$19,0,CA$68))=TRUE,OFFSET('Time Dep Phys Params'!$D$19,0,CA$68),"")</f>
        <v/>
      </c>
      <c r="X78" s="19" t="str">
        <f ca="1">IF(ISNUMBER(OFFSET('Time Dep Phys Params'!$D$19,0,CB$68))=TRUE,OFFSET('Time Dep Phys Params'!$D$19,0,CB$68),"")</f>
        <v/>
      </c>
      <c r="Y78" s="19" t="str">
        <f ca="1">IF(ISNUMBER(OFFSET('Time Dep Phys Params'!$D$19,0,CC$68))=TRUE,OFFSET('Time Dep Phys Params'!$D$19,0,CC$68),"")</f>
        <v/>
      </c>
      <c r="Z78" s="19" t="str">
        <f ca="1">IF(ISNUMBER(OFFSET('Time Dep Phys Params'!$D$19,0,CD$68))=TRUE,OFFSET('Time Dep Phys Params'!$D$19,0,CD$68),"")</f>
        <v/>
      </c>
      <c r="AA78" s="19" t="str">
        <f ca="1">IF(ISNUMBER(OFFSET('Time Dep Phys Params'!$D$19,0,CE$68))=TRUE,OFFSET('Time Dep Phys Params'!$D$19,0,CE$68),"")</f>
        <v/>
      </c>
      <c r="AB78" s="19" t="str">
        <f ca="1">IF(ISNUMBER(OFFSET('Time Dep Phys Params'!$D$19,0,CF$68))=TRUE,OFFSET('Time Dep Phys Params'!$D$19,0,CF$68),"")</f>
        <v/>
      </c>
      <c r="AC78" s="19" t="str">
        <f ca="1">IF(ISNUMBER(OFFSET('Time Dep Phys Params'!$D$19,0,CG$68))=TRUE,OFFSET('Time Dep Phys Params'!$D$19,0,CG$68),"")</f>
        <v/>
      </c>
      <c r="CO78" s="181">
        <v>75</v>
      </c>
      <c r="CP78" s="80">
        <f>IF(ParamSex="Male",'Growth Params'!$F$8+CO78*'Growth Params'!$F$9/('Growth Params'!$F$10+CO78)+'Growth Params'!$F$11/(1+'Growth Params'!$F$12*EXP(-'Growth Params'!$F$13*'Growth Params'!$F$11*CO78)),'Growth Params'!$E$8+CO78*'Growth Params'!$E$9/('Growth Params'!$E$10+CO78)+'Growth Params'!$E$11/(1+'Growth Params'!$E$12*EXP(-'Growth Params'!$E$13*'Growth Params'!$E$11*CO78)))</f>
        <v>58.453846153846158</v>
      </c>
    </row>
    <row r="79" spans="1:94" x14ac:dyDescent="0.25">
      <c r="A79" t="str">
        <f t="shared" ca="1" si="8"/>
        <v>Defalt</v>
      </c>
      <c r="B79" s="19" t="s">
        <v>46</v>
      </c>
      <c r="C79" s="19" t="s">
        <v>108</v>
      </c>
      <c r="D79" s="19">
        <f t="shared" ca="1" si="9"/>
        <v>11</v>
      </c>
      <c r="E79" s="19">
        <f ca="1">IF(ISNUMBER(OFFSET('Time Dep Phys Params'!$D$20,0,BI$68))=TRUE,OFFSET('Time Dep Phys Params'!$D$20,0,BI$68),"")</f>
        <v>6.9300000000000004E-4</v>
      </c>
      <c r="F79" s="19">
        <f ca="1">IF(ISNUMBER(OFFSET('Time Dep Phys Params'!$D$20,0,BJ$68))=TRUE,OFFSET('Time Dep Phys Params'!$D$20,0,BJ$68),"")</f>
        <v>6.9300000000000004E-4</v>
      </c>
      <c r="G79" s="19">
        <f ca="1">IF(ISNUMBER(OFFSET('Time Dep Phys Params'!$D$20,0,BK$68))=TRUE,OFFSET('Time Dep Phys Params'!$D$20,0,BK$68),"")</f>
        <v>6.9300000000000004E-4</v>
      </c>
      <c r="H79" s="19">
        <f ca="1">IF(ISNUMBER(OFFSET('Time Dep Phys Params'!$D$20,0,BL$68))=TRUE,OFFSET('Time Dep Phys Params'!$D$20,0,BL$68),"")</f>
        <v>6.9300000000000004E-4</v>
      </c>
      <c r="I79" s="19">
        <f ca="1">IF(ISNUMBER(OFFSET('Time Dep Phys Params'!$D$20,0,BM$68))=TRUE,OFFSET('Time Dep Phys Params'!$D$20,0,BM$68),"")</f>
        <v>1.9000000000000001E-4</v>
      </c>
      <c r="J79" s="19">
        <f ca="1">IF(ISNUMBER(OFFSET('Time Dep Phys Params'!$D$20,0,BN$68))=TRUE,OFFSET('Time Dep Phys Params'!$D$20,0,BN$68),"")</f>
        <v>1.9000000000000001E-4</v>
      </c>
      <c r="K79" s="19">
        <f ca="1">IF(ISNUMBER(OFFSET('Time Dep Phys Params'!$D$20,0,BO$68))=TRUE,OFFSET('Time Dep Phys Params'!$D$20,0,BO$68),"")</f>
        <v>1.9000000000000001E-4</v>
      </c>
      <c r="L79" s="19">
        <f ca="1">IF(ISNUMBER(OFFSET('Time Dep Phys Params'!$D$20,0,BP$68))=TRUE,OFFSET('Time Dep Phys Params'!$D$20,0,BP$68),"")</f>
        <v>9.5E-4</v>
      </c>
      <c r="M79" s="19">
        <f ca="1">IF(ISNUMBER(OFFSET('Time Dep Phys Params'!$D$20,0,BQ$68))=TRUE,OFFSET('Time Dep Phys Params'!$D$20,0,BQ$68),"")</f>
        <v>1.9E-3</v>
      </c>
      <c r="N79" s="19">
        <f ca="1">IF(ISNUMBER(OFFSET('Time Dep Phys Params'!$D$20,0,BR$68))=TRUE,OFFSET('Time Dep Phys Params'!$D$20,0,BR$68),"")</f>
        <v>1.9E-3</v>
      </c>
      <c r="O79" s="19">
        <f ca="1">IF(ISNUMBER(OFFSET('Time Dep Phys Params'!$D$20,0,BS$68))=TRUE,OFFSET('Time Dep Phys Params'!$D$20,0,BS$68),"")</f>
        <v>1.9E-3</v>
      </c>
      <c r="P79" s="19" t="str">
        <f ca="1">IF(ISNUMBER(OFFSET('Time Dep Phys Params'!$D$20,0,BT$68))=TRUE,OFFSET('Time Dep Phys Params'!$D$20,0,BT$68),"")</f>
        <v/>
      </c>
      <c r="Q79" s="19" t="str">
        <f ca="1">IF(ISNUMBER(OFFSET('Time Dep Phys Params'!$D$20,0,BU$68))=TRUE,OFFSET('Time Dep Phys Params'!$D$20,0,BU$68),"")</f>
        <v/>
      </c>
      <c r="R79" s="19" t="str">
        <f ca="1">IF(ISNUMBER(OFFSET('Time Dep Phys Params'!$D$20,0,BV$68))=TRUE,OFFSET('Time Dep Phys Params'!$D$20,0,BV$68),"")</f>
        <v/>
      </c>
      <c r="S79" s="19" t="str">
        <f ca="1">IF(ISNUMBER(OFFSET('Time Dep Phys Params'!$D$20,0,BW$68))=TRUE,OFFSET('Time Dep Phys Params'!$D$20,0,BW$68),"")</f>
        <v/>
      </c>
      <c r="T79" s="19" t="str">
        <f ca="1">IF(ISNUMBER(OFFSET('Time Dep Phys Params'!$D$20,0,BX$68))=TRUE,OFFSET('Time Dep Phys Params'!$D$20,0,BX$68),"")</f>
        <v/>
      </c>
      <c r="U79" s="19" t="str">
        <f ca="1">IF(ISNUMBER(OFFSET('Time Dep Phys Params'!$D$20,0,BY$68))=TRUE,OFFSET('Time Dep Phys Params'!$D$20,0,BY$68),"")</f>
        <v/>
      </c>
      <c r="V79" s="19" t="str">
        <f ca="1">IF(ISNUMBER(OFFSET('Time Dep Phys Params'!$D$20,0,BZ$68))=TRUE,OFFSET('Time Dep Phys Params'!$D$20,0,BZ$68),"")</f>
        <v/>
      </c>
      <c r="W79" s="19" t="str">
        <f ca="1">IF(ISNUMBER(OFFSET('Time Dep Phys Params'!$D$20,0,CA$68))=TRUE,OFFSET('Time Dep Phys Params'!$D$20,0,CA$68),"")</f>
        <v/>
      </c>
      <c r="X79" s="19" t="str">
        <f ca="1">IF(ISNUMBER(OFFSET('Time Dep Phys Params'!$D$20,0,CB$68))=TRUE,OFFSET('Time Dep Phys Params'!$D$20,0,CB$68),"")</f>
        <v/>
      </c>
      <c r="Y79" s="19" t="str">
        <f ca="1">IF(ISNUMBER(OFFSET('Time Dep Phys Params'!$D$20,0,CC$68))=TRUE,OFFSET('Time Dep Phys Params'!$D$20,0,CC$68),"")</f>
        <v/>
      </c>
      <c r="Z79" s="19" t="str">
        <f ca="1">IF(ISNUMBER(OFFSET('Time Dep Phys Params'!$D$20,0,CD$68))=TRUE,OFFSET('Time Dep Phys Params'!$D$20,0,CD$68),"")</f>
        <v/>
      </c>
      <c r="AA79" s="19" t="str">
        <f ca="1">IF(ISNUMBER(OFFSET('Time Dep Phys Params'!$D$20,0,CE$68))=TRUE,OFFSET('Time Dep Phys Params'!$D$20,0,CE$68),"")</f>
        <v/>
      </c>
      <c r="AB79" s="19" t="str">
        <f ca="1">IF(ISNUMBER(OFFSET('Time Dep Phys Params'!$D$20,0,CF$68))=TRUE,OFFSET('Time Dep Phys Params'!$D$20,0,CF$68),"")</f>
        <v/>
      </c>
      <c r="AC79" s="19" t="str">
        <f ca="1">IF(ISNUMBER(OFFSET('Time Dep Phys Params'!$D$20,0,CG$68))=TRUE,OFFSET('Time Dep Phys Params'!$D$20,0,CG$68),"")</f>
        <v/>
      </c>
      <c r="CO79" s="181">
        <v>76</v>
      </c>
      <c r="CP79" s="80">
        <f>IF(ParamSex="Male",'Growth Params'!$F$8+CO79*'Growth Params'!$F$9/('Growth Params'!$F$10+CO79)+'Growth Params'!$F$11/(1+'Growth Params'!$F$12*EXP(-'Growth Params'!$F$13*'Growth Params'!$F$11*CO79)),'Growth Params'!$E$8+CO79*'Growth Params'!$E$9/('Growth Params'!$E$10+CO79)+'Growth Params'!$E$11/(1+'Growth Params'!$E$12*EXP(-'Growth Params'!$E$13*'Growth Params'!$E$11*CO79)))</f>
        <v>58.464556962025313</v>
      </c>
    </row>
    <row r="80" spans="1:94" x14ac:dyDescent="0.25">
      <c r="A80" t="str">
        <f t="shared" ca="1" si="8"/>
        <v>Defalt</v>
      </c>
      <c r="B80" s="19" t="s">
        <v>46</v>
      </c>
      <c r="C80" s="19" t="s">
        <v>109</v>
      </c>
      <c r="D80" s="19">
        <f t="shared" ca="1" si="9"/>
        <v>11</v>
      </c>
      <c r="E80" s="19">
        <f ca="1">IF(ISNUMBER(OFFSET('Time Dep Phys Params'!$D$21,0,BI$68))=TRUE,OFFSET('Time Dep Phys Params'!$D$21,0,BI$68),"")</f>
        <v>6.9300000000000004E-4</v>
      </c>
      <c r="F80" s="19">
        <f ca="1">IF(ISNUMBER(OFFSET('Time Dep Phys Params'!$D$21,0,BJ$68))=TRUE,OFFSET('Time Dep Phys Params'!$D$21,0,BJ$68),"")</f>
        <v>6.9300000000000004E-4</v>
      </c>
      <c r="G80" s="19">
        <f ca="1">IF(ISNUMBER(OFFSET('Time Dep Phys Params'!$D$21,0,BK$68))=TRUE,OFFSET('Time Dep Phys Params'!$D$21,0,BK$68),"")</f>
        <v>6.9300000000000004E-4</v>
      </c>
      <c r="H80" s="19">
        <f ca="1">IF(ISNUMBER(OFFSET('Time Dep Phys Params'!$D$21,0,BL$68))=TRUE,OFFSET('Time Dep Phys Params'!$D$21,0,BL$68),"")</f>
        <v>1.3860000000000001E-3</v>
      </c>
      <c r="I80" s="19">
        <f ca="1">IF(ISNUMBER(OFFSET('Time Dep Phys Params'!$D$21,0,BM$68))=TRUE,OFFSET('Time Dep Phys Params'!$D$21,0,BM$68),"")</f>
        <v>5.6999999999999998E-4</v>
      </c>
      <c r="J80" s="19">
        <f ca="1">IF(ISNUMBER(OFFSET('Time Dep Phys Params'!$D$21,0,BN$68))=TRUE,OFFSET('Time Dep Phys Params'!$D$21,0,BN$68),"")</f>
        <v>5.6999999999999998E-4</v>
      </c>
      <c r="K80" s="19">
        <f ca="1">IF(ISNUMBER(OFFSET('Time Dep Phys Params'!$D$21,0,BO$68))=TRUE,OFFSET('Time Dep Phys Params'!$D$21,0,BO$68),"")</f>
        <v>5.6999999999999998E-4</v>
      </c>
      <c r="L80" s="19">
        <f ca="1">IF(ISNUMBER(OFFSET('Time Dep Phys Params'!$D$21,0,BP$68))=TRUE,OFFSET('Time Dep Phys Params'!$D$21,0,BP$68),"")</f>
        <v>1.4250000000000001E-3</v>
      </c>
      <c r="M80" s="19">
        <f ca="1">IF(ISNUMBER(OFFSET('Time Dep Phys Params'!$D$21,0,BQ$68))=TRUE,OFFSET('Time Dep Phys Params'!$D$21,0,BQ$68),"")</f>
        <v>3.0400000000000002E-3</v>
      </c>
      <c r="N80" s="19">
        <f ca="1">IF(ISNUMBER(OFFSET('Time Dep Phys Params'!$D$21,0,BR$68))=TRUE,OFFSET('Time Dep Phys Params'!$D$21,0,BR$68),"")</f>
        <v>3.4199999999999999E-3</v>
      </c>
      <c r="O80" s="19">
        <f ca="1">IF(ISNUMBER(OFFSET('Time Dep Phys Params'!$D$21,0,BS$68))=TRUE,OFFSET('Time Dep Phys Params'!$D$21,0,BS$68),"")</f>
        <v>3.8E-3</v>
      </c>
      <c r="P80" s="19" t="str">
        <f ca="1">IF(ISNUMBER(OFFSET('Time Dep Phys Params'!$D$21,0,BT$68))=TRUE,OFFSET('Time Dep Phys Params'!$D$21,0,BT$68),"")</f>
        <v/>
      </c>
      <c r="Q80" s="19" t="str">
        <f ca="1">IF(ISNUMBER(OFFSET('Time Dep Phys Params'!$D$21,0,BU$68))=TRUE,OFFSET('Time Dep Phys Params'!$D$21,0,BU$68),"")</f>
        <v/>
      </c>
      <c r="R80" s="19" t="str">
        <f ca="1">IF(ISNUMBER(OFFSET('Time Dep Phys Params'!$D$21,0,BV$68))=TRUE,OFFSET('Time Dep Phys Params'!$D$21,0,BV$68),"")</f>
        <v/>
      </c>
      <c r="S80" s="19" t="str">
        <f ca="1">IF(ISNUMBER(OFFSET('Time Dep Phys Params'!$D$21,0,BW$68))=TRUE,OFFSET('Time Dep Phys Params'!$D$21,0,BW$68),"")</f>
        <v/>
      </c>
      <c r="T80" s="19" t="str">
        <f ca="1">IF(ISNUMBER(OFFSET('Time Dep Phys Params'!$D$21,0,BX$68))=TRUE,OFFSET('Time Dep Phys Params'!$D$21,0,BX$68),"")</f>
        <v/>
      </c>
      <c r="U80" s="19" t="str">
        <f ca="1">IF(ISNUMBER(OFFSET('Time Dep Phys Params'!$D$21,0,BY$68))=TRUE,OFFSET('Time Dep Phys Params'!$D$21,0,BY$68),"")</f>
        <v/>
      </c>
      <c r="V80" s="19" t="str">
        <f ca="1">IF(ISNUMBER(OFFSET('Time Dep Phys Params'!$D$21,0,BZ$68))=TRUE,OFFSET('Time Dep Phys Params'!$D$21,0,BZ$68),"")</f>
        <v/>
      </c>
      <c r="W80" s="19" t="str">
        <f ca="1">IF(ISNUMBER(OFFSET('Time Dep Phys Params'!$D$21,0,CA$68))=TRUE,OFFSET('Time Dep Phys Params'!$D$21,0,CA$68),"")</f>
        <v/>
      </c>
      <c r="X80" s="19" t="str">
        <f ca="1">IF(ISNUMBER(OFFSET('Time Dep Phys Params'!$D$21,0,CB$68))=TRUE,OFFSET('Time Dep Phys Params'!$D$21,0,CB$68),"")</f>
        <v/>
      </c>
      <c r="Y80" s="19" t="str">
        <f ca="1">IF(ISNUMBER(OFFSET('Time Dep Phys Params'!$D$21,0,CC$68))=TRUE,OFFSET('Time Dep Phys Params'!$D$21,0,CC$68),"")</f>
        <v/>
      </c>
      <c r="Z80" s="19" t="str">
        <f ca="1">IF(ISNUMBER(OFFSET('Time Dep Phys Params'!$D$21,0,CD$68))=TRUE,OFFSET('Time Dep Phys Params'!$D$21,0,CD$68),"")</f>
        <v/>
      </c>
      <c r="AA80" s="19" t="str">
        <f ca="1">IF(ISNUMBER(OFFSET('Time Dep Phys Params'!$D$21,0,CE$68))=TRUE,OFFSET('Time Dep Phys Params'!$D$21,0,CE$68),"")</f>
        <v/>
      </c>
      <c r="AB80" s="19" t="str">
        <f ca="1">IF(ISNUMBER(OFFSET('Time Dep Phys Params'!$D$21,0,CF$68))=TRUE,OFFSET('Time Dep Phys Params'!$D$21,0,CF$68),"")</f>
        <v/>
      </c>
      <c r="AC80" s="19" t="str">
        <f ca="1">IF(ISNUMBER(OFFSET('Time Dep Phys Params'!$D$21,0,CG$68))=TRUE,OFFSET('Time Dep Phys Params'!$D$21,0,CG$68),"")</f>
        <v/>
      </c>
      <c r="CO80" s="181">
        <v>77</v>
      </c>
      <c r="CP80" s="80">
        <f>IF(ParamSex="Male",'Growth Params'!$F$8+CO80*'Growth Params'!$F$9/('Growth Params'!$F$10+CO80)+'Growth Params'!$F$11/(1+'Growth Params'!$F$12*EXP(-'Growth Params'!$F$13*'Growth Params'!$F$11*CO80)),'Growth Params'!$E$8+CO80*'Growth Params'!$E$9/('Growth Params'!$E$10+CO80)+'Growth Params'!$E$11/(1+'Growth Params'!$E$12*EXP(-'Growth Params'!$E$13*'Growth Params'!$E$11*CO80)))</f>
        <v>58.475000000000001</v>
      </c>
    </row>
    <row r="81" spans="1:94" x14ac:dyDescent="0.25">
      <c r="A81" t="str">
        <f t="shared" ca="1" si="8"/>
        <v>Defalt</v>
      </c>
      <c r="B81" s="19" t="s">
        <v>46</v>
      </c>
      <c r="C81" s="19" t="s">
        <v>110</v>
      </c>
      <c r="D81" s="19">
        <f t="shared" ca="1" si="9"/>
        <v>11</v>
      </c>
      <c r="E81" s="19">
        <f ca="1">IF(ISNUMBER(OFFSET('Time Dep Phys Params'!$D$22,0,BI$68))=TRUE,OFFSET('Time Dep Phys Params'!$D$22,0,BI$68),"")</f>
        <v>0.46200000000000002</v>
      </c>
      <c r="F81" s="19">
        <f ca="1">IF(ISNUMBER(OFFSET('Time Dep Phys Params'!$D$22,0,BJ$68))=TRUE,OFFSET('Time Dep Phys Params'!$D$22,0,BJ$68),"")</f>
        <v>0.46200000000000002</v>
      </c>
      <c r="G81" s="19">
        <f ca="1">IF(ISNUMBER(OFFSET('Time Dep Phys Params'!$D$22,0,BK$68))=TRUE,OFFSET('Time Dep Phys Params'!$D$22,0,BK$68),"")</f>
        <v>0.78539999999999999</v>
      </c>
      <c r="H81" s="19">
        <f ca="1">IF(ISNUMBER(OFFSET('Time Dep Phys Params'!$D$22,0,BL$68))=TRUE,OFFSET('Time Dep Phys Params'!$D$22,0,BL$68),"")</f>
        <v>0.49860000000000004</v>
      </c>
      <c r="I81" s="19">
        <f ca="1">IF(ISNUMBER(OFFSET('Time Dep Phys Params'!$D$22,0,BM$68))=TRUE,OFFSET('Time Dep Phys Params'!$D$22,0,BM$68),"")</f>
        <v>0.1946</v>
      </c>
      <c r="J81" s="19">
        <f ca="1">IF(ISNUMBER(OFFSET('Time Dep Phys Params'!$D$22,0,BN$68))=TRUE,OFFSET('Time Dep Phys Params'!$D$22,0,BN$68),"")</f>
        <v>0.13900000000000001</v>
      </c>
      <c r="K81" s="19">
        <f ca="1">IF(ISNUMBER(OFFSET('Time Dep Phys Params'!$D$22,0,BO$68))=TRUE,OFFSET('Time Dep Phys Params'!$D$22,0,BO$68),"")</f>
        <v>0.13900000000000001</v>
      </c>
      <c r="L81" s="19">
        <f ca="1">IF(ISNUMBER(OFFSET('Time Dep Phys Params'!$D$22,0,BP$68))=TRUE,OFFSET('Time Dep Phys Params'!$D$22,0,BP$68),"")</f>
        <v>0.13900000000000001</v>
      </c>
      <c r="M81" s="19">
        <f ca="1">IF(ISNUMBER(OFFSET('Time Dep Phys Params'!$D$22,0,BQ$68))=TRUE,OFFSET('Time Dep Phys Params'!$D$22,0,BQ$68),"")</f>
        <v>0.13900000000000001</v>
      </c>
      <c r="N81" s="19">
        <f ca="1">IF(ISNUMBER(OFFSET('Time Dep Phys Params'!$D$22,0,BR$68))=TRUE,OFFSET('Time Dep Phys Params'!$D$22,0,BR$68),"")</f>
        <v>0.13900000000000001</v>
      </c>
      <c r="O81" s="19">
        <f ca="1">IF(ISNUMBER(OFFSET('Time Dep Phys Params'!$D$22,0,BS$68))=TRUE,OFFSET('Time Dep Phys Params'!$D$22,0,BS$68),"")</f>
        <v>0.13900000000000001</v>
      </c>
      <c r="P81" s="19" t="str">
        <f ca="1">IF(ISNUMBER(OFFSET('Time Dep Phys Params'!$D$22,0,BT$68))=TRUE,OFFSET('Time Dep Phys Params'!$D$22,0,BT$68),"")</f>
        <v/>
      </c>
      <c r="Q81" s="19" t="str">
        <f ca="1">IF(ISNUMBER(OFFSET('Time Dep Phys Params'!$D$22,0,BU$68))=TRUE,OFFSET('Time Dep Phys Params'!$D$22,0,BU$68),"")</f>
        <v/>
      </c>
      <c r="R81" s="19" t="str">
        <f ca="1">IF(ISNUMBER(OFFSET('Time Dep Phys Params'!$D$22,0,BV$68))=TRUE,OFFSET('Time Dep Phys Params'!$D$22,0,BV$68),"")</f>
        <v/>
      </c>
      <c r="S81" s="19" t="str">
        <f ca="1">IF(ISNUMBER(OFFSET('Time Dep Phys Params'!$D$22,0,BW$68))=TRUE,OFFSET('Time Dep Phys Params'!$D$22,0,BW$68),"")</f>
        <v/>
      </c>
      <c r="T81" s="19" t="str">
        <f ca="1">IF(ISNUMBER(OFFSET('Time Dep Phys Params'!$D$22,0,BX$68))=TRUE,OFFSET('Time Dep Phys Params'!$D$22,0,BX$68),"")</f>
        <v/>
      </c>
      <c r="U81" s="19" t="str">
        <f ca="1">IF(ISNUMBER(OFFSET('Time Dep Phys Params'!$D$22,0,BY$68))=TRUE,OFFSET('Time Dep Phys Params'!$D$22,0,BY$68),"")</f>
        <v/>
      </c>
      <c r="V81" s="19" t="str">
        <f ca="1">IF(ISNUMBER(OFFSET('Time Dep Phys Params'!$D$22,0,BZ$68))=TRUE,OFFSET('Time Dep Phys Params'!$D$22,0,BZ$68),"")</f>
        <v/>
      </c>
      <c r="W81" s="19" t="str">
        <f ca="1">IF(ISNUMBER(OFFSET('Time Dep Phys Params'!$D$22,0,CA$68))=TRUE,OFFSET('Time Dep Phys Params'!$D$22,0,CA$68),"")</f>
        <v/>
      </c>
      <c r="X81" s="19" t="str">
        <f ca="1">IF(ISNUMBER(OFFSET('Time Dep Phys Params'!$D$22,0,CB$68))=TRUE,OFFSET('Time Dep Phys Params'!$D$22,0,CB$68),"")</f>
        <v/>
      </c>
      <c r="Y81" s="19" t="str">
        <f ca="1">IF(ISNUMBER(OFFSET('Time Dep Phys Params'!$D$22,0,CC$68))=TRUE,OFFSET('Time Dep Phys Params'!$D$22,0,CC$68),"")</f>
        <v/>
      </c>
      <c r="Z81" s="19" t="str">
        <f ca="1">IF(ISNUMBER(OFFSET('Time Dep Phys Params'!$D$22,0,CD$68))=TRUE,OFFSET('Time Dep Phys Params'!$D$22,0,CD$68),"")</f>
        <v/>
      </c>
      <c r="AA81" s="19" t="str">
        <f ca="1">IF(ISNUMBER(OFFSET('Time Dep Phys Params'!$D$22,0,CE$68))=TRUE,OFFSET('Time Dep Phys Params'!$D$22,0,CE$68),"")</f>
        <v/>
      </c>
      <c r="AB81" s="19" t="str">
        <f ca="1">IF(ISNUMBER(OFFSET('Time Dep Phys Params'!$D$22,0,CF$68))=TRUE,OFFSET('Time Dep Phys Params'!$D$22,0,CF$68),"")</f>
        <v/>
      </c>
      <c r="AC81" s="19" t="str">
        <f ca="1">IF(ISNUMBER(OFFSET('Time Dep Phys Params'!$D$22,0,CG$68))=TRUE,OFFSET('Time Dep Phys Params'!$D$22,0,CG$68),"")</f>
        <v/>
      </c>
      <c r="CO81" s="181">
        <v>78</v>
      </c>
      <c r="CP81" s="80">
        <f>IF(ParamSex="Male",'Growth Params'!$F$8+CO81*'Growth Params'!$F$9/('Growth Params'!$F$10+CO81)+'Growth Params'!$F$11/(1+'Growth Params'!$F$12*EXP(-'Growth Params'!$F$13*'Growth Params'!$F$11*CO81)),'Growth Params'!$E$8+CO81*'Growth Params'!$E$9/('Growth Params'!$E$10+CO81)+'Growth Params'!$E$11/(1+'Growth Params'!$E$12*EXP(-'Growth Params'!$E$13*'Growth Params'!$E$11*CO81)))</f>
        <v>58.485185185185188</v>
      </c>
    </row>
    <row r="82" spans="1:94" x14ac:dyDescent="0.25">
      <c r="A82" t="str">
        <f t="shared" ca="1" si="8"/>
        <v>Defalt</v>
      </c>
      <c r="B82" s="19" t="s">
        <v>46</v>
      </c>
      <c r="C82" s="19" t="s">
        <v>111</v>
      </c>
      <c r="D82" s="19">
        <f t="shared" ca="1" si="9"/>
        <v>11</v>
      </c>
      <c r="E82" s="19">
        <f ca="1">IF(ISNUMBER(OFFSET('Time Dep Phys Params'!$D$23,0,BI$68))=TRUE,OFFSET('Time Dep Phys Params'!$D$23,0,BI$68),"")</f>
        <v>2.0400000000000001E-2</v>
      </c>
      <c r="F82" s="19">
        <f ca="1">IF(ISNUMBER(OFFSET('Time Dep Phys Params'!$D$23,0,BJ$68))=TRUE,OFFSET('Time Dep Phys Params'!$D$23,0,BJ$68),"")</f>
        <v>1.644E-2</v>
      </c>
      <c r="G82" s="19">
        <f ca="1">IF(ISNUMBER(OFFSET('Time Dep Phys Params'!$D$23,0,BK$68))=TRUE,OFFSET('Time Dep Phys Params'!$D$23,0,BK$68),"")</f>
        <v>5.7600000000000004E-3</v>
      </c>
      <c r="H82" s="19">
        <f ca="1">IF(ISNUMBER(OFFSET('Time Dep Phys Params'!$D$23,0,BL$68))=TRUE,OFFSET('Time Dep Phys Params'!$D$23,0,BL$68),"")</f>
        <v>3.62E-3</v>
      </c>
      <c r="I82" s="19">
        <f ca="1">IF(ISNUMBER(OFFSET('Time Dep Phys Params'!$D$23,0,BM$68))=TRUE,OFFSET('Time Dep Phys Params'!$D$23,0,BM$68),"")</f>
        <v>2.64E-3</v>
      </c>
      <c r="J82" s="19">
        <f ca="1">IF(ISNUMBER(OFFSET('Time Dep Phys Params'!$D$23,0,BN$68))=TRUE,OFFSET('Time Dep Phys Params'!$D$23,0,BN$68),"")</f>
        <v>1.9120000000000001E-3</v>
      </c>
      <c r="K82" s="19">
        <f ca="1">IF(ISNUMBER(OFFSET('Time Dep Phys Params'!$D$23,0,BO$68))=TRUE,OFFSET('Time Dep Phys Params'!$D$23,0,BO$68),"")</f>
        <v>9.859999999999999E-4</v>
      </c>
      <c r="L82" s="19">
        <f ca="1">IF(ISNUMBER(OFFSET('Time Dep Phys Params'!$D$23,0,BP$68))=TRUE,OFFSET('Time Dep Phys Params'!$D$23,0,BP$68),"")</f>
        <v>9.859999999999999E-4</v>
      </c>
      <c r="M82" s="19">
        <f ca="1">IF(ISNUMBER(OFFSET('Time Dep Phys Params'!$D$23,0,BQ$68))=TRUE,OFFSET('Time Dep Phys Params'!$D$23,0,BQ$68),"")</f>
        <v>9.859999999999999E-4</v>
      </c>
      <c r="N82" s="19">
        <f ca="1">IF(ISNUMBER(OFFSET('Time Dep Phys Params'!$D$23,0,BR$68))=TRUE,OFFSET('Time Dep Phys Params'!$D$23,0,BR$68),"")</f>
        <v>9.859999999999999E-4</v>
      </c>
      <c r="O82" s="19">
        <f ca="1">IF(ISNUMBER(OFFSET('Time Dep Phys Params'!$D$23,0,BS$68))=TRUE,OFFSET('Time Dep Phys Params'!$D$23,0,BS$68),"")</f>
        <v>9.859999999999999E-4</v>
      </c>
      <c r="P82" s="19" t="str">
        <f ca="1">IF(ISNUMBER(OFFSET('Time Dep Phys Params'!$D$23,0,BT$68))=TRUE,OFFSET('Time Dep Phys Params'!$D$23,0,BT$68),"")</f>
        <v/>
      </c>
      <c r="Q82" s="19" t="str">
        <f ca="1">IF(ISNUMBER(OFFSET('Time Dep Phys Params'!$D$23,0,BU$68))=TRUE,OFFSET('Time Dep Phys Params'!$D$23,0,BU$68),"")</f>
        <v/>
      </c>
      <c r="R82" s="19" t="str">
        <f ca="1">IF(ISNUMBER(OFFSET('Time Dep Phys Params'!$D$23,0,BV$68))=TRUE,OFFSET('Time Dep Phys Params'!$D$23,0,BV$68),"")</f>
        <v/>
      </c>
      <c r="S82" s="19" t="str">
        <f ca="1">IF(ISNUMBER(OFFSET('Time Dep Phys Params'!$D$23,0,BW$68))=TRUE,OFFSET('Time Dep Phys Params'!$D$23,0,BW$68),"")</f>
        <v/>
      </c>
      <c r="T82" s="19" t="str">
        <f ca="1">IF(ISNUMBER(OFFSET('Time Dep Phys Params'!$D$23,0,BX$68))=TRUE,OFFSET('Time Dep Phys Params'!$D$23,0,BX$68),"")</f>
        <v/>
      </c>
      <c r="U82" s="19" t="str">
        <f ca="1">IF(ISNUMBER(OFFSET('Time Dep Phys Params'!$D$23,0,BY$68))=TRUE,OFFSET('Time Dep Phys Params'!$D$23,0,BY$68),"")</f>
        <v/>
      </c>
      <c r="V82" s="19" t="str">
        <f ca="1">IF(ISNUMBER(OFFSET('Time Dep Phys Params'!$D$23,0,BZ$68))=TRUE,OFFSET('Time Dep Phys Params'!$D$23,0,BZ$68),"")</f>
        <v/>
      </c>
      <c r="W82" s="19" t="str">
        <f ca="1">IF(ISNUMBER(OFFSET('Time Dep Phys Params'!$D$23,0,CA$68))=TRUE,OFFSET('Time Dep Phys Params'!$D$23,0,CA$68),"")</f>
        <v/>
      </c>
      <c r="X82" s="19" t="str">
        <f ca="1">IF(ISNUMBER(OFFSET('Time Dep Phys Params'!$D$23,0,CB$68))=TRUE,OFFSET('Time Dep Phys Params'!$D$23,0,CB$68),"")</f>
        <v/>
      </c>
      <c r="Y82" s="19" t="str">
        <f ca="1">IF(ISNUMBER(OFFSET('Time Dep Phys Params'!$D$23,0,CC$68))=TRUE,OFFSET('Time Dep Phys Params'!$D$23,0,CC$68),"")</f>
        <v/>
      </c>
      <c r="Z82" s="19" t="str">
        <f ca="1">IF(ISNUMBER(OFFSET('Time Dep Phys Params'!$D$23,0,CD$68))=TRUE,OFFSET('Time Dep Phys Params'!$D$23,0,CD$68),"")</f>
        <v/>
      </c>
      <c r="AA82" s="19" t="str">
        <f ca="1">IF(ISNUMBER(OFFSET('Time Dep Phys Params'!$D$23,0,CE$68))=TRUE,OFFSET('Time Dep Phys Params'!$D$23,0,CE$68),"")</f>
        <v/>
      </c>
      <c r="AB82" s="19" t="str">
        <f ca="1">IF(ISNUMBER(OFFSET('Time Dep Phys Params'!$D$23,0,CF$68))=TRUE,OFFSET('Time Dep Phys Params'!$D$23,0,CF$68),"")</f>
        <v/>
      </c>
      <c r="AC82" s="19" t="str">
        <f ca="1">IF(ISNUMBER(OFFSET('Time Dep Phys Params'!$D$23,0,CG$68))=TRUE,OFFSET('Time Dep Phys Params'!$D$23,0,CG$68),"")</f>
        <v/>
      </c>
      <c r="CO82" s="181">
        <v>79</v>
      </c>
      <c r="CP82" s="80">
        <f>IF(ParamSex="Male",'Growth Params'!$F$8+CO82*'Growth Params'!$F$9/('Growth Params'!$F$10+CO82)+'Growth Params'!$F$11/(1+'Growth Params'!$F$12*EXP(-'Growth Params'!$F$13*'Growth Params'!$F$11*CO82)),'Growth Params'!$E$8+CO82*'Growth Params'!$E$9/('Growth Params'!$E$10+CO82)+'Growth Params'!$E$11/(1+'Growth Params'!$E$12*EXP(-'Growth Params'!$E$13*'Growth Params'!$E$11*CO82)))</f>
        <v>58.495121951219517</v>
      </c>
    </row>
    <row r="83" spans="1:94" x14ac:dyDescent="0.25">
      <c r="A83" t="str">
        <f t="shared" ca="1" si="8"/>
        <v>Defalt</v>
      </c>
      <c r="B83" s="19" t="s">
        <v>46</v>
      </c>
      <c r="C83" s="19" t="s">
        <v>112</v>
      </c>
      <c r="D83" s="19">
        <f t="shared" ca="1" si="9"/>
        <v>11</v>
      </c>
      <c r="E83" s="19">
        <f ca="1">IF(ISNUMBER(OFFSET('Time Dep Phys Params'!$D$24,0,BI$68))=TRUE,OFFSET('Time Dep Phys Params'!$D$24,0,BI$68),"")</f>
        <v>0.35</v>
      </c>
      <c r="F83" s="19">
        <f ca="1">IF(ISNUMBER(OFFSET('Time Dep Phys Params'!$D$24,0,BJ$68))=TRUE,OFFSET('Time Dep Phys Params'!$D$24,0,BJ$68),"")</f>
        <v>0.35</v>
      </c>
      <c r="G83" s="19">
        <f ca="1">IF(ISNUMBER(OFFSET('Time Dep Phys Params'!$D$24,0,BK$68))=TRUE,OFFSET('Time Dep Phys Params'!$D$24,0,BK$68),"")</f>
        <v>0.35</v>
      </c>
      <c r="H83" s="19">
        <f ca="1">IF(ISNUMBER(OFFSET('Time Dep Phys Params'!$D$24,0,BL$68))=TRUE,OFFSET('Time Dep Phys Params'!$D$24,0,BL$68),"")</f>
        <v>0.35</v>
      </c>
      <c r="I83" s="19">
        <f ca="1">IF(ISNUMBER(OFFSET('Time Dep Phys Params'!$D$24,0,BM$68))=TRUE,OFFSET('Time Dep Phys Params'!$D$24,0,BM$68),"")</f>
        <v>0.35</v>
      </c>
      <c r="J83" s="19">
        <f ca="1">IF(ISNUMBER(OFFSET('Time Dep Phys Params'!$D$24,0,BN$68))=TRUE,OFFSET('Time Dep Phys Params'!$D$24,0,BN$68),"")</f>
        <v>0.35</v>
      </c>
      <c r="K83" s="19">
        <f ca="1">IF(ISNUMBER(OFFSET('Time Dep Phys Params'!$D$24,0,BO$68))=TRUE,OFFSET('Time Dep Phys Params'!$D$24,0,BO$68),"")</f>
        <v>0.5</v>
      </c>
      <c r="L83" s="19">
        <f ca="1">IF(ISNUMBER(OFFSET('Time Dep Phys Params'!$D$24,0,BP$68))=TRUE,OFFSET('Time Dep Phys Params'!$D$24,0,BP$68),"")</f>
        <v>0.5</v>
      </c>
      <c r="M83" s="19">
        <f ca="1">IF(ISNUMBER(OFFSET('Time Dep Phys Params'!$D$24,0,BQ$68))=TRUE,OFFSET('Time Dep Phys Params'!$D$24,0,BQ$68),"")</f>
        <v>0.5</v>
      </c>
      <c r="N83" s="19">
        <f ca="1">IF(ISNUMBER(OFFSET('Time Dep Phys Params'!$D$24,0,BR$68))=TRUE,OFFSET('Time Dep Phys Params'!$D$24,0,BR$68),"")</f>
        <v>0.5</v>
      </c>
      <c r="O83" s="19">
        <f ca="1">IF(ISNUMBER(OFFSET('Time Dep Phys Params'!$D$24,0,BS$68))=TRUE,OFFSET('Time Dep Phys Params'!$D$24,0,BS$68),"")</f>
        <v>0.5</v>
      </c>
      <c r="P83" s="19" t="str">
        <f ca="1">IF(ISNUMBER(OFFSET('Time Dep Phys Params'!$D$24,0,BT$68))=TRUE,OFFSET('Time Dep Phys Params'!$D$24,0,BT$68),"")</f>
        <v/>
      </c>
      <c r="Q83" s="19" t="str">
        <f ca="1">IF(ISNUMBER(OFFSET('Time Dep Phys Params'!$D$24,0,BU$68))=TRUE,OFFSET('Time Dep Phys Params'!$D$24,0,BU$68),"")</f>
        <v/>
      </c>
      <c r="R83" s="19" t="str">
        <f ca="1">IF(ISNUMBER(OFFSET('Time Dep Phys Params'!$D$24,0,BV$68))=TRUE,OFFSET('Time Dep Phys Params'!$D$24,0,BV$68),"")</f>
        <v/>
      </c>
      <c r="S83" s="19" t="str">
        <f ca="1">IF(ISNUMBER(OFFSET('Time Dep Phys Params'!$D$24,0,BW$68))=TRUE,OFFSET('Time Dep Phys Params'!$D$24,0,BW$68),"")</f>
        <v/>
      </c>
      <c r="T83" s="19" t="str">
        <f ca="1">IF(ISNUMBER(OFFSET('Time Dep Phys Params'!$D$24,0,BX$68))=TRUE,OFFSET('Time Dep Phys Params'!$D$24,0,BX$68),"")</f>
        <v/>
      </c>
      <c r="U83" s="19" t="str">
        <f ca="1">IF(ISNUMBER(OFFSET('Time Dep Phys Params'!$D$24,0,BY$68))=TRUE,OFFSET('Time Dep Phys Params'!$D$24,0,BY$68),"")</f>
        <v/>
      </c>
      <c r="V83" s="19" t="str">
        <f ca="1">IF(ISNUMBER(OFFSET('Time Dep Phys Params'!$D$24,0,BZ$68))=TRUE,OFFSET('Time Dep Phys Params'!$D$24,0,BZ$68),"")</f>
        <v/>
      </c>
      <c r="W83" s="19" t="str">
        <f ca="1">IF(ISNUMBER(OFFSET('Time Dep Phys Params'!$D$24,0,CA$68))=TRUE,OFFSET('Time Dep Phys Params'!$D$24,0,CA$68),"")</f>
        <v/>
      </c>
      <c r="X83" s="19" t="str">
        <f ca="1">IF(ISNUMBER(OFFSET('Time Dep Phys Params'!$D$24,0,CB$68))=TRUE,OFFSET('Time Dep Phys Params'!$D$24,0,CB$68),"")</f>
        <v/>
      </c>
      <c r="Y83" s="19" t="str">
        <f ca="1">IF(ISNUMBER(OFFSET('Time Dep Phys Params'!$D$24,0,CC$68))=TRUE,OFFSET('Time Dep Phys Params'!$D$24,0,CC$68),"")</f>
        <v/>
      </c>
      <c r="Z83" s="19" t="str">
        <f ca="1">IF(ISNUMBER(OFFSET('Time Dep Phys Params'!$D$24,0,CD$68))=TRUE,OFFSET('Time Dep Phys Params'!$D$24,0,CD$68),"")</f>
        <v/>
      </c>
      <c r="AA83" s="19" t="str">
        <f ca="1">IF(ISNUMBER(OFFSET('Time Dep Phys Params'!$D$24,0,CE$68))=TRUE,OFFSET('Time Dep Phys Params'!$D$24,0,CE$68),"")</f>
        <v/>
      </c>
      <c r="AB83" s="19" t="str">
        <f ca="1">IF(ISNUMBER(OFFSET('Time Dep Phys Params'!$D$24,0,CF$68))=TRUE,OFFSET('Time Dep Phys Params'!$D$24,0,CF$68),"")</f>
        <v/>
      </c>
      <c r="AC83" s="19" t="str">
        <f ca="1">IF(ISNUMBER(OFFSET('Time Dep Phys Params'!$D$24,0,CG$68))=TRUE,OFFSET('Time Dep Phys Params'!$D$24,0,CG$68),"")</f>
        <v/>
      </c>
      <c r="CO83" s="181">
        <v>80</v>
      </c>
      <c r="CP83" s="80">
        <f>IF(ParamSex="Male",'Growth Params'!$F$8+CO83*'Growth Params'!$F$9/('Growth Params'!$F$10+CO83)+'Growth Params'!$F$11/(1+'Growth Params'!$F$12*EXP(-'Growth Params'!$F$13*'Growth Params'!$F$11*CO83)),'Growth Params'!$E$8+CO83*'Growth Params'!$E$9/('Growth Params'!$E$10+CO83)+'Growth Params'!$E$11/(1+'Growth Params'!$E$12*EXP(-'Growth Params'!$E$13*'Growth Params'!$E$11*CO83)))</f>
        <v>58.504819277108439</v>
      </c>
    </row>
    <row r="84" spans="1:94" x14ac:dyDescent="0.25">
      <c r="A84" t="str">
        <f t="shared" ca="1" si="8"/>
        <v>Defalt</v>
      </c>
      <c r="B84" s="19" t="s">
        <v>46</v>
      </c>
      <c r="C84" s="19" t="s">
        <v>113</v>
      </c>
      <c r="D84" s="19">
        <f t="shared" ca="1" si="9"/>
        <v>11</v>
      </c>
      <c r="E84" s="19">
        <f ca="1">IF(ISNUMBER(OFFSET('Time Dep Phys Params'!$D$25,0,BI$68))=TRUE,OFFSET('Time Dep Phys Params'!$D$25,0,BI$68),"")</f>
        <v>0.65</v>
      </c>
      <c r="F84" s="19">
        <f ca="1">IF(ISNUMBER(OFFSET('Time Dep Phys Params'!$D$25,0,BJ$68))=TRUE,OFFSET('Time Dep Phys Params'!$D$25,0,BJ$68),"")</f>
        <v>0.65</v>
      </c>
      <c r="G84" s="19">
        <f ca="1">IF(ISNUMBER(OFFSET('Time Dep Phys Params'!$D$25,0,BK$68))=TRUE,OFFSET('Time Dep Phys Params'!$D$25,0,BK$68),"")</f>
        <v>0.65</v>
      </c>
      <c r="H84" s="19">
        <f ca="1">IF(ISNUMBER(OFFSET('Time Dep Phys Params'!$D$25,0,BL$68))=TRUE,OFFSET('Time Dep Phys Params'!$D$25,0,BL$68),"")</f>
        <v>0.65</v>
      </c>
      <c r="I84" s="19">
        <f ca="1">IF(ISNUMBER(OFFSET('Time Dep Phys Params'!$D$25,0,BM$68))=TRUE,OFFSET('Time Dep Phys Params'!$D$25,0,BM$68),"")</f>
        <v>0.65</v>
      </c>
      <c r="J84" s="19">
        <f ca="1">IF(ISNUMBER(OFFSET('Time Dep Phys Params'!$D$25,0,BN$68))=TRUE,OFFSET('Time Dep Phys Params'!$D$25,0,BN$68),"")</f>
        <v>0.65</v>
      </c>
      <c r="K84" s="19">
        <f ca="1">IF(ISNUMBER(OFFSET('Time Dep Phys Params'!$D$25,0,BO$68))=TRUE,OFFSET('Time Dep Phys Params'!$D$25,0,BO$68),"")</f>
        <v>0.5</v>
      </c>
      <c r="L84" s="19">
        <f ca="1">IF(ISNUMBER(OFFSET('Time Dep Phys Params'!$D$25,0,BP$68))=TRUE,OFFSET('Time Dep Phys Params'!$D$25,0,BP$68),"")</f>
        <v>0.5</v>
      </c>
      <c r="M84" s="19">
        <f ca="1">IF(ISNUMBER(OFFSET('Time Dep Phys Params'!$D$25,0,BQ$68))=TRUE,OFFSET('Time Dep Phys Params'!$D$25,0,BQ$68),"")</f>
        <v>0.5</v>
      </c>
      <c r="N84" s="19">
        <f ca="1">IF(ISNUMBER(OFFSET('Time Dep Phys Params'!$D$25,0,BR$68))=TRUE,OFFSET('Time Dep Phys Params'!$D$25,0,BR$68),"")</f>
        <v>0.5</v>
      </c>
      <c r="O84" s="19">
        <f ca="1">IF(ISNUMBER(OFFSET('Time Dep Phys Params'!$D$25,0,BS$68))=TRUE,OFFSET('Time Dep Phys Params'!$D$25,0,BS$68),"")</f>
        <v>0.5</v>
      </c>
      <c r="P84" s="19" t="str">
        <f ca="1">IF(ISNUMBER(OFFSET('Time Dep Phys Params'!$D$25,0,BT$68))=TRUE,OFFSET('Time Dep Phys Params'!$D$25,0,BT$68),"")</f>
        <v/>
      </c>
      <c r="Q84" s="19" t="str">
        <f ca="1">IF(ISNUMBER(OFFSET('Time Dep Phys Params'!$D$25,0,BU$68))=TRUE,OFFSET('Time Dep Phys Params'!$D$25,0,BU$68),"")</f>
        <v/>
      </c>
      <c r="R84" s="19" t="str">
        <f ca="1">IF(ISNUMBER(OFFSET('Time Dep Phys Params'!$D$25,0,BV$68))=TRUE,OFFSET('Time Dep Phys Params'!$D$25,0,BV$68),"")</f>
        <v/>
      </c>
      <c r="S84" s="19" t="str">
        <f ca="1">IF(ISNUMBER(OFFSET('Time Dep Phys Params'!$D$25,0,BW$68))=TRUE,OFFSET('Time Dep Phys Params'!$D$25,0,BW$68),"")</f>
        <v/>
      </c>
      <c r="T84" s="19" t="str">
        <f ca="1">IF(ISNUMBER(OFFSET('Time Dep Phys Params'!$D$25,0,BX$68))=TRUE,OFFSET('Time Dep Phys Params'!$D$25,0,BX$68),"")</f>
        <v/>
      </c>
      <c r="U84" s="19" t="str">
        <f ca="1">IF(ISNUMBER(OFFSET('Time Dep Phys Params'!$D$25,0,BY$68))=TRUE,OFFSET('Time Dep Phys Params'!$D$25,0,BY$68),"")</f>
        <v/>
      </c>
      <c r="V84" s="19" t="str">
        <f ca="1">IF(ISNUMBER(OFFSET('Time Dep Phys Params'!$D$25,0,BZ$68))=TRUE,OFFSET('Time Dep Phys Params'!$D$25,0,BZ$68),"")</f>
        <v/>
      </c>
      <c r="W84" s="19" t="str">
        <f ca="1">IF(ISNUMBER(OFFSET('Time Dep Phys Params'!$D$25,0,CA$68))=TRUE,OFFSET('Time Dep Phys Params'!$D$25,0,CA$68),"")</f>
        <v/>
      </c>
      <c r="X84" s="19" t="str">
        <f ca="1">IF(ISNUMBER(OFFSET('Time Dep Phys Params'!$D$25,0,CB$68))=TRUE,OFFSET('Time Dep Phys Params'!$D$25,0,CB$68),"")</f>
        <v/>
      </c>
      <c r="Y84" s="19" t="str">
        <f ca="1">IF(ISNUMBER(OFFSET('Time Dep Phys Params'!$D$25,0,CC$68))=TRUE,OFFSET('Time Dep Phys Params'!$D$25,0,CC$68),"")</f>
        <v/>
      </c>
      <c r="Z84" s="19" t="str">
        <f ca="1">IF(ISNUMBER(OFFSET('Time Dep Phys Params'!$D$25,0,CD$68))=TRUE,OFFSET('Time Dep Phys Params'!$D$25,0,CD$68),"")</f>
        <v/>
      </c>
      <c r="AA84" s="19" t="str">
        <f ca="1">IF(ISNUMBER(OFFSET('Time Dep Phys Params'!$D$25,0,CE$68))=TRUE,OFFSET('Time Dep Phys Params'!$D$25,0,CE$68),"")</f>
        <v/>
      </c>
      <c r="AB84" s="19" t="str">
        <f ca="1">IF(ISNUMBER(OFFSET('Time Dep Phys Params'!$D$25,0,CF$68))=TRUE,OFFSET('Time Dep Phys Params'!$D$25,0,CF$68),"")</f>
        <v/>
      </c>
      <c r="AC84" s="19" t="str">
        <f ca="1">IF(ISNUMBER(OFFSET('Time Dep Phys Params'!$D$25,0,CG$68))=TRUE,OFFSET('Time Dep Phys Params'!$D$25,0,CG$68),"")</f>
        <v/>
      </c>
      <c r="CO84" s="181">
        <v>81</v>
      </c>
      <c r="CP84" s="80">
        <f>IF(ParamSex="Male",'Growth Params'!$F$8+CO84*'Growth Params'!$F$9/('Growth Params'!$F$10+CO84)+'Growth Params'!$F$11/(1+'Growth Params'!$F$12*EXP(-'Growth Params'!$F$13*'Growth Params'!$F$11*CO84)),'Growth Params'!$E$8+CO84*'Growth Params'!$E$9/('Growth Params'!$E$10+CO84)+'Growth Params'!$E$11/(1+'Growth Params'!$E$12*EXP(-'Growth Params'!$E$13*'Growth Params'!$E$11*CO84)))</f>
        <v>58.51428571428572</v>
      </c>
    </row>
    <row r="85" spans="1:94" x14ac:dyDescent="0.25">
      <c r="A85" t="str">
        <f t="shared" ca="1" si="8"/>
        <v>Defalt</v>
      </c>
      <c r="B85" s="19" t="s">
        <v>46</v>
      </c>
      <c r="C85" s="19" t="s">
        <v>114</v>
      </c>
      <c r="D85" s="19">
        <f t="shared" ca="1" si="9"/>
        <v>11</v>
      </c>
      <c r="E85" s="19">
        <f ca="1">IF(ISNUMBER(OFFSET('Time Dep Phys Params'!$D$26,0,BI$68))=TRUE,OFFSET('Time Dep Phys Params'!$D$26,0,BI$68),"")</f>
        <v>0.24</v>
      </c>
      <c r="F85" s="19">
        <f ca="1">IF(ISNUMBER(OFFSET('Time Dep Phys Params'!$D$26,0,BJ$68))=TRUE,OFFSET('Time Dep Phys Params'!$D$26,0,BJ$68),"")</f>
        <v>0.24</v>
      </c>
      <c r="G85" s="19">
        <f ca="1">IF(ISNUMBER(OFFSET('Time Dep Phys Params'!$D$26,0,BK$68))=TRUE,OFFSET('Time Dep Phys Params'!$D$26,0,BK$68),"")</f>
        <v>0.14399999999999999</v>
      </c>
      <c r="H85" s="19">
        <f ca="1">IF(ISNUMBER(OFFSET('Time Dep Phys Params'!$D$26,0,BL$68))=TRUE,OFFSET('Time Dep Phys Params'!$D$26,0,BL$68),"")</f>
        <v>0.128</v>
      </c>
      <c r="I85" s="19">
        <f ca="1">IF(ISNUMBER(OFFSET('Time Dep Phys Params'!$D$26,0,BM$68))=TRUE,OFFSET('Time Dep Phys Params'!$D$26,0,BM$68),"")</f>
        <v>0.17899999999999999</v>
      </c>
      <c r="J85" s="19">
        <f ca="1">IF(ISNUMBER(OFFSET('Time Dep Phys Params'!$D$26,0,BN$68))=TRUE,OFFSET('Time Dep Phys Params'!$D$26,0,BN$68),"")</f>
        <v>0.23699999999999999</v>
      </c>
      <c r="K85" s="19">
        <f ca="1">IF(ISNUMBER(OFFSET('Time Dep Phys Params'!$D$26,0,BO$68))=TRUE,OFFSET('Time Dep Phys Params'!$D$26,0,BO$68),"")</f>
        <v>0.08</v>
      </c>
      <c r="L85" s="19">
        <f ca="1">IF(ISNUMBER(OFFSET('Time Dep Phys Params'!$D$26,0,BP$68))=TRUE,OFFSET('Time Dep Phys Params'!$D$26,0,BP$68),"")</f>
        <v>0.08</v>
      </c>
      <c r="M85" s="19">
        <f ca="1">IF(ISNUMBER(OFFSET('Time Dep Phys Params'!$D$26,0,BQ$68))=TRUE,OFFSET('Time Dep Phys Params'!$D$26,0,BQ$68),"")</f>
        <v>0.08</v>
      </c>
      <c r="N85" s="19">
        <f ca="1">IF(ISNUMBER(OFFSET('Time Dep Phys Params'!$D$26,0,BR$68))=TRUE,OFFSET('Time Dep Phys Params'!$D$26,0,BR$68),"")</f>
        <v>0.08</v>
      </c>
      <c r="O85" s="19">
        <f ca="1">IF(ISNUMBER(OFFSET('Time Dep Phys Params'!$D$26,0,BS$68))=TRUE,OFFSET('Time Dep Phys Params'!$D$26,0,BS$68),"")</f>
        <v>0.08</v>
      </c>
      <c r="P85" s="19" t="str">
        <f ca="1">IF(ISNUMBER(OFFSET('Time Dep Phys Params'!$D$26,0,BT$68))=TRUE,OFFSET('Time Dep Phys Params'!$D$26,0,BT$68),"")</f>
        <v/>
      </c>
      <c r="Q85" s="19" t="str">
        <f ca="1">IF(ISNUMBER(OFFSET('Time Dep Phys Params'!$D$26,0,BU$68))=TRUE,OFFSET('Time Dep Phys Params'!$D$26,0,BU$68),"")</f>
        <v/>
      </c>
      <c r="R85" s="19" t="str">
        <f ca="1">IF(ISNUMBER(OFFSET('Time Dep Phys Params'!$D$26,0,BV$68))=TRUE,OFFSET('Time Dep Phys Params'!$D$26,0,BV$68),"")</f>
        <v/>
      </c>
      <c r="S85" s="19" t="str">
        <f ca="1">IF(ISNUMBER(OFFSET('Time Dep Phys Params'!$D$26,0,BW$68))=TRUE,OFFSET('Time Dep Phys Params'!$D$26,0,BW$68),"")</f>
        <v/>
      </c>
      <c r="T85" s="19" t="str">
        <f ca="1">IF(ISNUMBER(OFFSET('Time Dep Phys Params'!$D$26,0,BX$68))=TRUE,OFFSET('Time Dep Phys Params'!$D$26,0,BX$68),"")</f>
        <v/>
      </c>
      <c r="U85" s="19" t="str">
        <f ca="1">IF(ISNUMBER(OFFSET('Time Dep Phys Params'!$D$26,0,BY$68))=TRUE,OFFSET('Time Dep Phys Params'!$D$26,0,BY$68),"")</f>
        <v/>
      </c>
      <c r="V85" s="19" t="str">
        <f ca="1">IF(ISNUMBER(OFFSET('Time Dep Phys Params'!$D$26,0,BZ$68))=TRUE,OFFSET('Time Dep Phys Params'!$D$26,0,BZ$68),"")</f>
        <v/>
      </c>
      <c r="W85" s="19" t="str">
        <f ca="1">IF(ISNUMBER(OFFSET('Time Dep Phys Params'!$D$26,0,CA$68))=TRUE,OFFSET('Time Dep Phys Params'!$D$26,0,CA$68),"")</f>
        <v/>
      </c>
      <c r="X85" s="19" t="str">
        <f ca="1">IF(ISNUMBER(OFFSET('Time Dep Phys Params'!$D$26,0,CB$68))=TRUE,OFFSET('Time Dep Phys Params'!$D$26,0,CB$68),"")</f>
        <v/>
      </c>
      <c r="Y85" s="19" t="str">
        <f ca="1">IF(ISNUMBER(OFFSET('Time Dep Phys Params'!$D$26,0,CC$68))=TRUE,OFFSET('Time Dep Phys Params'!$D$26,0,CC$68),"")</f>
        <v/>
      </c>
      <c r="Z85" s="19" t="str">
        <f ca="1">IF(ISNUMBER(OFFSET('Time Dep Phys Params'!$D$26,0,CD$68))=TRUE,OFFSET('Time Dep Phys Params'!$D$26,0,CD$68),"")</f>
        <v/>
      </c>
      <c r="AA85" s="19" t="str">
        <f ca="1">IF(ISNUMBER(OFFSET('Time Dep Phys Params'!$D$26,0,CE$68))=TRUE,OFFSET('Time Dep Phys Params'!$D$26,0,CE$68),"")</f>
        <v/>
      </c>
      <c r="AB85" s="19" t="str">
        <f ca="1">IF(ISNUMBER(OFFSET('Time Dep Phys Params'!$D$26,0,CF$68))=TRUE,OFFSET('Time Dep Phys Params'!$D$26,0,CF$68),"")</f>
        <v/>
      </c>
      <c r="AC85" s="19" t="str">
        <f ca="1">IF(ISNUMBER(OFFSET('Time Dep Phys Params'!$D$26,0,CG$68))=TRUE,OFFSET('Time Dep Phys Params'!$D$26,0,CG$68),"")</f>
        <v/>
      </c>
      <c r="CO85" s="181">
        <v>82</v>
      </c>
      <c r="CP85" s="80">
        <f>IF(ParamSex="Male",'Growth Params'!$F$8+CO85*'Growth Params'!$F$9/('Growth Params'!$F$10+CO85)+'Growth Params'!$F$11/(1+'Growth Params'!$F$12*EXP(-'Growth Params'!$F$13*'Growth Params'!$F$11*CO85)),'Growth Params'!$E$8+CO85*'Growth Params'!$E$9/('Growth Params'!$E$10+CO85)+'Growth Params'!$E$11/(1+'Growth Params'!$E$12*EXP(-'Growth Params'!$E$13*'Growth Params'!$E$11*CO85)))</f>
        <v>58.523529411764706</v>
      </c>
    </row>
    <row r="86" spans="1:94" x14ac:dyDescent="0.25">
      <c r="A86" t="str">
        <f t="shared" ca="1" si="8"/>
        <v>Defalt</v>
      </c>
      <c r="B86" s="19" t="s">
        <v>46</v>
      </c>
      <c r="C86" s="19" t="s">
        <v>115</v>
      </c>
      <c r="D86" s="19">
        <f t="shared" ca="1" si="9"/>
        <v>11</v>
      </c>
      <c r="E86" s="19">
        <f ca="1">IF(ISNUMBER(OFFSET('Time Dep Phys Params'!$D$27,0,BI$68))=TRUE,OFFSET('Time Dep Phys Params'!$D$27,0,BI$68),"")</f>
        <v>0.2</v>
      </c>
      <c r="F86" s="19">
        <f ca="1">IF(ISNUMBER(OFFSET('Time Dep Phys Params'!$D$27,0,BJ$68))=TRUE,OFFSET('Time Dep Phys Params'!$D$27,0,BJ$68),"")</f>
        <v>0.2</v>
      </c>
      <c r="G86" s="19">
        <f ca="1">IF(ISNUMBER(OFFSET('Time Dep Phys Params'!$D$27,0,BK$68))=TRUE,OFFSET('Time Dep Phys Params'!$D$27,0,BK$68),"")</f>
        <v>0.2</v>
      </c>
      <c r="H86" s="19">
        <f ca="1">IF(ISNUMBER(OFFSET('Time Dep Phys Params'!$D$27,0,BL$68))=TRUE,OFFSET('Time Dep Phys Params'!$D$27,0,BL$68),"")</f>
        <v>0.222</v>
      </c>
      <c r="I86" s="19">
        <f ca="1">IF(ISNUMBER(OFFSET('Time Dep Phys Params'!$D$27,0,BM$68))=TRUE,OFFSET('Time Dep Phys Params'!$D$27,0,BM$68),"")</f>
        <v>0.25</v>
      </c>
      <c r="J86" s="19">
        <f ca="1">IF(ISNUMBER(OFFSET('Time Dep Phys Params'!$D$27,0,BN$68))=TRUE,OFFSET('Time Dep Phys Params'!$D$27,0,BN$68),"")</f>
        <v>0.27900000000000003</v>
      </c>
      <c r="K86" s="19">
        <f ca="1">IF(ISNUMBER(OFFSET('Time Dep Phys Params'!$D$27,0,BO$68))=TRUE,OFFSET('Time Dep Phys Params'!$D$27,0,BO$68),"")</f>
        <v>0.55600000000000005</v>
      </c>
      <c r="L86" s="19">
        <f ca="1">IF(ISNUMBER(OFFSET('Time Dep Phys Params'!$D$27,0,BP$68))=TRUE,OFFSET('Time Dep Phys Params'!$D$27,0,BP$68),"")</f>
        <v>0.55600000000000005</v>
      </c>
      <c r="M86" s="19">
        <f ca="1">IF(ISNUMBER(OFFSET('Time Dep Phys Params'!$D$27,0,BQ$68))=TRUE,OFFSET('Time Dep Phys Params'!$D$27,0,BQ$68),"")</f>
        <v>0.55600000000000005</v>
      </c>
      <c r="N86" s="19">
        <f ca="1">IF(ISNUMBER(OFFSET('Time Dep Phys Params'!$D$27,0,BR$68))=TRUE,OFFSET('Time Dep Phys Params'!$D$27,0,BR$68),"")</f>
        <v>0.55600000000000005</v>
      </c>
      <c r="O86" s="19">
        <f ca="1">IF(ISNUMBER(OFFSET('Time Dep Phys Params'!$D$27,0,BS$68))=TRUE,OFFSET('Time Dep Phys Params'!$D$27,0,BS$68),"")</f>
        <v>0.55600000000000005</v>
      </c>
      <c r="P86" s="19" t="str">
        <f ca="1">IF(ISNUMBER(OFFSET('Time Dep Phys Params'!$D$27,0,BT$68))=TRUE,OFFSET('Time Dep Phys Params'!$D$27,0,BT$68),"")</f>
        <v/>
      </c>
      <c r="Q86" s="19" t="str">
        <f ca="1">IF(ISNUMBER(OFFSET('Time Dep Phys Params'!$D$27,0,BU$68))=TRUE,OFFSET('Time Dep Phys Params'!$D$27,0,BU$68),"")</f>
        <v/>
      </c>
      <c r="R86" s="19" t="str">
        <f ca="1">IF(ISNUMBER(OFFSET('Time Dep Phys Params'!$D$27,0,BV$68))=TRUE,OFFSET('Time Dep Phys Params'!$D$27,0,BV$68),"")</f>
        <v/>
      </c>
      <c r="S86" s="19" t="str">
        <f ca="1">IF(ISNUMBER(OFFSET('Time Dep Phys Params'!$D$27,0,BW$68))=TRUE,OFFSET('Time Dep Phys Params'!$D$27,0,BW$68),"")</f>
        <v/>
      </c>
      <c r="T86" s="19" t="str">
        <f ca="1">IF(ISNUMBER(OFFSET('Time Dep Phys Params'!$D$27,0,BX$68))=TRUE,OFFSET('Time Dep Phys Params'!$D$27,0,BX$68),"")</f>
        <v/>
      </c>
      <c r="U86" s="19" t="str">
        <f ca="1">IF(ISNUMBER(OFFSET('Time Dep Phys Params'!$D$27,0,BY$68))=TRUE,OFFSET('Time Dep Phys Params'!$D$27,0,BY$68),"")</f>
        <v/>
      </c>
      <c r="V86" s="19" t="str">
        <f ca="1">IF(ISNUMBER(OFFSET('Time Dep Phys Params'!$D$27,0,BZ$68))=TRUE,OFFSET('Time Dep Phys Params'!$D$27,0,BZ$68),"")</f>
        <v/>
      </c>
      <c r="W86" s="19" t="str">
        <f ca="1">IF(ISNUMBER(OFFSET('Time Dep Phys Params'!$D$27,0,CA$68))=TRUE,OFFSET('Time Dep Phys Params'!$D$27,0,CA$68),"")</f>
        <v/>
      </c>
      <c r="X86" s="19" t="str">
        <f ca="1">IF(ISNUMBER(OFFSET('Time Dep Phys Params'!$D$27,0,CB$68))=TRUE,OFFSET('Time Dep Phys Params'!$D$27,0,CB$68),"")</f>
        <v/>
      </c>
      <c r="Y86" s="19" t="str">
        <f ca="1">IF(ISNUMBER(OFFSET('Time Dep Phys Params'!$D$27,0,CC$68))=TRUE,OFFSET('Time Dep Phys Params'!$D$27,0,CC$68),"")</f>
        <v/>
      </c>
      <c r="Z86" s="19" t="str">
        <f ca="1">IF(ISNUMBER(OFFSET('Time Dep Phys Params'!$D$27,0,CD$68))=TRUE,OFFSET('Time Dep Phys Params'!$D$27,0,CD$68),"")</f>
        <v/>
      </c>
      <c r="AA86" s="19" t="str">
        <f ca="1">IF(ISNUMBER(OFFSET('Time Dep Phys Params'!$D$27,0,CE$68))=TRUE,OFFSET('Time Dep Phys Params'!$D$27,0,CE$68),"")</f>
        <v/>
      </c>
      <c r="AB86" s="19" t="str">
        <f ca="1">IF(ISNUMBER(OFFSET('Time Dep Phys Params'!$D$27,0,CF$68))=TRUE,OFFSET('Time Dep Phys Params'!$D$27,0,CF$68),"")</f>
        <v/>
      </c>
      <c r="AC86" s="19" t="str">
        <f ca="1">IF(ISNUMBER(OFFSET('Time Dep Phys Params'!$D$27,0,CG$68))=TRUE,OFFSET('Time Dep Phys Params'!$D$27,0,CG$68),"")</f>
        <v/>
      </c>
      <c r="CO86" s="181">
        <v>83</v>
      </c>
      <c r="CP86" s="80">
        <f>IF(ParamSex="Male",'Growth Params'!$F$8+CO86*'Growth Params'!$F$9/('Growth Params'!$F$10+CO86)+'Growth Params'!$F$11/(1+'Growth Params'!$F$12*EXP(-'Growth Params'!$F$13*'Growth Params'!$F$11*CO86)),'Growth Params'!$E$8+CO86*'Growth Params'!$E$9/('Growth Params'!$E$10+CO86)+'Growth Params'!$E$11/(1+'Growth Params'!$E$12*EXP(-'Growth Params'!$E$13*'Growth Params'!$E$11*CO86)))</f>
        <v>58.532558139534885</v>
      </c>
    </row>
    <row r="87" spans="1:94" x14ac:dyDescent="0.25">
      <c r="A87" t="str">
        <f t="shared" ca="1" si="8"/>
        <v>Defalt</v>
      </c>
      <c r="B87" s="19" t="s">
        <v>46</v>
      </c>
      <c r="C87" s="19" t="s">
        <v>116</v>
      </c>
      <c r="D87" s="19">
        <f t="shared" ca="1" si="9"/>
        <v>11</v>
      </c>
      <c r="E87" s="19">
        <f ca="1">IF(ISNUMBER(OFFSET('Time Dep Phys Params'!$D$28,0,BI$68))=TRUE,OFFSET('Time Dep Phys Params'!$D$28,0,BI$68),"")</f>
        <v>4.4999999999999999E-4</v>
      </c>
      <c r="F87" s="19">
        <f ca="1">IF(ISNUMBER(OFFSET('Time Dep Phys Params'!$D$28,0,BJ$68))=TRUE,OFFSET('Time Dep Phys Params'!$D$28,0,BJ$68),"")</f>
        <v>4.4999999999999999E-4</v>
      </c>
      <c r="G87" s="19">
        <f ca="1">IF(ISNUMBER(OFFSET('Time Dep Phys Params'!$D$28,0,BK$68))=TRUE,OFFSET('Time Dep Phys Params'!$D$28,0,BK$68),"")</f>
        <v>4.4999999999999999E-4</v>
      </c>
      <c r="H87" s="19">
        <f ca="1">IF(ISNUMBER(OFFSET('Time Dep Phys Params'!$D$28,0,BL$68))=TRUE,OFFSET('Time Dep Phys Params'!$D$28,0,BL$68),"")</f>
        <v>1.4999999999999999E-4</v>
      </c>
      <c r="I87" s="19">
        <f ca="1">IF(ISNUMBER(OFFSET('Time Dep Phys Params'!$D$28,0,BM$68))=TRUE,OFFSET('Time Dep Phys Params'!$D$28,0,BM$68),"")</f>
        <v>1.4999999999999999E-4</v>
      </c>
      <c r="J87" s="19">
        <f ca="1">IF(ISNUMBER(OFFSET('Time Dep Phys Params'!$D$28,0,BN$68))=TRUE,OFFSET('Time Dep Phys Params'!$D$28,0,BN$68),"")</f>
        <v>1.4999999999999999E-4</v>
      </c>
      <c r="K87" s="19">
        <f ca="1">IF(ISNUMBER(OFFSET('Time Dep Phys Params'!$D$28,0,BO$68))=TRUE,OFFSET('Time Dep Phys Params'!$D$28,0,BO$68),"")</f>
        <v>1.4999999999999999E-4</v>
      </c>
      <c r="L87" s="19">
        <f ca="1">IF(ISNUMBER(OFFSET('Time Dep Phys Params'!$D$28,0,BP$68))=TRUE,OFFSET('Time Dep Phys Params'!$D$28,0,BP$68),"")</f>
        <v>1.4999999999999999E-4</v>
      </c>
      <c r="M87" s="19">
        <f ca="1">IF(ISNUMBER(OFFSET('Time Dep Phys Params'!$D$28,0,BQ$68))=TRUE,OFFSET('Time Dep Phys Params'!$D$28,0,BQ$68),"")</f>
        <v>1.4999999999999999E-4</v>
      </c>
      <c r="N87" s="19">
        <f ca="1">IF(ISNUMBER(OFFSET('Time Dep Phys Params'!$D$28,0,BR$68))=TRUE,OFFSET('Time Dep Phys Params'!$D$28,0,BR$68),"")</f>
        <v>1.4999999999999999E-4</v>
      </c>
      <c r="O87" s="19">
        <f ca="1">IF(ISNUMBER(OFFSET('Time Dep Phys Params'!$D$28,0,BS$68))=TRUE,OFFSET('Time Dep Phys Params'!$D$28,0,BS$68),"")</f>
        <v>1.4999999999999999E-4</v>
      </c>
      <c r="P87" s="19" t="str">
        <f ca="1">IF(ISNUMBER(OFFSET('Time Dep Phys Params'!$D$28,0,BT$68))=TRUE,OFFSET('Time Dep Phys Params'!$D$28,0,BT$68),"")</f>
        <v/>
      </c>
      <c r="Q87" s="19" t="str">
        <f ca="1">IF(ISNUMBER(OFFSET('Time Dep Phys Params'!$D$28,0,BU$68))=TRUE,OFFSET('Time Dep Phys Params'!$D$28,0,BU$68),"")</f>
        <v/>
      </c>
      <c r="R87" s="19" t="str">
        <f ca="1">IF(ISNUMBER(OFFSET('Time Dep Phys Params'!$D$28,0,BV$68))=TRUE,OFFSET('Time Dep Phys Params'!$D$28,0,BV$68),"")</f>
        <v/>
      </c>
      <c r="S87" s="19" t="str">
        <f ca="1">IF(ISNUMBER(OFFSET('Time Dep Phys Params'!$D$28,0,BW$68))=TRUE,OFFSET('Time Dep Phys Params'!$D$28,0,BW$68),"")</f>
        <v/>
      </c>
      <c r="T87" s="19" t="str">
        <f ca="1">IF(ISNUMBER(OFFSET('Time Dep Phys Params'!$D$28,0,BX$68))=TRUE,OFFSET('Time Dep Phys Params'!$D$28,0,BX$68),"")</f>
        <v/>
      </c>
      <c r="U87" s="19" t="str">
        <f ca="1">IF(ISNUMBER(OFFSET('Time Dep Phys Params'!$D$28,0,BY$68))=TRUE,OFFSET('Time Dep Phys Params'!$D$28,0,BY$68),"")</f>
        <v/>
      </c>
      <c r="V87" s="19" t="str">
        <f ca="1">IF(ISNUMBER(OFFSET('Time Dep Phys Params'!$D$28,0,BZ$68))=TRUE,OFFSET('Time Dep Phys Params'!$D$28,0,BZ$68),"")</f>
        <v/>
      </c>
      <c r="W87" s="19" t="str">
        <f ca="1">IF(ISNUMBER(OFFSET('Time Dep Phys Params'!$D$28,0,CA$68))=TRUE,OFFSET('Time Dep Phys Params'!$D$28,0,CA$68),"")</f>
        <v/>
      </c>
      <c r="X87" s="19" t="str">
        <f ca="1">IF(ISNUMBER(OFFSET('Time Dep Phys Params'!$D$28,0,CB$68))=TRUE,OFFSET('Time Dep Phys Params'!$D$28,0,CB$68),"")</f>
        <v/>
      </c>
      <c r="Y87" s="19" t="str">
        <f ca="1">IF(ISNUMBER(OFFSET('Time Dep Phys Params'!$D$28,0,CC$68))=TRUE,OFFSET('Time Dep Phys Params'!$D$28,0,CC$68),"")</f>
        <v/>
      </c>
      <c r="Z87" s="19" t="str">
        <f ca="1">IF(ISNUMBER(OFFSET('Time Dep Phys Params'!$D$28,0,CD$68))=TRUE,OFFSET('Time Dep Phys Params'!$D$28,0,CD$68),"")</f>
        <v/>
      </c>
      <c r="AA87" s="19" t="str">
        <f ca="1">IF(ISNUMBER(OFFSET('Time Dep Phys Params'!$D$28,0,CE$68))=TRUE,OFFSET('Time Dep Phys Params'!$D$28,0,CE$68),"")</f>
        <v/>
      </c>
      <c r="AB87" s="19" t="str">
        <f ca="1">IF(ISNUMBER(OFFSET('Time Dep Phys Params'!$D$28,0,CF$68))=TRUE,OFFSET('Time Dep Phys Params'!$D$28,0,CF$68),"")</f>
        <v/>
      </c>
      <c r="AC87" s="19" t="str">
        <f ca="1">IF(ISNUMBER(OFFSET('Time Dep Phys Params'!$D$28,0,CG$68))=TRUE,OFFSET('Time Dep Phys Params'!$D$28,0,CG$68),"")</f>
        <v/>
      </c>
      <c r="CO87" s="181">
        <v>84</v>
      </c>
      <c r="CP87" s="80">
        <f>IF(ParamSex="Male",'Growth Params'!$F$8+CO87*'Growth Params'!$F$9/('Growth Params'!$F$10+CO87)+'Growth Params'!$F$11/(1+'Growth Params'!$F$12*EXP(-'Growth Params'!$F$13*'Growth Params'!$F$11*CO87)),'Growth Params'!$E$8+CO87*'Growth Params'!$E$9/('Growth Params'!$E$10+CO87)+'Growth Params'!$E$11/(1+'Growth Params'!$E$12*EXP(-'Growth Params'!$E$13*'Growth Params'!$E$11*CO87)))</f>
        <v>58.54137931034483</v>
      </c>
    </row>
    <row r="88" spans="1:94" x14ac:dyDescent="0.25">
      <c r="A88" t="str">
        <f t="shared" ca="1" si="8"/>
        <v>Defalt</v>
      </c>
      <c r="B88" s="19" t="s">
        <v>46</v>
      </c>
      <c r="C88" s="19" t="s">
        <v>117</v>
      </c>
      <c r="D88" s="19">
        <f t="shared" ca="1" si="9"/>
        <v>11</v>
      </c>
      <c r="E88" s="19">
        <f ca="1">IF(ISNUMBER(OFFSET('Time Dep Phys Params'!$D$29,0,BI$68))=TRUE,OFFSET('Time Dep Phys Params'!$D$29,0,BI$68),"")</f>
        <v>8.3449999999999996E-2</v>
      </c>
      <c r="F88" s="19">
        <f ca="1">IF(ISNUMBER(OFFSET('Time Dep Phys Params'!$D$29,0,BJ$68))=TRUE,OFFSET('Time Dep Phys Params'!$D$29,0,BJ$68),"")</f>
        <v>8.3449999999999996E-2</v>
      </c>
      <c r="G88" s="19">
        <f ca="1">IF(ISNUMBER(OFFSET('Time Dep Phys Params'!$D$29,0,BK$68))=TRUE,OFFSET('Time Dep Phys Params'!$D$29,0,BK$68),"")</f>
        <v>8.3449999999999996E-2</v>
      </c>
      <c r="H88" s="19">
        <f ca="1">IF(ISNUMBER(OFFSET('Time Dep Phys Params'!$D$29,0,BL$68))=TRUE,OFFSET('Time Dep Phys Params'!$D$29,0,BL$68),"")</f>
        <v>8.3750000000000005E-2</v>
      </c>
      <c r="I88" s="19">
        <f ca="1">IF(ISNUMBER(OFFSET('Time Dep Phys Params'!$D$29,0,BM$68))=TRUE,OFFSET('Time Dep Phys Params'!$D$29,0,BM$68),"")</f>
        <v>8.3750000000000005E-2</v>
      </c>
      <c r="J88" s="19">
        <f ca="1">IF(ISNUMBER(OFFSET('Time Dep Phys Params'!$D$29,0,BN$68))=TRUE,OFFSET('Time Dep Phys Params'!$D$29,0,BN$68),"")</f>
        <v>8.3750000000000005E-2</v>
      </c>
      <c r="K88" s="19">
        <f ca="1">IF(ISNUMBER(OFFSET('Time Dep Phys Params'!$D$29,0,BO$68))=TRUE,OFFSET('Time Dep Phys Params'!$D$29,0,BO$68),"")</f>
        <v>8.8749999999999996E-2</v>
      </c>
      <c r="L88" s="19">
        <f ca="1">IF(ISNUMBER(OFFSET('Time Dep Phys Params'!$D$29,0,BP$68))=TRUE,OFFSET('Time Dep Phys Params'!$D$29,0,BP$68),"")</f>
        <v>8.8749999999999996E-2</v>
      </c>
      <c r="M88" s="19">
        <f ca="1">IF(ISNUMBER(OFFSET('Time Dep Phys Params'!$D$29,0,BQ$68))=TRUE,OFFSET('Time Dep Phys Params'!$D$29,0,BQ$68),"")</f>
        <v>8.8749999999999996E-2</v>
      </c>
      <c r="N88" s="19">
        <f ca="1">IF(ISNUMBER(OFFSET('Time Dep Phys Params'!$D$29,0,BR$68))=TRUE,OFFSET('Time Dep Phys Params'!$D$29,0,BR$68),"")</f>
        <v>8.8749999999999996E-2</v>
      </c>
      <c r="O88" s="19">
        <f ca="1">IF(ISNUMBER(OFFSET('Time Dep Phys Params'!$D$29,0,BS$68))=TRUE,OFFSET('Time Dep Phys Params'!$D$29,0,BS$68),"")</f>
        <v>8.8749999999999996E-2</v>
      </c>
      <c r="P88" s="19" t="str">
        <f ca="1">IF(ISNUMBER(OFFSET('Time Dep Phys Params'!$D$29,0,BT$68))=TRUE,OFFSET('Time Dep Phys Params'!$D$29,0,BT$68),"")</f>
        <v/>
      </c>
      <c r="Q88" s="19" t="str">
        <f ca="1">IF(ISNUMBER(OFFSET('Time Dep Phys Params'!$D$29,0,BU$68))=TRUE,OFFSET('Time Dep Phys Params'!$D$29,0,BU$68),"")</f>
        <v/>
      </c>
      <c r="R88" s="19" t="str">
        <f ca="1">IF(ISNUMBER(OFFSET('Time Dep Phys Params'!$D$29,0,BV$68))=TRUE,OFFSET('Time Dep Phys Params'!$D$29,0,BV$68),"")</f>
        <v/>
      </c>
      <c r="S88" s="19" t="str">
        <f ca="1">IF(ISNUMBER(OFFSET('Time Dep Phys Params'!$D$29,0,BW$68))=TRUE,OFFSET('Time Dep Phys Params'!$D$29,0,BW$68),"")</f>
        <v/>
      </c>
      <c r="T88" s="19" t="str">
        <f ca="1">IF(ISNUMBER(OFFSET('Time Dep Phys Params'!$D$29,0,BX$68))=TRUE,OFFSET('Time Dep Phys Params'!$D$29,0,BX$68),"")</f>
        <v/>
      </c>
      <c r="U88" s="19" t="str">
        <f ca="1">IF(ISNUMBER(OFFSET('Time Dep Phys Params'!$D$29,0,BY$68))=TRUE,OFFSET('Time Dep Phys Params'!$D$29,0,BY$68),"")</f>
        <v/>
      </c>
      <c r="V88" s="19" t="str">
        <f ca="1">IF(ISNUMBER(OFFSET('Time Dep Phys Params'!$D$29,0,BZ$68))=TRUE,OFFSET('Time Dep Phys Params'!$D$29,0,BZ$68),"")</f>
        <v/>
      </c>
      <c r="W88" s="19" t="str">
        <f ca="1">IF(ISNUMBER(OFFSET('Time Dep Phys Params'!$D$29,0,CA$68))=TRUE,OFFSET('Time Dep Phys Params'!$D$29,0,CA$68),"")</f>
        <v/>
      </c>
      <c r="X88" s="19" t="str">
        <f ca="1">IF(ISNUMBER(OFFSET('Time Dep Phys Params'!$D$29,0,CB$68))=TRUE,OFFSET('Time Dep Phys Params'!$D$29,0,CB$68),"")</f>
        <v/>
      </c>
      <c r="Y88" s="19" t="str">
        <f ca="1">IF(ISNUMBER(OFFSET('Time Dep Phys Params'!$D$29,0,CC$68))=TRUE,OFFSET('Time Dep Phys Params'!$D$29,0,CC$68),"")</f>
        <v/>
      </c>
      <c r="Z88" s="19" t="str">
        <f ca="1">IF(ISNUMBER(OFFSET('Time Dep Phys Params'!$D$29,0,CD$68))=TRUE,OFFSET('Time Dep Phys Params'!$D$29,0,CD$68),"")</f>
        <v/>
      </c>
      <c r="AA88" s="19" t="str">
        <f ca="1">IF(ISNUMBER(OFFSET('Time Dep Phys Params'!$D$29,0,CE$68))=TRUE,OFFSET('Time Dep Phys Params'!$D$29,0,CE$68),"")</f>
        <v/>
      </c>
      <c r="AB88" s="19" t="str">
        <f ca="1">IF(ISNUMBER(OFFSET('Time Dep Phys Params'!$D$29,0,CF$68))=TRUE,OFFSET('Time Dep Phys Params'!$D$29,0,CF$68),"")</f>
        <v/>
      </c>
      <c r="AC88" s="19" t="str">
        <f ca="1">IF(ISNUMBER(OFFSET('Time Dep Phys Params'!$D$29,0,CG$68))=TRUE,OFFSET('Time Dep Phys Params'!$D$29,0,CG$68),"")</f>
        <v/>
      </c>
      <c r="CO88" s="181">
        <v>85</v>
      </c>
      <c r="CP88" s="80">
        <f>IF(ParamSex="Male",'Growth Params'!$F$8+CO88*'Growth Params'!$F$9/('Growth Params'!$F$10+CO88)+'Growth Params'!$F$11/(1+'Growth Params'!$F$12*EXP(-'Growth Params'!$F$13*'Growth Params'!$F$11*CO88)),'Growth Params'!$E$8+CO88*'Growth Params'!$E$9/('Growth Params'!$E$10+CO88)+'Growth Params'!$E$11/(1+'Growth Params'!$E$12*EXP(-'Growth Params'!$E$13*'Growth Params'!$E$11*CO88)))</f>
        <v>58.55</v>
      </c>
    </row>
    <row r="89" spans="1:94" x14ac:dyDescent="0.25">
      <c r="A89" t="str">
        <f t="shared" ca="1" si="8"/>
        <v>Defalt</v>
      </c>
      <c r="B89" s="19" t="s">
        <v>46</v>
      </c>
      <c r="C89" s="19" t="s">
        <v>118</v>
      </c>
      <c r="D89" s="19">
        <f t="shared" ca="1" si="9"/>
        <v>11</v>
      </c>
      <c r="E89" s="19">
        <f ca="1">IF(ISNUMBER(OFFSET('Time Dep Phys Params'!$D$30,0,BI$68))=TRUE,OFFSET('Time Dep Phys Params'!$D$30,0,BI$68),"")</f>
        <v>0.01</v>
      </c>
      <c r="F89" s="19">
        <f ca="1">IF(ISNUMBER(OFFSET('Time Dep Phys Params'!$D$30,0,BJ$68))=TRUE,OFFSET('Time Dep Phys Params'!$D$30,0,BJ$68),"")</f>
        <v>0.01</v>
      </c>
      <c r="G89" s="19">
        <f ca="1">IF(ISNUMBER(OFFSET('Time Dep Phys Params'!$D$30,0,BK$68))=TRUE,OFFSET('Time Dep Phys Params'!$D$30,0,BK$68),"")</f>
        <v>0.01</v>
      </c>
      <c r="H89" s="19">
        <f ca="1">IF(ISNUMBER(OFFSET('Time Dep Phys Params'!$D$30,0,BL$68))=TRUE,OFFSET('Time Dep Phys Params'!$D$30,0,BL$68),"")</f>
        <v>0.01</v>
      </c>
      <c r="I89" s="19">
        <f ca="1">IF(ISNUMBER(OFFSET('Time Dep Phys Params'!$D$30,0,BM$68))=TRUE,OFFSET('Time Dep Phys Params'!$D$30,0,BM$68),"")</f>
        <v>0.01</v>
      </c>
      <c r="J89" s="19">
        <f ca="1">IF(ISNUMBER(OFFSET('Time Dep Phys Params'!$D$30,0,BN$68))=TRUE,OFFSET('Time Dep Phys Params'!$D$30,0,BN$68),"")</f>
        <v>0.01</v>
      </c>
      <c r="K89" s="19">
        <f ca="1">IF(ISNUMBER(OFFSET('Time Dep Phys Params'!$D$30,0,BO$68))=TRUE,OFFSET('Time Dep Phys Params'!$D$30,0,BO$68),"")</f>
        <v>5.0000000000000001E-3</v>
      </c>
      <c r="L89" s="19">
        <f ca="1">IF(ISNUMBER(OFFSET('Time Dep Phys Params'!$D$30,0,BP$68))=TRUE,OFFSET('Time Dep Phys Params'!$D$30,0,BP$68),"")</f>
        <v>5.0000000000000001E-3</v>
      </c>
      <c r="M89" s="19">
        <f ca="1">IF(ISNUMBER(OFFSET('Time Dep Phys Params'!$D$30,0,BQ$68))=TRUE,OFFSET('Time Dep Phys Params'!$D$30,0,BQ$68),"")</f>
        <v>5.0000000000000001E-3</v>
      </c>
      <c r="N89" s="19">
        <f ca="1">IF(ISNUMBER(OFFSET('Time Dep Phys Params'!$D$30,0,BR$68))=TRUE,OFFSET('Time Dep Phys Params'!$D$30,0,BR$68),"")</f>
        <v>5.0000000000000001E-3</v>
      </c>
      <c r="O89" s="19">
        <f ca="1">IF(ISNUMBER(OFFSET('Time Dep Phys Params'!$D$30,0,BS$68))=TRUE,OFFSET('Time Dep Phys Params'!$D$30,0,BS$68),"")</f>
        <v>5.0000000000000001E-3</v>
      </c>
      <c r="P89" s="19" t="str">
        <f ca="1">IF(ISNUMBER(OFFSET('Time Dep Phys Params'!$D$30,0,BT$68))=TRUE,OFFSET('Time Dep Phys Params'!$D$30,0,BT$68),"")</f>
        <v/>
      </c>
      <c r="Q89" s="19" t="str">
        <f ca="1">IF(ISNUMBER(OFFSET('Time Dep Phys Params'!$D$30,0,BU$68))=TRUE,OFFSET('Time Dep Phys Params'!$D$30,0,BU$68),"")</f>
        <v/>
      </c>
      <c r="R89" s="19" t="str">
        <f ca="1">IF(ISNUMBER(OFFSET('Time Dep Phys Params'!$D$30,0,BV$68))=TRUE,OFFSET('Time Dep Phys Params'!$D$30,0,BV$68),"")</f>
        <v/>
      </c>
      <c r="S89" s="19" t="str">
        <f ca="1">IF(ISNUMBER(OFFSET('Time Dep Phys Params'!$D$30,0,BW$68))=TRUE,OFFSET('Time Dep Phys Params'!$D$30,0,BW$68),"")</f>
        <v/>
      </c>
      <c r="T89" s="19" t="str">
        <f ca="1">IF(ISNUMBER(OFFSET('Time Dep Phys Params'!$D$30,0,BX$68))=TRUE,OFFSET('Time Dep Phys Params'!$D$30,0,BX$68),"")</f>
        <v/>
      </c>
      <c r="U89" s="19" t="str">
        <f ca="1">IF(ISNUMBER(OFFSET('Time Dep Phys Params'!$D$30,0,BY$68))=TRUE,OFFSET('Time Dep Phys Params'!$D$30,0,BY$68),"")</f>
        <v/>
      </c>
      <c r="V89" s="19" t="str">
        <f ca="1">IF(ISNUMBER(OFFSET('Time Dep Phys Params'!$D$30,0,BZ$68))=TRUE,OFFSET('Time Dep Phys Params'!$D$30,0,BZ$68),"")</f>
        <v/>
      </c>
      <c r="W89" s="19" t="str">
        <f ca="1">IF(ISNUMBER(OFFSET('Time Dep Phys Params'!$D$30,0,CA$68))=TRUE,OFFSET('Time Dep Phys Params'!$D$30,0,CA$68),"")</f>
        <v/>
      </c>
      <c r="X89" s="19" t="str">
        <f ca="1">IF(ISNUMBER(OFFSET('Time Dep Phys Params'!$D$30,0,CB$68))=TRUE,OFFSET('Time Dep Phys Params'!$D$30,0,CB$68),"")</f>
        <v/>
      </c>
      <c r="Y89" s="19" t="str">
        <f ca="1">IF(ISNUMBER(OFFSET('Time Dep Phys Params'!$D$30,0,CC$68))=TRUE,OFFSET('Time Dep Phys Params'!$D$30,0,CC$68),"")</f>
        <v/>
      </c>
      <c r="Z89" s="19" t="str">
        <f ca="1">IF(ISNUMBER(OFFSET('Time Dep Phys Params'!$D$30,0,CD$68))=TRUE,OFFSET('Time Dep Phys Params'!$D$30,0,CD$68),"")</f>
        <v/>
      </c>
      <c r="AA89" s="19" t="str">
        <f ca="1">IF(ISNUMBER(OFFSET('Time Dep Phys Params'!$D$30,0,CE$68))=TRUE,OFFSET('Time Dep Phys Params'!$D$30,0,CE$68),"")</f>
        <v/>
      </c>
      <c r="AB89" s="19" t="str">
        <f ca="1">IF(ISNUMBER(OFFSET('Time Dep Phys Params'!$D$30,0,CF$68))=TRUE,OFFSET('Time Dep Phys Params'!$D$30,0,CF$68),"")</f>
        <v/>
      </c>
      <c r="AC89" s="19" t="str">
        <f ca="1">IF(ISNUMBER(OFFSET('Time Dep Phys Params'!$D$30,0,CG$68))=TRUE,OFFSET('Time Dep Phys Params'!$D$30,0,CG$68),"")</f>
        <v/>
      </c>
      <c r="CO89" s="181">
        <v>86</v>
      </c>
      <c r="CP89" s="80">
        <f>IF(ParamSex="Male",'Growth Params'!$F$8+CO89*'Growth Params'!$F$9/('Growth Params'!$F$10+CO89)+'Growth Params'!$F$11/(1+'Growth Params'!$F$12*EXP(-'Growth Params'!$F$13*'Growth Params'!$F$11*CO89)),'Growth Params'!$E$8+CO89*'Growth Params'!$E$9/('Growth Params'!$E$10+CO89)+'Growth Params'!$E$11/(1+'Growth Params'!$E$12*EXP(-'Growth Params'!$E$13*'Growth Params'!$E$11*CO89)))</f>
        <v>58.558426966292132</v>
      </c>
    </row>
    <row r="90" spans="1:94" x14ac:dyDescent="0.25">
      <c r="A90" t="str">
        <f t="shared" ca="1" si="8"/>
        <v>Defalt</v>
      </c>
      <c r="B90" s="19" t="s">
        <v>46</v>
      </c>
      <c r="C90" s="19" t="s">
        <v>119</v>
      </c>
      <c r="D90" s="19">
        <f t="shared" ca="1" si="9"/>
        <v>11</v>
      </c>
      <c r="E90" s="19">
        <f ca="1">IF(ISNUMBER(OFFSET('Time Dep Phys Params'!$D$31,0,BI$68))=TRUE,OFFSET('Time Dep Phys Params'!$D$31,0,BI$68),"")</f>
        <v>1E-3</v>
      </c>
      <c r="F90" s="19">
        <f ca="1">IF(ISNUMBER(OFFSET('Time Dep Phys Params'!$D$31,0,BJ$68))=TRUE,OFFSET('Time Dep Phys Params'!$D$31,0,BJ$68),"")</f>
        <v>1E-3</v>
      </c>
      <c r="G90" s="19">
        <f ca="1">IF(ISNUMBER(OFFSET('Time Dep Phys Params'!$D$31,0,BK$68))=TRUE,OFFSET('Time Dep Phys Params'!$D$31,0,BK$68),"")</f>
        <v>1E-3</v>
      </c>
      <c r="H90" s="19">
        <f ca="1">IF(ISNUMBER(OFFSET('Time Dep Phys Params'!$D$31,0,BL$68))=TRUE,OFFSET('Time Dep Phys Params'!$D$31,0,BL$68),"")</f>
        <v>1E-3</v>
      </c>
      <c r="I90" s="19">
        <f ca="1">IF(ISNUMBER(OFFSET('Time Dep Phys Params'!$D$31,0,BM$68))=TRUE,OFFSET('Time Dep Phys Params'!$D$31,0,BM$68),"")</f>
        <v>1E-3</v>
      </c>
      <c r="J90" s="19">
        <f ca="1">IF(ISNUMBER(OFFSET('Time Dep Phys Params'!$D$31,0,BN$68))=TRUE,OFFSET('Time Dep Phys Params'!$D$31,0,BN$68),"")</f>
        <v>1E-3</v>
      </c>
      <c r="K90" s="19">
        <f ca="1">IF(ISNUMBER(OFFSET('Time Dep Phys Params'!$D$31,0,BO$68))=TRUE,OFFSET('Time Dep Phys Params'!$D$31,0,BO$68),"")</f>
        <v>1E-3</v>
      </c>
      <c r="L90" s="19">
        <f ca="1">IF(ISNUMBER(OFFSET('Time Dep Phys Params'!$D$31,0,BP$68))=TRUE,OFFSET('Time Dep Phys Params'!$D$31,0,BP$68),"")</f>
        <v>1E-3</v>
      </c>
      <c r="M90" s="19">
        <f ca="1">IF(ISNUMBER(OFFSET('Time Dep Phys Params'!$D$31,0,BQ$68))=TRUE,OFFSET('Time Dep Phys Params'!$D$31,0,BQ$68),"")</f>
        <v>1E-3</v>
      </c>
      <c r="N90" s="19">
        <f ca="1">IF(ISNUMBER(OFFSET('Time Dep Phys Params'!$D$31,0,BR$68))=TRUE,OFFSET('Time Dep Phys Params'!$D$31,0,BR$68),"")</f>
        <v>1E-3</v>
      </c>
      <c r="O90" s="19">
        <f ca="1">IF(ISNUMBER(OFFSET('Time Dep Phys Params'!$D$31,0,BS$68))=TRUE,OFFSET('Time Dep Phys Params'!$D$31,0,BS$68),"")</f>
        <v>1E-3</v>
      </c>
      <c r="P90" s="19" t="str">
        <f ca="1">IF(ISNUMBER(OFFSET('Time Dep Phys Params'!$D$31,0,BT$68))=TRUE,OFFSET('Time Dep Phys Params'!$D$31,0,BT$68),"")</f>
        <v/>
      </c>
      <c r="Q90" s="19" t="str">
        <f ca="1">IF(ISNUMBER(OFFSET('Time Dep Phys Params'!$D$31,0,BU$68))=TRUE,OFFSET('Time Dep Phys Params'!$D$31,0,BU$68),"")</f>
        <v/>
      </c>
      <c r="R90" s="19" t="str">
        <f ca="1">IF(ISNUMBER(OFFSET('Time Dep Phys Params'!$D$31,0,BV$68))=TRUE,OFFSET('Time Dep Phys Params'!$D$31,0,BV$68),"")</f>
        <v/>
      </c>
      <c r="S90" s="19" t="str">
        <f ca="1">IF(ISNUMBER(OFFSET('Time Dep Phys Params'!$D$31,0,BW$68))=TRUE,OFFSET('Time Dep Phys Params'!$D$31,0,BW$68),"")</f>
        <v/>
      </c>
      <c r="T90" s="19" t="str">
        <f ca="1">IF(ISNUMBER(OFFSET('Time Dep Phys Params'!$D$31,0,BX$68))=TRUE,OFFSET('Time Dep Phys Params'!$D$31,0,BX$68),"")</f>
        <v/>
      </c>
      <c r="U90" s="19" t="str">
        <f ca="1">IF(ISNUMBER(OFFSET('Time Dep Phys Params'!$D$31,0,BY$68))=TRUE,OFFSET('Time Dep Phys Params'!$D$31,0,BY$68),"")</f>
        <v/>
      </c>
      <c r="V90" s="19" t="str">
        <f ca="1">IF(ISNUMBER(OFFSET('Time Dep Phys Params'!$D$31,0,BZ$68))=TRUE,OFFSET('Time Dep Phys Params'!$D$31,0,BZ$68),"")</f>
        <v/>
      </c>
      <c r="W90" s="19" t="str">
        <f ca="1">IF(ISNUMBER(OFFSET('Time Dep Phys Params'!$D$31,0,CA$68))=TRUE,OFFSET('Time Dep Phys Params'!$D$31,0,CA$68),"")</f>
        <v/>
      </c>
      <c r="X90" s="19" t="str">
        <f ca="1">IF(ISNUMBER(OFFSET('Time Dep Phys Params'!$D$31,0,CB$68))=TRUE,OFFSET('Time Dep Phys Params'!$D$31,0,CB$68),"")</f>
        <v/>
      </c>
      <c r="Y90" s="19" t="str">
        <f ca="1">IF(ISNUMBER(OFFSET('Time Dep Phys Params'!$D$31,0,CC$68))=TRUE,OFFSET('Time Dep Phys Params'!$D$31,0,CC$68),"")</f>
        <v/>
      </c>
      <c r="Z90" s="19" t="str">
        <f ca="1">IF(ISNUMBER(OFFSET('Time Dep Phys Params'!$D$31,0,CD$68))=TRUE,OFFSET('Time Dep Phys Params'!$D$31,0,CD$68),"")</f>
        <v/>
      </c>
      <c r="AA90" s="19" t="str">
        <f ca="1">IF(ISNUMBER(OFFSET('Time Dep Phys Params'!$D$31,0,CE$68))=TRUE,OFFSET('Time Dep Phys Params'!$D$31,0,CE$68),"")</f>
        <v/>
      </c>
      <c r="AB90" s="19" t="str">
        <f ca="1">IF(ISNUMBER(OFFSET('Time Dep Phys Params'!$D$31,0,CF$68))=TRUE,OFFSET('Time Dep Phys Params'!$D$31,0,CF$68),"")</f>
        <v/>
      </c>
      <c r="AC90" s="19" t="str">
        <f ca="1">IF(ISNUMBER(OFFSET('Time Dep Phys Params'!$D$31,0,CG$68))=TRUE,OFFSET('Time Dep Phys Params'!$D$31,0,CG$68),"")</f>
        <v/>
      </c>
      <c r="CO90" s="181">
        <v>87</v>
      </c>
      <c r="CP90" s="80">
        <f>IF(ParamSex="Male",'Growth Params'!$F$8+CO90*'Growth Params'!$F$9/('Growth Params'!$F$10+CO90)+'Growth Params'!$F$11/(1+'Growth Params'!$F$12*EXP(-'Growth Params'!$F$13*'Growth Params'!$F$11*CO90)),'Growth Params'!$E$8+CO90*'Growth Params'!$E$9/('Growth Params'!$E$10+CO90)+'Growth Params'!$E$11/(1+'Growth Params'!$E$12*EXP(-'Growth Params'!$E$13*'Growth Params'!$E$11*CO90)))</f>
        <v>58.566666666666663</v>
      </c>
    </row>
    <row r="91" spans="1:94" x14ac:dyDescent="0.25">
      <c r="B91" s="80" t="s">
        <v>120</v>
      </c>
      <c r="C91" s="80" t="s">
        <v>121</v>
      </c>
      <c r="D91" s="80">
        <f>COUNT(E91:AC91)</f>
        <v>3</v>
      </c>
      <c r="E91" s="19">
        <f>IF(ISNUMBER(Lung!E7)=TRUE,Lung!E7,"")</f>
        <v>0</v>
      </c>
      <c r="F91" s="19">
        <f>IF(ISNUMBER(Lung!F7)=TRUE,Lung!F7,"")</f>
        <v>0</v>
      </c>
      <c r="G91" s="19">
        <f>IF(ISNUMBER(Lung!G7)=TRUE,Lung!G7,"")</f>
        <v>0</v>
      </c>
      <c r="H91" s="19"/>
      <c r="I91" s="19"/>
      <c r="J91" s="19"/>
      <c r="K91" s="19"/>
      <c r="L91" s="19"/>
      <c r="M91" s="19"/>
      <c r="N91" s="19"/>
      <c r="O91" s="19"/>
      <c r="P91" s="19"/>
      <c r="Q91" s="19"/>
      <c r="R91" s="19"/>
      <c r="S91" s="19"/>
      <c r="T91" s="19"/>
      <c r="U91" s="19"/>
      <c r="V91" s="19"/>
      <c r="W91" s="19"/>
      <c r="X91" s="19"/>
      <c r="Y91" s="19"/>
      <c r="Z91" s="19"/>
      <c r="AA91" s="19"/>
      <c r="AB91" s="19"/>
      <c r="AC91" s="19"/>
      <c r="CO91" s="181">
        <v>88</v>
      </c>
      <c r="CP91" s="80">
        <f>IF(ParamSex="Male",'Growth Params'!$F$8+CO91*'Growth Params'!$F$9/('Growth Params'!$F$10+CO91)+'Growth Params'!$F$11/(1+'Growth Params'!$F$12*EXP(-'Growth Params'!$F$13*'Growth Params'!$F$11*CO91)),'Growth Params'!$E$8+CO91*'Growth Params'!$E$9/('Growth Params'!$E$10+CO91)+'Growth Params'!$E$11/(1+'Growth Params'!$E$12*EXP(-'Growth Params'!$E$13*'Growth Params'!$E$11*CO91)))</f>
        <v>58.574725274725274</v>
      </c>
    </row>
    <row r="92" spans="1:94" x14ac:dyDescent="0.25">
      <c r="B92" s="80" t="s">
        <v>120</v>
      </c>
      <c r="C92" s="80" t="s">
        <v>122</v>
      </c>
      <c r="D92" s="80">
        <f t="shared" si="9"/>
        <v>3</v>
      </c>
      <c r="E92" s="19">
        <f>IF(ISNUMBER(Lung!E8)=TRUE,Lung!E8,"")</f>
        <v>0</v>
      </c>
      <c r="F92" s="19">
        <f>IF(ISNUMBER(Lung!F8)=TRUE,Lung!F8,"")</f>
        <v>0</v>
      </c>
      <c r="G92" s="19">
        <f>IF(ISNUMBER(Lung!G8)=TRUE,Lung!G8,"")</f>
        <v>0</v>
      </c>
      <c r="H92" s="19"/>
      <c r="I92" s="19"/>
      <c r="J92" s="19"/>
      <c r="K92" s="19"/>
      <c r="L92" s="19"/>
      <c r="M92" s="19"/>
      <c r="N92" s="19"/>
      <c r="O92" s="19"/>
      <c r="P92" s="19"/>
      <c r="Q92" s="19"/>
      <c r="R92" s="19"/>
      <c r="S92" s="19"/>
      <c r="T92" s="19"/>
      <c r="U92" s="19"/>
      <c r="V92" s="19"/>
      <c r="W92" s="19"/>
      <c r="X92" s="19"/>
      <c r="Y92" s="19"/>
      <c r="Z92" s="19"/>
      <c r="AA92" s="19"/>
      <c r="AB92" s="19"/>
      <c r="AC92" s="19"/>
      <c r="CO92" s="181">
        <v>89</v>
      </c>
      <c r="CP92" s="80">
        <f>IF(ParamSex="Male",'Growth Params'!$F$8+CO92*'Growth Params'!$F$9/('Growth Params'!$F$10+CO92)+'Growth Params'!$F$11/(1+'Growth Params'!$F$12*EXP(-'Growth Params'!$F$13*'Growth Params'!$F$11*CO92)),'Growth Params'!$E$8+CO92*'Growth Params'!$E$9/('Growth Params'!$E$10+CO92)+'Growth Params'!$E$11/(1+'Growth Params'!$E$12*EXP(-'Growth Params'!$E$13*'Growth Params'!$E$11*CO92)))</f>
        <v>58.582608695652176</v>
      </c>
    </row>
    <row r="93" spans="1:94" x14ac:dyDescent="0.25">
      <c r="B93" s="80" t="s">
        <v>120</v>
      </c>
      <c r="C93" s="80" t="s">
        <v>123</v>
      </c>
      <c r="D93" s="80">
        <f t="shared" si="9"/>
        <v>3</v>
      </c>
      <c r="E93" s="19">
        <f>IF(ISNUMBER(Lung!E9)=TRUE,Lung!E9,"")</f>
        <v>0</v>
      </c>
      <c r="F93" s="19">
        <f>IF(ISNUMBER(Lung!F9)=TRUE,Lung!F9,"")</f>
        <v>0</v>
      </c>
      <c r="G93" s="19">
        <f>IF(ISNUMBER(Lung!G9)=TRUE,Lung!G9,"")</f>
        <v>0</v>
      </c>
      <c r="H93" s="19"/>
      <c r="I93" s="19"/>
      <c r="J93" s="19"/>
      <c r="K93" s="19"/>
      <c r="L93" s="19"/>
      <c r="M93" s="19"/>
      <c r="N93" s="19"/>
      <c r="O93" s="19"/>
      <c r="P93" s="19"/>
      <c r="Q93" s="19"/>
      <c r="R93" s="19"/>
      <c r="S93" s="19"/>
      <c r="T93" s="19"/>
      <c r="U93" s="19"/>
      <c r="V93" s="19"/>
      <c r="W93" s="19"/>
      <c r="X93" s="19"/>
      <c r="Y93" s="19"/>
      <c r="Z93" s="19"/>
      <c r="AA93" s="19"/>
      <c r="AB93" s="19"/>
      <c r="AC93" s="19"/>
      <c r="CO93" s="181">
        <v>90</v>
      </c>
      <c r="CP93" s="80">
        <f>IF(ParamSex="Male",'Growth Params'!$F$8+CO93*'Growth Params'!$F$9/('Growth Params'!$F$10+CO93)+'Growth Params'!$F$11/(1+'Growth Params'!$F$12*EXP(-'Growth Params'!$F$13*'Growth Params'!$F$11*CO93)),'Growth Params'!$E$8+CO93*'Growth Params'!$E$9/('Growth Params'!$E$10+CO93)+'Growth Params'!$E$11/(1+'Growth Params'!$E$12*EXP(-'Growth Params'!$E$13*'Growth Params'!$E$11*CO93)))</f>
        <v>58.590322580645164</v>
      </c>
    </row>
    <row r="94" spans="1:94" x14ac:dyDescent="0.25">
      <c r="B94" s="80" t="s">
        <v>120</v>
      </c>
      <c r="C94" s="80" t="s">
        <v>124</v>
      </c>
      <c r="D94" s="80">
        <f t="shared" si="9"/>
        <v>3</v>
      </c>
      <c r="E94" s="19">
        <f>IF(ISNUMBER(Lung!E10)=TRUE,Lung!E10,"")</f>
        <v>0</v>
      </c>
      <c r="F94" s="19">
        <f>IF(ISNUMBER(Lung!F10)=TRUE,Lung!F10,"")</f>
        <v>0</v>
      </c>
      <c r="G94" s="19">
        <f>IF(ISNUMBER(Lung!G10)=TRUE,Lung!G10,"")</f>
        <v>0</v>
      </c>
      <c r="H94" s="19"/>
      <c r="I94" s="19"/>
      <c r="J94" s="19"/>
      <c r="K94" s="19"/>
      <c r="L94" s="19"/>
      <c r="M94" s="19"/>
      <c r="N94" s="19"/>
      <c r="O94" s="19"/>
      <c r="P94" s="19"/>
      <c r="Q94" s="19"/>
      <c r="R94" s="19"/>
      <c r="S94" s="19"/>
      <c r="T94" s="19"/>
      <c r="U94" s="19"/>
      <c r="V94" s="19"/>
      <c r="W94" s="19"/>
      <c r="X94" s="19"/>
      <c r="Y94" s="19"/>
      <c r="Z94" s="19"/>
      <c r="AA94" s="19"/>
      <c r="AB94" s="19"/>
      <c r="AC94" s="19"/>
      <c r="CO94" s="181">
        <v>91</v>
      </c>
      <c r="CP94" s="80">
        <f>IF(ParamSex="Male",'Growth Params'!$F$8+CO94*'Growth Params'!$F$9/('Growth Params'!$F$10+CO94)+'Growth Params'!$F$11/(1+'Growth Params'!$F$12*EXP(-'Growth Params'!$F$13*'Growth Params'!$F$11*CO94)),'Growth Params'!$E$8+CO94*'Growth Params'!$E$9/('Growth Params'!$E$10+CO94)+'Growth Params'!$E$11/(1+'Growth Params'!$E$12*EXP(-'Growth Params'!$E$13*'Growth Params'!$E$11*CO94)))</f>
        <v>58.597872340425532</v>
      </c>
    </row>
    <row r="95" spans="1:94" x14ac:dyDescent="0.25">
      <c r="B95" s="80" t="s">
        <v>120</v>
      </c>
      <c r="C95" s="80" t="s">
        <v>125</v>
      </c>
      <c r="D95" s="80">
        <f t="shared" si="9"/>
        <v>3</v>
      </c>
      <c r="E95" s="19">
        <f>IF(ISNUMBER(Lung!E11)=TRUE,Lung!E11,"")</f>
        <v>100</v>
      </c>
      <c r="F95" s="19">
        <f>IF(ISNUMBER(Lung!F11)=TRUE,Lung!F11,"")</f>
        <v>100</v>
      </c>
      <c r="G95" s="19">
        <f>IF(ISNUMBER(Lung!G11)=TRUE,Lung!G11,"")</f>
        <v>100</v>
      </c>
      <c r="H95" s="19"/>
      <c r="I95" s="19"/>
      <c r="J95" s="19"/>
      <c r="K95" s="19"/>
      <c r="L95" s="19"/>
      <c r="M95" s="19"/>
      <c r="N95" s="19"/>
      <c r="O95" s="19"/>
      <c r="P95" s="19"/>
      <c r="Q95" s="19"/>
      <c r="R95" s="19"/>
      <c r="S95" s="19"/>
      <c r="T95" s="19"/>
      <c r="U95" s="19"/>
      <c r="V95" s="19"/>
      <c r="W95" s="19"/>
      <c r="X95" s="19"/>
      <c r="Y95" s="19"/>
      <c r="Z95" s="19"/>
      <c r="AA95" s="19"/>
      <c r="AB95" s="19"/>
      <c r="AC95" s="19"/>
      <c r="CO95" s="181">
        <v>92</v>
      </c>
      <c r="CP95" s="80">
        <f>IF(ParamSex="Male",'Growth Params'!$F$8+CO95*'Growth Params'!$F$9/('Growth Params'!$F$10+CO95)+'Growth Params'!$F$11/(1+'Growth Params'!$F$12*EXP(-'Growth Params'!$F$13*'Growth Params'!$F$11*CO95)),'Growth Params'!$E$8+CO95*'Growth Params'!$E$9/('Growth Params'!$E$10+CO95)+'Growth Params'!$E$11/(1+'Growth Params'!$E$12*EXP(-'Growth Params'!$E$13*'Growth Params'!$E$11*CO95)))</f>
        <v>58.60526315789474</v>
      </c>
    </row>
    <row r="96" spans="1:94" x14ac:dyDescent="0.25">
      <c r="B96" s="80" t="s">
        <v>120</v>
      </c>
      <c r="C96" s="80" t="s">
        <v>126</v>
      </c>
      <c r="D96" s="80">
        <f t="shared" si="9"/>
        <v>3</v>
      </c>
      <c r="E96" s="19">
        <f>IF(ISNUMBER(Lung!E12)=TRUE,Lung!E12,"")</f>
        <v>0</v>
      </c>
      <c r="F96" s="19">
        <f>IF(ISNUMBER(Lung!F12)=TRUE,Lung!F12,"")</f>
        <v>0</v>
      </c>
      <c r="G96" s="19">
        <f>IF(ISNUMBER(Lung!G12)=TRUE,Lung!G12,"")</f>
        <v>0</v>
      </c>
      <c r="H96" s="19"/>
      <c r="I96" s="19"/>
      <c r="J96" s="19"/>
      <c r="K96" s="19"/>
      <c r="L96" s="19"/>
      <c r="M96" s="19"/>
      <c r="N96" s="19"/>
      <c r="O96" s="19"/>
      <c r="P96" s="19"/>
      <c r="Q96" s="19"/>
      <c r="R96" s="19"/>
      <c r="S96" s="19"/>
      <c r="T96" s="19"/>
      <c r="U96" s="19"/>
      <c r="V96" s="19"/>
      <c r="W96" s="19"/>
      <c r="X96" s="19"/>
      <c r="Y96" s="19"/>
      <c r="Z96" s="19"/>
      <c r="AA96" s="19"/>
      <c r="AB96" s="19"/>
      <c r="AC96" s="19"/>
      <c r="CO96" s="181">
        <v>93</v>
      </c>
      <c r="CP96" s="80">
        <f>IF(ParamSex="Male",'Growth Params'!$F$8+CO96*'Growth Params'!$F$9/('Growth Params'!$F$10+CO96)+'Growth Params'!$F$11/(1+'Growth Params'!$F$12*EXP(-'Growth Params'!$F$13*'Growth Params'!$F$11*CO96)),'Growth Params'!$E$8+CO96*'Growth Params'!$E$9/('Growth Params'!$E$10+CO96)+'Growth Params'!$E$11/(1+'Growth Params'!$E$12*EXP(-'Growth Params'!$E$13*'Growth Params'!$E$11*CO96)))</f>
        <v>58.612499999999997</v>
      </c>
    </row>
    <row r="97" spans="1:94" x14ac:dyDescent="0.25">
      <c r="B97" s="80" t="s">
        <v>120</v>
      </c>
      <c r="C97" s="80" t="s">
        <v>127</v>
      </c>
      <c r="D97" s="80">
        <f t="shared" si="9"/>
        <v>3</v>
      </c>
      <c r="E97" s="19">
        <f>IF(ISNUMBER(Lung!E13)=TRUE,Lung!E13,"")</f>
        <v>2.77</v>
      </c>
      <c r="F97" s="19">
        <f>IF(ISNUMBER(Lung!F13)=TRUE,Lung!F13,"")</f>
        <v>2.77</v>
      </c>
      <c r="G97" s="19">
        <f>IF(ISNUMBER(Lung!G13)=TRUE,Lung!G13,"")</f>
        <v>2.77</v>
      </c>
      <c r="H97" s="19"/>
      <c r="I97" s="19"/>
      <c r="J97" s="19"/>
      <c r="K97" s="19"/>
      <c r="L97" s="19"/>
      <c r="M97" s="19"/>
      <c r="N97" s="19"/>
      <c r="O97" s="19"/>
      <c r="P97" s="19"/>
      <c r="Q97" s="19"/>
      <c r="R97" s="19"/>
      <c r="S97" s="19"/>
      <c r="T97" s="19"/>
      <c r="U97" s="19"/>
      <c r="V97" s="19"/>
      <c r="W97" s="19"/>
      <c r="X97" s="19"/>
      <c r="Y97" s="19"/>
      <c r="Z97" s="19"/>
      <c r="AA97" s="19"/>
      <c r="AB97" s="19"/>
      <c r="AC97" s="19"/>
      <c r="CO97" s="181">
        <v>94</v>
      </c>
      <c r="CP97" s="80">
        <f>IF(ParamSex="Male",'Growth Params'!$F$8+CO97*'Growth Params'!$F$9/('Growth Params'!$F$10+CO97)+'Growth Params'!$F$11/(1+'Growth Params'!$F$12*EXP(-'Growth Params'!$F$13*'Growth Params'!$F$11*CO97)),'Growth Params'!$E$8+CO97*'Growth Params'!$E$9/('Growth Params'!$E$10+CO97)+'Growth Params'!$E$11/(1+'Growth Params'!$E$12*EXP(-'Growth Params'!$E$13*'Growth Params'!$E$11*CO97)))</f>
        <v>58.619587628865979</v>
      </c>
    </row>
    <row r="98" spans="1:94" x14ac:dyDescent="0.25">
      <c r="B98" s="80" t="s">
        <v>120</v>
      </c>
      <c r="C98" s="80" t="s">
        <v>128</v>
      </c>
      <c r="D98" s="80">
        <f t="shared" si="9"/>
        <v>3</v>
      </c>
      <c r="E98" s="19">
        <f>IF(ISNUMBER(Lung!E14)=TRUE,Lung!E14,"")</f>
        <v>0</v>
      </c>
      <c r="F98" s="19">
        <f>IF(ISNUMBER(Lung!F14)=TRUE,Lung!F14,"")</f>
        <v>0</v>
      </c>
      <c r="G98" s="19">
        <f>IF(ISNUMBER(Lung!G14)=TRUE,Lung!G14,"")</f>
        <v>0</v>
      </c>
      <c r="H98" s="19"/>
      <c r="I98" s="19"/>
      <c r="J98" s="19"/>
      <c r="K98" s="19"/>
      <c r="L98" s="19"/>
      <c r="M98" s="19"/>
      <c r="N98" s="19"/>
      <c r="O98" s="19"/>
      <c r="P98" s="19"/>
      <c r="Q98" s="19"/>
      <c r="R98" s="19"/>
      <c r="S98" s="19"/>
      <c r="T98" s="19"/>
      <c r="U98" s="19"/>
      <c r="V98" s="19"/>
      <c r="W98" s="19"/>
      <c r="X98" s="19"/>
      <c r="Y98" s="19"/>
      <c r="Z98" s="19"/>
      <c r="AA98" s="19"/>
      <c r="AB98" s="19"/>
      <c r="AC98" s="19"/>
      <c r="CO98" s="181">
        <v>95</v>
      </c>
      <c r="CP98" s="80">
        <f>IF(ParamSex="Male",'Growth Params'!$F$8+CO98*'Growth Params'!$F$9/('Growth Params'!$F$10+CO98)+'Growth Params'!$F$11/(1+'Growth Params'!$F$12*EXP(-'Growth Params'!$F$13*'Growth Params'!$F$11*CO98)),'Growth Params'!$E$8+CO98*'Growth Params'!$E$9/('Growth Params'!$E$10+CO98)+'Growth Params'!$E$11/(1+'Growth Params'!$E$12*EXP(-'Growth Params'!$E$13*'Growth Params'!$E$11*CO98)))</f>
        <v>58.626530612244899</v>
      </c>
    </row>
    <row r="99" spans="1:94" x14ac:dyDescent="0.25">
      <c r="B99" s="80" t="s">
        <v>120</v>
      </c>
      <c r="C99" s="80" t="s">
        <v>129</v>
      </c>
      <c r="D99" s="80">
        <f t="shared" si="9"/>
        <v>3</v>
      </c>
      <c r="E99" s="19">
        <f>IF(ISNUMBER(Lung!E15)=TRUE,Lung!E15,"")</f>
        <v>2E-3</v>
      </c>
      <c r="F99" s="19">
        <f>IF(ISNUMBER(Lung!F15)=TRUE,Lung!F15,"")</f>
        <v>2E-3</v>
      </c>
      <c r="G99" s="19">
        <f>IF(ISNUMBER(Lung!G15)=TRUE,Lung!G15,"")</f>
        <v>2E-3</v>
      </c>
      <c r="H99" s="19"/>
      <c r="I99" s="19"/>
      <c r="J99" s="19"/>
      <c r="K99" s="19"/>
      <c r="L99" s="19"/>
      <c r="M99" s="19"/>
      <c r="N99" s="19"/>
      <c r="O99" s="19"/>
      <c r="P99" s="19"/>
      <c r="Q99" s="19"/>
      <c r="R99" s="19"/>
      <c r="S99" s="19"/>
      <c r="T99" s="19"/>
      <c r="U99" s="19"/>
      <c r="V99" s="19"/>
      <c r="W99" s="19"/>
      <c r="X99" s="19"/>
      <c r="Y99" s="19"/>
      <c r="Z99" s="19"/>
      <c r="AA99" s="19"/>
      <c r="AB99" s="19"/>
      <c r="AC99" s="19"/>
      <c r="CO99" s="181">
        <v>96</v>
      </c>
      <c r="CP99" s="80">
        <f>IF(ParamSex="Male",'Growth Params'!$F$8+CO99*'Growth Params'!$F$9/('Growth Params'!$F$10+CO99)+'Growth Params'!$F$11/(1+'Growth Params'!$F$12*EXP(-'Growth Params'!$F$13*'Growth Params'!$F$11*CO99)),'Growth Params'!$E$8+CO99*'Growth Params'!$E$9/('Growth Params'!$E$10+CO99)+'Growth Params'!$E$11/(1+'Growth Params'!$E$12*EXP(-'Growth Params'!$E$13*'Growth Params'!$E$11*CO99)))</f>
        <v>58.633333333333333</v>
      </c>
    </row>
    <row r="100" spans="1:94" x14ac:dyDescent="0.25">
      <c r="B100" s="80" t="s">
        <v>120</v>
      </c>
      <c r="C100" s="80" t="s">
        <v>130</v>
      </c>
      <c r="D100" s="80">
        <f t="shared" si="9"/>
        <v>3</v>
      </c>
      <c r="E100" s="19">
        <f>IF(ISNUMBER(Lung!E16)=TRUE,Lung!E16,"")</f>
        <v>1E-3</v>
      </c>
      <c r="F100" s="19">
        <f>IF(ISNUMBER(Lung!F16)=TRUE,Lung!F16,"")</f>
        <v>1E-3</v>
      </c>
      <c r="G100" s="19">
        <f>IF(ISNUMBER(Lung!G16)=TRUE,Lung!G16,"")</f>
        <v>1E-3</v>
      </c>
      <c r="H100" s="116"/>
      <c r="I100" s="116"/>
      <c r="J100" s="116"/>
      <c r="K100" s="116"/>
      <c r="L100" s="116"/>
      <c r="M100" s="116"/>
      <c r="N100" s="116"/>
      <c r="O100" s="116"/>
      <c r="P100" s="116"/>
      <c r="Q100" s="116"/>
      <c r="R100" s="116"/>
      <c r="S100" s="116"/>
      <c r="T100" s="116"/>
      <c r="U100" s="116"/>
      <c r="V100" s="116"/>
      <c r="W100" s="116"/>
      <c r="X100" s="116"/>
      <c r="Y100" s="116"/>
      <c r="Z100" s="116"/>
      <c r="AA100" s="116"/>
      <c r="AB100" s="116"/>
      <c r="AC100" s="116"/>
      <c r="CO100" s="181">
        <v>97</v>
      </c>
      <c r="CP100" s="80">
        <f>IF(ParamSex="Male",'Growth Params'!$F$8+CO100*'Growth Params'!$F$9/('Growth Params'!$F$10+CO100)+'Growth Params'!$F$11/(1+'Growth Params'!$F$12*EXP(-'Growth Params'!$F$13*'Growth Params'!$F$11*CO100)),'Growth Params'!$E$8+CO100*'Growth Params'!$E$9/('Growth Params'!$E$10+CO100)+'Growth Params'!$E$11/(1+'Growth Params'!$E$12*EXP(-'Growth Params'!$E$13*'Growth Params'!$E$11*CO100)))</f>
        <v>58.64</v>
      </c>
    </row>
    <row r="101" spans="1:94" x14ac:dyDescent="0.25">
      <c r="B101" s="80" t="s">
        <v>120</v>
      </c>
      <c r="C101" s="80" t="s">
        <v>131</v>
      </c>
      <c r="D101" s="80">
        <f t="shared" si="9"/>
        <v>3</v>
      </c>
      <c r="E101" s="19">
        <f>IF(ISNUMBER(Lung!E17)=TRUE,Lung!E17,"")</f>
        <v>0</v>
      </c>
      <c r="F101" s="19">
        <f>IF(ISNUMBER(Lung!F17)=TRUE,Lung!F17,"")</f>
        <v>0</v>
      </c>
      <c r="G101" s="19">
        <f>IF(ISNUMBER(Lung!G17)=TRUE,Lung!G17,"")</f>
        <v>0</v>
      </c>
      <c r="H101" s="116"/>
      <c r="I101" s="116"/>
      <c r="J101" s="116"/>
      <c r="K101" s="116"/>
      <c r="L101" s="116"/>
      <c r="M101" s="116"/>
      <c r="N101" s="116"/>
      <c r="O101" s="116"/>
      <c r="P101" s="116"/>
      <c r="Q101" s="116"/>
      <c r="R101" s="116"/>
      <c r="S101" s="116"/>
      <c r="T101" s="116"/>
      <c r="U101" s="116"/>
      <c r="V101" s="116"/>
      <c r="W101" s="116"/>
      <c r="X101" s="116"/>
      <c r="Y101" s="116"/>
      <c r="Z101" s="116"/>
      <c r="AA101" s="116"/>
      <c r="AB101" s="116"/>
      <c r="AC101" s="116"/>
      <c r="CO101" s="181">
        <v>98</v>
      </c>
      <c r="CP101" s="80">
        <f>IF(ParamSex="Male",'Growth Params'!$F$8+CO101*'Growth Params'!$F$9/('Growth Params'!$F$10+CO101)+'Growth Params'!$F$11/(1+'Growth Params'!$F$12*EXP(-'Growth Params'!$F$13*'Growth Params'!$F$11*CO101)),'Growth Params'!$E$8+CO101*'Growth Params'!$E$9/('Growth Params'!$E$10+CO101)+'Growth Params'!$E$11/(1+'Growth Params'!$E$12*EXP(-'Growth Params'!$E$13*'Growth Params'!$E$11*CO101)))</f>
        <v>58.646534653465352</v>
      </c>
    </row>
    <row r="102" spans="1:94" x14ac:dyDescent="0.25">
      <c r="A102" s="219"/>
      <c r="B102" s="19" t="s">
        <v>291</v>
      </c>
      <c r="C102" s="19" t="s">
        <v>292</v>
      </c>
      <c r="D102" s="80">
        <f t="shared" ref="D102:D112" si="10">COUNT(E102:AC102)</f>
        <v>1</v>
      </c>
      <c r="E102" s="129">
        <f>IF(Media!C8="Air",1,IF(Media!C8="Dust",2,IF(Media!C8="Soil",3,IF(Media!C8="Water",4,IF(Media!C8="Food",5,IF(Media!C8="Other",6,"0"))))))</f>
        <v>3</v>
      </c>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CO102" s="181">
        <v>99</v>
      </c>
      <c r="CP102" s="80">
        <f>IF(ParamSex="Male",'Growth Params'!$F$8+CO102*'Growth Params'!$F$9/('Growth Params'!$F$10+CO102)+'Growth Params'!$F$11/(1+'Growth Params'!$F$12*EXP(-'Growth Params'!$F$13*'Growth Params'!$F$11*CO102)),'Growth Params'!$E$8+CO102*'Growth Params'!$E$9/('Growth Params'!$E$10+CO102)+'Growth Params'!$E$11/(1+'Growth Params'!$E$12*EXP(-'Growth Params'!$E$13*'Growth Params'!$E$11*CO102)))</f>
        <v>58.652941176470591</v>
      </c>
    </row>
    <row r="103" spans="1:94" x14ac:dyDescent="0.25">
      <c r="A103" s="219"/>
      <c r="B103" s="19" t="s">
        <v>291</v>
      </c>
      <c r="C103" s="19" t="s">
        <v>293</v>
      </c>
      <c r="D103" s="80">
        <f t="shared" si="10"/>
        <v>1</v>
      </c>
      <c r="E103" s="129">
        <f>IF(Media!D8="Scaled evenly",0, IF(Media!D8="Source 1",1, IF(Media!D8="Source 2",2, IF(Media!D8="Source 3",3,"0"))))</f>
        <v>1</v>
      </c>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row>
    <row r="104" spans="1:94" x14ac:dyDescent="0.25">
      <c r="A104" t="str" cm="1">
        <f t="array" ref="A104">_xlfn.IFS($E$7=0,"Not Run",E104=CM4,"Defalt",E104&lt;&gt;CM4,"Changed")</f>
        <v>Not Run</v>
      </c>
      <c r="B104" s="19" t="s">
        <v>291</v>
      </c>
      <c r="C104" s="19" t="s">
        <v>294</v>
      </c>
      <c r="D104" s="80">
        <f t="shared" si="10"/>
        <v>1</v>
      </c>
      <c r="E104" s="129">
        <f>IF(Media!E8="Yes",1,0)</f>
        <v>0</v>
      </c>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row>
    <row r="105" spans="1:94" x14ac:dyDescent="0.25">
      <c r="B105" s="19" t="s">
        <v>291</v>
      </c>
      <c r="C105" s="19" t="s">
        <v>295</v>
      </c>
      <c r="D105" s="80">
        <f t="shared" si="10"/>
        <v>1</v>
      </c>
      <c r="E105" s="80">
        <f>Media!F8</f>
        <v>5</v>
      </c>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row>
    <row r="106" spans="1:94" x14ac:dyDescent="0.25">
      <c r="A106" t="str" cm="1">
        <f t="array" ref="A106">_xlfn.IFS($E$7=0,"Not Run",E106=CM6,"Defalt",E106&lt;&gt;CM6,"Changed")</f>
        <v>Not Run</v>
      </c>
      <c r="B106" s="19" t="s">
        <v>291</v>
      </c>
      <c r="C106" s="19" t="s">
        <v>296</v>
      </c>
      <c r="D106" s="80">
        <f t="shared" si="10"/>
        <v>1</v>
      </c>
      <c r="E106" s="80">
        <f>Media!G8</f>
        <v>1E-3</v>
      </c>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row>
    <row r="107" spans="1:94" x14ac:dyDescent="0.25">
      <c r="A107" t="str" cm="1">
        <f t="array" ref="A107">_xlfn.IFS($E$7=0,"Not Run",E107=CM7,"Defalt",E107&lt;&gt;CM7,"Changed")</f>
        <v>Not Run</v>
      </c>
      <c r="B107" s="19" t="s">
        <v>291</v>
      </c>
      <c r="C107" s="19" t="s">
        <v>297</v>
      </c>
      <c r="D107" s="80">
        <f t="shared" si="10"/>
        <v>1</v>
      </c>
      <c r="E107" s="80" cm="1">
        <f t="array" ref="E107">_xlfn.IFS(Media!H8="Arithmetic mean", 0,Media!H8="Maximum",1)</f>
        <v>0</v>
      </c>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row>
    <row r="108" spans="1:94" x14ac:dyDescent="0.25">
      <c r="B108" s="19" t="s">
        <v>291</v>
      </c>
      <c r="C108" s="19" t="s">
        <v>298</v>
      </c>
      <c r="D108" s="80">
        <f t="shared" si="10"/>
        <v>1</v>
      </c>
      <c r="E108" s="80">
        <f>(Media!J8*365)-(Media!I8*365)</f>
        <v>2555</v>
      </c>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row>
    <row r="109" spans="1:94" x14ac:dyDescent="0.25">
      <c r="B109" s="19" t="s">
        <v>291</v>
      </c>
      <c r="C109" s="19" t="s">
        <v>299</v>
      </c>
      <c r="D109" s="80">
        <f t="shared" si="10"/>
        <v>1</v>
      </c>
      <c r="E109" s="80">
        <f>Media!I8*365</f>
        <v>0</v>
      </c>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row>
    <row r="110" spans="1:94" x14ac:dyDescent="0.25">
      <c r="A110" t="str" cm="1">
        <f t="array" ref="A110">_xlfn.IFS($E$7=0,"Not Run",E110=CM10,"Defalt",E110&lt;&gt;CM10,"Changed")</f>
        <v>Not Run</v>
      </c>
      <c r="B110" s="19" t="s">
        <v>291</v>
      </c>
      <c r="C110" s="19" t="s">
        <v>300</v>
      </c>
      <c r="D110" s="80">
        <f t="shared" si="10"/>
        <v>1</v>
      </c>
      <c r="E110" s="80">
        <f>Media!K8</f>
        <v>10</v>
      </c>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row>
    <row r="111" spans="1:94" x14ac:dyDescent="0.25">
      <c r="A111" t="str" cm="1">
        <f t="array" ref="A111">_xlfn.IFS($E$7=0,"Not Run",E111=CM11,"Defalt",E111&lt;&gt;CM11,"Changed")</f>
        <v>Not Run</v>
      </c>
      <c r="B111" s="19" t="s">
        <v>291</v>
      </c>
      <c r="C111" s="19" t="s">
        <v>301</v>
      </c>
      <c r="D111" s="80">
        <f t="shared" si="10"/>
        <v>1</v>
      </c>
      <c r="E111" s="80">
        <f>Media!L8</f>
        <v>1.6</v>
      </c>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row>
    <row r="112" spans="1:94" x14ac:dyDescent="0.25">
      <c r="A112" t="str" cm="1">
        <f t="array" ref="A112">_xlfn.IFS($E$7=0,"Not Run",E112=CM12,"Defalt",E112&lt;&gt;CM12,"Changed")</f>
        <v>Not Run</v>
      </c>
      <c r="B112" s="19" t="s">
        <v>291</v>
      </c>
      <c r="C112" s="19" t="s">
        <v>302</v>
      </c>
      <c r="D112" s="80">
        <f t="shared" si="10"/>
        <v>1</v>
      </c>
      <c r="E112" s="80">
        <f>Media!M8</f>
        <v>0.05</v>
      </c>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row>
    <row r="113" spans="2:29" x14ac:dyDescent="0.25">
      <c r="B113" s="19" t="s">
        <v>18</v>
      </c>
      <c r="C113" s="19" t="s">
        <v>132</v>
      </c>
      <c r="D113" s="19">
        <f>IF(E113&gt;=1,1,0)</f>
        <v>0</v>
      </c>
      <c r="E113" s="19">
        <f>Soil_NSource</f>
        <v>0</v>
      </c>
      <c r="F113" s="19"/>
      <c r="G113" s="19"/>
      <c r="H113" s="19"/>
      <c r="I113" s="19"/>
      <c r="J113" s="19"/>
      <c r="K113" s="19"/>
      <c r="L113" s="19"/>
      <c r="M113" s="19"/>
      <c r="N113" s="19"/>
      <c r="O113" s="19"/>
      <c r="P113" s="19"/>
      <c r="Q113" s="19"/>
      <c r="R113" s="19"/>
      <c r="S113" s="19"/>
      <c r="T113" s="19"/>
      <c r="U113" s="19"/>
      <c r="V113" s="19"/>
      <c r="W113" s="19" t="str">
        <f>IF(ISNUMBER('Time Dep Phys Params'!#REF!)=TRUE,'Time Dep Phys Params'!#REF!,"")</f>
        <v/>
      </c>
      <c r="X113" s="19"/>
      <c r="Y113" s="19"/>
      <c r="Z113" s="19"/>
      <c r="AA113" s="19"/>
      <c r="AB113" s="19"/>
      <c r="AC113" s="19"/>
    </row>
    <row r="114" spans="2:29" x14ac:dyDescent="0.25">
      <c r="B114" s="19" t="s">
        <v>18</v>
      </c>
      <c r="C114" s="19" t="s">
        <v>133</v>
      </c>
      <c r="D114" s="19">
        <f t="shared" ref="D114:D132" si="11">COUNT(E114:AC114)</f>
        <v>1</v>
      </c>
      <c r="E114" s="19">
        <f>IF(ISNUMBER(Media!F11)=TRUE,Media!F11*365,"")</f>
        <v>0</v>
      </c>
      <c r="F114" s="19" t="str">
        <f>IF(ISNUMBER(Media!G11)=TRUE,Media!G11*365,"")</f>
        <v/>
      </c>
      <c r="G114" s="19" t="str">
        <f>IF(ISNUMBER(Media!H11)=TRUE,Media!H11*365,"")</f>
        <v/>
      </c>
      <c r="H114" s="19" t="str">
        <f>IF(ISNUMBER(Media!I11)=TRUE,Media!I11*365,"")</f>
        <v/>
      </c>
      <c r="I114" s="19" t="str">
        <f>IF(ISNUMBER(Media!J11)=TRUE,Media!J11*365,"")</f>
        <v/>
      </c>
      <c r="J114" s="19" t="str">
        <f>IF(ISNUMBER(Media!K11)=TRUE,Media!K11*365,"")</f>
        <v/>
      </c>
      <c r="K114" s="19" t="str">
        <f>IF(ISNUMBER(Media!L11)=TRUE,Media!L11*365,"")</f>
        <v/>
      </c>
      <c r="L114" s="19" t="str">
        <f>IF(ISNUMBER(Media!M11)=TRUE,Media!M11*365,"")</f>
        <v/>
      </c>
      <c r="M114" s="19" t="str">
        <f>IF(ISNUMBER(Media!N11)=TRUE,Media!N11*365,"")</f>
        <v/>
      </c>
      <c r="N114" s="19" t="str">
        <f>IF(ISNUMBER(Media!O11)=TRUE,Media!O11*365,"")</f>
        <v/>
      </c>
      <c r="O114" s="19" t="str">
        <f>IF(ISNUMBER(Media!P11)=TRUE,Media!P11*365,"")</f>
        <v/>
      </c>
      <c r="P114" s="19" t="str">
        <f>IF(ISNUMBER(Media!Q11)=TRUE,Media!Q11*365,"")</f>
        <v/>
      </c>
      <c r="Q114" s="19" t="str">
        <f>IF(ISNUMBER(Media!R11)=TRUE,Media!R11*365,"")</f>
        <v/>
      </c>
      <c r="R114" s="19" t="str">
        <f>IF(ISNUMBER(Media!S11)=TRUE,Media!S11*365,"")</f>
        <v/>
      </c>
      <c r="S114" s="19" t="str">
        <f>IF(ISNUMBER(Media!T11)=TRUE,Media!T11*365,"")</f>
        <v/>
      </c>
      <c r="T114" s="19" t="str">
        <f>IF(ISNUMBER(Media!U11)=TRUE,Media!U11*365,"")</f>
        <v/>
      </c>
      <c r="U114" s="19" t="str">
        <f>IF(ISNUMBER(Media!V11)=TRUE,Media!V11*365,"")</f>
        <v/>
      </c>
      <c r="V114" s="19" t="str">
        <f>IF(ISNUMBER(Media!W11)=TRUE,Media!W11*365,"")</f>
        <v/>
      </c>
      <c r="W114" s="19" t="str">
        <f>IF(ISNUMBER(Media!X11)=TRUE,Media!X11*365,"")</f>
        <v/>
      </c>
      <c r="X114" s="19" t="str">
        <f>IF(ISNUMBER(Media!Y11)=TRUE,Media!Y11*365,"")</f>
        <v/>
      </c>
      <c r="Y114" s="19" t="str">
        <f>IF(ISNUMBER(Media!Z11)=TRUE,Media!Z11*365,"")</f>
        <v/>
      </c>
      <c r="Z114" s="19" t="str">
        <f>IF(ISNUMBER(Media!AA11)=TRUE,Media!AA11*365,"")</f>
        <v/>
      </c>
      <c r="AA114" s="19" t="str">
        <f>IF(ISNUMBER(Media!AH11)=TRUE,Media!AH11*365,"")</f>
        <v/>
      </c>
      <c r="AB114" s="19" t="str">
        <f>IF(ISNUMBER(Media!AI11)=TRUE,Media!AI11*365,"")</f>
        <v/>
      </c>
      <c r="AC114" s="19" t="str">
        <f>IF(ISNUMBER(Media!AJ11)=TRUE,Media!AJ11*365,"")</f>
        <v/>
      </c>
    </row>
    <row r="115" spans="2:29" x14ac:dyDescent="0.25">
      <c r="B115" s="19" t="s">
        <v>18</v>
      </c>
      <c r="C115" s="19" t="s">
        <v>134</v>
      </c>
      <c r="D115" s="19">
        <f t="shared" si="11"/>
        <v>1</v>
      </c>
      <c r="E115" s="19">
        <f>IF(ISNUMBER(Media!F12)=TRUE,Media!F12,"")</f>
        <v>652</v>
      </c>
      <c r="F115" s="19" t="str">
        <f>IF(ISNUMBER(Media!G12)=TRUE,Media!G12,"")</f>
        <v/>
      </c>
      <c r="G115" s="19" t="str">
        <f>IF(ISNUMBER(Media!H12)=TRUE,Media!H12,"")</f>
        <v/>
      </c>
      <c r="H115" s="19" t="str">
        <f>IF(ISNUMBER(Media!I12)=TRUE,Media!I12,"")</f>
        <v/>
      </c>
      <c r="I115" s="19" t="str">
        <f>IF(ISNUMBER(Media!J12)=TRUE,Media!J12,"")</f>
        <v/>
      </c>
      <c r="J115" s="19" t="str">
        <f>IF(ISNUMBER(Media!K12)=TRUE,Media!K12,"")</f>
        <v/>
      </c>
      <c r="K115" s="19" t="str">
        <f>IF(ISNUMBER(Media!L12)=TRUE,Media!L12,"")</f>
        <v/>
      </c>
      <c r="L115" s="19" t="str">
        <f>IF(ISNUMBER(Media!M12)=TRUE,Media!M12,"")</f>
        <v/>
      </c>
      <c r="M115" s="19" t="str">
        <f>IF(ISNUMBER(Media!N12)=TRUE,Media!N12,"")</f>
        <v/>
      </c>
      <c r="N115" s="19" t="str">
        <f>IF(ISNUMBER(Media!O12)=TRUE,Media!O12,"")</f>
        <v/>
      </c>
      <c r="O115" s="19" t="str">
        <f>IF(ISNUMBER(Media!P12)=TRUE,Media!P12,"")</f>
        <v/>
      </c>
      <c r="P115" s="19" t="str">
        <f>IF(ISNUMBER(Media!Q12)=TRUE,Media!Q12,"")</f>
        <v/>
      </c>
      <c r="Q115" s="19" t="str">
        <f>IF(ISNUMBER(Media!R12)=TRUE,Media!R12,"")</f>
        <v/>
      </c>
      <c r="R115" s="19" t="str">
        <f>IF(ISNUMBER(Media!S12)=TRUE,Media!S12,"")</f>
        <v/>
      </c>
      <c r="S115" s="19" t="str">
        <f>IF(ISNUMBER(Media!T12)=TRUE,Media!T12,"")</f>
        <v/>
      </c>
      <c r="T115" s="19" t="str">
        <f>IF(ISNUMBER(Media!U12)=TRUE,Media!U12,"")</f>
        <v/>
      </c>
      <c r="U115" s="19" t="str">
        <f>IF(ISNUMBER(Media!V12)=TRUE,Media!V12,"")</f>
        <v/>
      </c>
      <c r="V115" s="19" t="str">
        <f>IF(ISNUMBER(Media!W12)=TRUE,Media!W12,"")</f>
        <v/>
      </c>
      <c r="W115" s="19" t="str">
        <f>IF(ISNUMBER(Media!X12)=TRUE,Media!X12,"")</f>
        <v/>
      </c>
      <c r="X115" s="19" t="str">
        <f>IF(ISNUMBER(Media!Y12)=TRUE,Media!Y12,"")</f>
        <v/>
      </c>
      <c r="Y115" s="19" t="str">
        <f>IF(ISNUMBER(Media!Z12)=TRUE,Media!Z12,"")</f>
        <v/>
      </c>
      <c r="Z115" s="19" t="str">
        <f>IF(ISNUMBER(Media!AA12)=TRUE,Media!AA12,"")</f>
        <v/>
      </c>
      <c r="AA115" s="19" t="str">
        <f>IF(ISNUMBER(Media!AH12)=TRUE,Media!AH12,"")</f>
        <v/>
      </c>
      <c r="AB115" s="19" t="str">
        <f>IF(ISNUMBER(Media!AI12)=TRUE,Media!AI12,"")</f>
        <v/>
      </c>
      <c r="AC115" s="19" t="str">
        <f>IF(ISNUMBER(Media!AJ12)=TRUE,Media!AJ12,"")</f>
        <v/>
      </c>
    </row>
    <row r="116" spans="2:29" x14ac:dyDescent="0.25">
      <c r="B116" s="19" t="s">
        <v>18</v>
      </c>
      <c r="C116" s="19" t="s">
        <v>333</v>
      </c>
      <c r="D116" s="19">
        <f t="shared" si="11"/>
        <v>0</v>
      </c>
      <c r="E116" s="19" t="str">
        <f>IF(ISNUMBER(Media!F13)=TRUE,Media!F13,"")</f>
        <v/>
      </c>
      <c r="F116" s="19" t="str">
        <f>IF(ISNUMBER(Media!G13)=TRUE,Media!G13,"")</f>
        <v/>
      </c>
      <c r="G116" s="19" t="str">
        <f>IF(ISNUMBER(Media!H13)=TRUE,Media!H13,"")</f>
        <v/>
      </c>
      <c r="H116" s="19" t="str">
        <f>IF(ISNUMBER(Media!I13)=TRUE,Media!I13,"")</f>
        <v/>
      </c>
      <c r="I116" s="19" t="str">
        <f>IF(ISNUMBER(Media!J13)=TRUE,Media!J13,"")</f>
        <v/>
      </c>
      <c r="J116" s="19" t="str">
        <f>IF(ISNUMBER(Media!K13)=TRUE,Media!K13,"")</f>
        <v/>
      </c>
      <c r="K116" s="19" t="str">
        <f>IF(ISNUMBER(Media!L13)=TRUE,Media!L13,"")</f>
        <v/>
      </c>
      <c r="L116" s="19" t="str">
        <f>IF(ISNUMBER(Media!M13)=TRUE,Media!M13,"")</f>
        <v/>
      </c>
      <c r="M116" s="19" t="str">
        <f>IF(ISNUMBER(Media!N13)=TRUE,Media!N13,"")</f>
        <v/>
      </c>
      <c r="N116" s="19" t="str">
        <f>IF(ISNUMBER(Media!O13)=TRUE,Media!O13,"")</f>
        <v/>
      </c>
      <c r="O116" s="19" t="str">
        <f>IF(ISNUMBER(Media!P13)=TRUE,Media!P13,"")</f>
        <v/>
      </c>
      <c r="P116" s="19" t="str">
        <f>IF(ISNUMBER(Media!Q13)=TRUE,Media!Q13,"")</f>
        <v/>
      </c>
      <c r="Q116" s="19" t="str">
        <f>IF(ISNUMBER(Media!R13)=TRUE,Media!R13,"")</f>
        <v/>
      </c>
      <c r="R116" s="19" t="str">
        <f>IF(ISNUMBER(Media!S13)=TRUE,Media!S13,"")</f>
        <v/>
      </c>
      <c r="S116" s="19" t="str">
        <f>IF(ISNUMBER(Media!T13)=TRUE,Media!T13,"")</f>
        <v/>
      </c>
      <c r="T116" s="19" t="str">
        <f>IF(ISNUMBER(Media!U13)=TRUE,Media!U13,"")</f>
        <v/>
      </c>
      <c r="U116" s="19" t="str">
        <f>IF(ISNUMBER(Media!V13)=TRUE,Media!V13,"")</f>
        <v/>
      </c>
      <c r="V116" s="19" t="str">
        <f>IF(ISNUMBER(Media!W13)=TRUE,Media!W13,"")</f>
        <v/>
      </c>
      <c r="W116" s="19" t="str">
        <f>IF(ISNUMBER(Media!X13)=TRUE,Media!X13,"")</f>
        <v/>
      </c>
      <c r="X116" s="19" t="str">
        <f>IF(ISNUMBER(Media!Y13)=TRUE,Media!Y13,"")</f>
        <v/>
      </c>
      <c r="Y116" s="19" t="str">
        <f>IF(ISNUMBER(Media!Z13)=TRUE,Media!Z13,"")</f>
        <v/>
      </c>
      <c r="Z116" s="19" t="str">
        <f>IF(ISNUMBER(Media!AA13)=TRUE,Media!AA13,"")</f>
        <v/>
      </c>
      <c r="AA116" s="19" t="str">
        <f>IF(ISNUMBER(Media!AH13)=TRUE,Media!AH13,"")</f>
        <v/>
      </c>
      <c r="AB116" s="19" t="str">
        <f>IF(ISNUMBER(Media!AI13)=TRUE,Media!AI13,"")</f>
        <v/>
      </c>
      <c r="AC116" s="19" t="str">
        <f>IF(ISNUMBER(Media!AJ13)=TRUE,Media!AJ13,"")</f>
        <v/>
      </c>
    </row>
    <row r="117" spans="2:29" x14ac:dyDescent="0.25">
      <c r="B117" s="19" t="s">
        <v>18</v>
      </c>
      <c r="C117" s="19" t="s">
        <v>334</v>
      </c>
      <c r="D117" s="19">
        <f t="shared" si="11"/>
        <v>0</v>
      </c>
      <c r="E117" s="19" t="str">
        <f>IF(ISNUMBER(Media!F14)=TRUE,Media!F14,"")</f>
        <v/>
      </c>
      <c r="F117" s="19" t="str">
        <f>IF(ISNUMBER(Media!G14)=TRUE,Media!G14,"")</f>
        <v/>
      </c>
      <c r="G117" s="19" t="str">
        <f>IF(ISNUMBER(Media!H14)=TRUE,Media!H14,"")</f>
        <v/>
      </c>
      <c r="H117" s="19" t="str">
        <f>IF(ISNUMBER(Media!I14)=TRUE,Media!I14,"")</f>
        <v/>
      </c>
      <c r="I117" s="19" t="str">
        <f>IF(ISNUMBER(Media!J14)=TRUE,Media!J14,"")</f>
        <v/>
      </c>
      <c r="J117" s="19" t="str">
        <f>IF(ISNUMBER(Media!K14)=TRUE,Media!K14,"")</f>
        <v/>
      </c>
      <c r="K117" s="19" t="str">
        <f>IF(ISNUMBER(Media!L14)=TRUE,Media!L14,"")</f>
        <v/>
      </c>
      <c r="L117" s="19" t="str">
        <f>IF(ISNUMBER(Media!M14)=TRUE,Media!M14,"")</f>
        <v/>
      </c>
      <c r="M117" s="19" t="str">
        <f>IF(ISNUMBER(Media!N14)=TRUE,Media!N14,"")</f>
        <v/>
      </c>
      <c r="N117" s="19" t="str">
        <f>IF(ISNUMBER(Media!O14)=TRUE,Media!O14,"")</f>
        <v/>
      </c>
      <c r="O117" s="19" t="str">
        <f>IF(ISNUMBER(Media!P14)=TRUE,Media!P14,"")</f>
        <v/>
      </c>
      <c r="P117" s="19" t="str">
        <f>IF(ISNUMBER(Media!Q14)=TRUE,Media!Q14,"")</f>
        <v/>
      </c>
      <c r="Q117" s="19" t="str">
        <f>IF(ISNUMBER(Media!R14)=TRUE,Media!R14,"")</f>
        <v/>
      </c>
      <c r="R117" s="19" t="str">
        <f>IF(ISNUMBER(Media!S14)=TRUE,Media!S14,"")</f>
        <v/>
      </c>
      <c r="S117" s="19" t="str">
        <f>IF(ISNUMBER(Media!T14)=TRUE,Media!T14,"")</f>
        <v/>
      </c>
      <c r="T117" s="19" t="str">
        <f>IF(ISNUMBER(Media!U14)=TRUE,Media!U14,"")</f>
        <v/>
      </c>
      <c r="U117" s="19" t="str">
        <f>IF(ISNUMBER(Media!V14)=TRUE,Media!V14,"")</f>
        <v/>
      </c>
      <c r="V117" s="19" t="str">
        <f>IF(ISNUMBER(Media!W14)=TRUE,Media!W14,"")</f>
        <v/>
      </c>
      <c r="W117" s="19" t="str">
        <f>IF(ISNUMBER(Media!X14)=TRUE,Media!X14,"")</f>
        <v/>
      </c>
      <c r="X117" s="19" t="str">
        <f>IF(ISNUMBER(Media!Y14)=TRUE,Media!Y14,"")</f>
        <v/>
      </c>
      <c r="Y117" s="19" t="str">
        <f>IF(ISNUMBER(Media!Z14)=TRUE,Media!Z14,"")</f>
        <v/>
      </c>
      <c r="Z117" s="19" t="str">
        <f>IF(ISNUMBER(Media!AA14)=TRUE,Media!AA14,"")</f>
        <v/>
      </c>
      <c r="AA117" s="19" t="str">
        <f>IF(ISNUMBER(Media!AH14)=TRUE,Media!AH14,"")</f>
        <v/>
      </c>
      <c r="AB117" s="19" t="str">
        <f>IF(ISNUMBER(Media!AI14)=TRUE,Media!AI14,"")</f>
        <v/>
      </c>
      <c r="AC117" s="19" t="str">
        <f>IF(ISNUMBER(Media!AJ14)=TRUE,Media!AJ14,"")</f>
        <v/>
      </c>
    </row>
    <row r="118" spans="2:29" x14ac:dyDescent="0.25">
      <c r="B118" s="19" t="s">
        <v>18</v>
      </c>
      <c r="C118" s="19" t="s">
        <v>335</v>
      </c>
      <c r="D118" s="19">
        <f t="shared" si="11"/>
        <v>0</v>
      </c>
      <c r="E118" s="19" t="str">
        <f>IF(ISNUMBER(Media!F17)=TRUE,Media!F17,"")</f>
        <v/>
      </c>
      <c r="F118" s="19" t="str">
        <f>IF(ISNUMBER(Media!G17)=TRUE,Media!G17,"")</f>
        <v/>
      </c>
      <c r="G118" s="19" t="str">
        <f>IF(ISNUMBER(Media!H17)=TRUE,Media!H17,"")</f>
        <v/>
      </c>
      <c r="H118" s="19" t="str">
        <f>IF(ISNUMBER(Media!I17)=TRUE,Media!I17,"")</f>
        <v/>
      </c>
      <c r="I118" s="19"/>
      <c r="J118" s="19"/>
      <c r="K118" s="19"/>
      <c r="L118" s="19"/>
      <c r="M118" s="19"/>
      <c r="N118" s="19"/>
      <c r="O118" s="19"/>
      <c r="P118" s="19"/>
      <c r="Q118" s="19"/>
      <c r="R118" s="19"/>
      <c r="S118" s="19"/>
      <c r="T118" s="19"/>
      <c r="U118" s="19"/>
      <c r="V118" s="19"/>
      <c r="W118" s="19"/>
      <c r="X118" s="19"/>
      <c r="Y118" s="19"/>
      <c r="Z118" s="19"/>
      <c r="AA118" s="19"/>
      <c r="AB118" s="19"/>
      <c r="AC118" s="19"/>
    </row>
    <row r="119" spans="2:29" x14ac:dyDescent="0.25">
      <c r="B119" s="19" t="s">
        <v>18</v>
      </c>
      <c r="C119" s="19" t="s">
        <v>336</v>
      </c>
      <c r="D119" s="19">
        <f t="shared" si="11"/>
        <v>0</v>
      </c>
      <c r="E119" s="19" t="str">
        <f>IF(ISNUMBER(Media!F18)=TRUE,Media!F18,"")</f>
        <v/>
      </c>
      <c r="F119" s="19" t="str">
        <f>IF(ISNUMBER(Media!G18)=TRUE,Media!G18,"")</f>
        <v/>
      </c>
      <c r="G119" s="19" t="str">
        <f>IF(ISNUMBER(Media!H18)=TRUE,Media!H18,"")</f>
        <v/>
      </c>
      <c r="H119" s="19" t="str">
        <f>IF(ISNUMBER(Media!I18)=TRUE,Media!I18,"")</f>
        <v/>
      </c>
      <c r="I119" s="19"/>
      <c r="J119" s="19"/>
      <c r="K119" s="19"/>
      <c r="L119" s="19"/>
      <c r="M119" s="19"/>
      <c r="N119" s="19"/>
      <c r="O119" s="19"/>
      <c r="P119" s="19"/>
      <c r="Q119" s="19"/>
      <c r="R119" s="19"/>
      <c r="S119" s="19"/>
      <c r="T119" s="19"/>
      <c r="U119" s="19"/>
      <c r="V119" s="19"/>
      <c r="W119" s="19"/>
      <c r="X119" s="19"/>
      <c r="Y119" s="19"/>
      <c r="Z119" s="19"/>
      <c r="AA119" s="19"/>
      <c r="AB119" s="19"/>
      <c r="AC119" s="19"/>
    </row>
    <row r="120" spans="2:29" x14ac:dyDescent="0.25">
      <c r="B120" s="19" t="s">
        <v>18</v>
      </c>
      <c r="C120" s="19" t="s">
        <v>337</v>
      </c>
      <c r="D120" s="19">
        <f t="shared" si="11"/>
        <v>0</v>
      </c>
      <c r="E120" s="19" t="str">
        <f>IF(ISNUMBER(Media!F19)=TRUE,Media!F19,"")</f>
        <v/>
      </c>
      <c r="F120" s="19" t="str">
        <f>IF(ISNUMBER(Media!G19)=TRUE,Media!G19,"")</f>
        <v/>
      </c>
      <c r="G120" s="19" t="str">
        <f>IF(ISNUMBER(Media!H19)=TRUE,Media!H19,"")</f>
        <v/>
      </c>
      <c r="H120" s="19" t="str">
        <f>IF(ISNUMBER(Media!I19)=TRUE,Media!I19,"")</f>
        <v/>
      </c>
      <c r="I120" s="19"/>
      <c r="J120" s="19"/>
      <c r="K120" s="19"/>
      <c r="L120" s="19"/>
      <c r="M120" s="19"/>
      <c r="N120" s="19"/>
      <c r="O120" s="19"/>
      <c r="P120" s="19"/>
      <c r="Q120" s="19"/>
      <c r="R120" s="19"/>
      <c r="S120" s="19"/>
      <c r="T120" s="19"/>
      <c r="U120" s="19"/>
      <c r="V120" s="19"/>
      <c r="W120" s="19"/>
      <c r="X120" s="19"/>
      <c r="Y120" s="19"/>
      <c r="Z120" s="19"/>
      <c r="AA120" s="19"/>
      <c r="AB120" s="19"/>
      <c r="AC120" s="19"/>
    </row>
    <row r="121" spans="2:29" x14ac:dyDescent="0.25">
      <c r="B121" s="19" t="s">
        <v>18</v>
      </c>
      <c r="C121" s="19" t="s">
        <v>338</v>
      </c>
      <c r="D121" s="19">
        <f t="shared" si="11"/>
        <v>0</v>
      </c>
      <c r="E121" s="19" t="str">
        <f>IF(ISNUMBER(Media!F20)=TRUE,Media!F20,"")</f>
        <v/>
      </c>
      <c r="F121" s="19" t="str">
        <f>IF(ISNUMBER(Media!G20)=TRUE,Media!G20,"")</f>
        <v/>
      </c>
      <c r="G121" s="19" t="str">
        <f>IF(ISNUMBER(Media!H20)=TRUE,Media!H20,"")</f>
        <v/>
      </c>
      <c r="H121" s="19" t="str">
        <f>IF(ISNUMBER(Media!I20)=TRUE,Media!I20,"")</f>
        <v/>
      </c>
      <c r="I121" s="19"/>
      <c r="J121" s="19"/>
      <c r="K121" s="19"/>
      <c r="L121" s="19"/>
      <c r="M121" s="19"/>
      <c r="N121" s="19"/>
      <c r="O121" s="19"/>
      <c r="P121" s="19"/>
      <c r="Q121" s="19"/>
      <c r="R121" s="19"/>
      <c r="S121" s="19"/>
      <c r="T121" s="19"/>
      <c r="U121" s="19"/>
      <c r="V121" s="19"/>
      <c r="W121" s="19"/>
      <c r="X121" s="19"/>
      <c r="Y121" s="19"/>
      <c r="Z121" s="19"/>
      <c r="AA121" s="19"/>
      <c r="AB121" s="19"/>
      <c r="AC121" s="19"/>
    </row>
    <row r="122" spans="2:29" x14ac:dyDescent="0.25">
      <c r="B122" s="19" t="s">
        <v>18</v>
      </c>
      <c r="C122" s="19" t="s">
        <v>339</v>
      </c>
      <c r="D122" s="19">
        <f t="shared" si="11"/>
        <v>0</v>
      </c>
      <c r="E122" s="19" t="str">
        <f>IF(ISNUMBER(Media!F21)=TRUE,Media!F21,"")</f>
        <v/>
      </c>
      <c r="F122" s="19" t="str">
        <f>IF(ISNUMBER(Media!G21)=TRUE,Media!G21,"")</f>
        <v/>
      </c>
      <c r="G122" s="19" t="str">
        <f>IF(ISNUMBER(Media!H21)=TRUE,Media!H21,"")</f>
        <v/>
      </c>
      <c r="H122" s="19" t="str">
        <f>IF(ISNUMBER(Media!I21)=TRUE,Media!I21,"")</f>
        <v/>
      </c>
      <c r="I122" s="19"/>
      <c r="J122" s="19"/>
      <c r="K122" s="19"/>
      <c r="L122" s="19"/>
      <c r="M122" s="19"/>
      <c r="N122" s="19"/>
      <c r="O122" s="19"/>
      <c r="P122" s="19"/>
      <c r="Q122" s="19"/>
      <c r="R122" s="19"/>
      <c r="S122" s="19"/>
      <c r="T122" s="19"/>
      <c r="U122" s="19"/>
      <c r="V122" s="19"/>
      <c r="W122" s="19"/>
      <c r="X122" s="19"/>
      <c r="Y122" s="19"/>
      <c r="Z122" s="19"/>
      <c r="AA122" s="19"/>
      <c r="AB122" s="19"/>
      <c r="AC122" s="19"/>
    </row>
    <row r="123" spans="2:29" x14ac:dyDescent="0.25">
      <c r="B123" s="19" t="s">
        <v>18</v>
      </c>
      <c r="C123" s="19" t="s">
        <v>340</v>
      </c>
      <c r="D123" s="19">
        <f t="shared" si="11"/>
        <v>0</v>
      </c>
      <c r="E123" s="19" t="str">
        <f>IF(ISNUMBER(Media!F22)=TRUE,Media!F22,"")</f>
        <v/>
      </c>
      <c r="F123" s="19" t="str">
        <f>IF(ISNUMBER(Media!G22)=TRUE,Media!G22,"")</f>
        <v/>
      </c>
      <c r="G123" s="19" t="str">
        <f>IF(ISNUMBER(Media!H22)=TRUE,Media!H22,"")</f>
        <v/>
      </c>
      <c r="H123" s="19" t="str">
        <f>IF(ISNUMBER(Media!I22)=TRUE,Media!I22,"")</f>
        <v/>
      </c>
      <c r="I123" s="19"/>
      <c r="J123" s="19"/>
      <c r="K123" s="19"/>
      <c r="L123" s="19"/>
      <c r="M123" s="19"/>
      <c r="N123" s="19"/>
      <c r="O123" s="19"/>
      <c r="P123" s="19"/>
      <c r="Q123" s="19"/>
      <c r="R123" s="19"/>
      <c r="S123" s="19"/>
      <c r="T123" s="19"/>
      <c r="U123" s="19"/>
      <c r="V123" s="19"/>
      <c r="W123" s="19"/>
      <c r="X123" s="19"/>
      <c r="Y123" s="19"/>
      <c r="Z123" s="19"/>
      <c r="AA123" s="19"/>
      <c r="AB123" s="19"/>
      <c r="AC123" s="19"/>
    </row>
    <row r="124" spans="2:29" x14ac:dyDescent="0.25">
      <c r="B124" s="19" t="s">
        <v>18</v>
      </c>
      <c r="C124" s="19" t="s">
        <v>341</v>
      </c>
      <c r="D124" s="19">
        <f t="shared" si="11"/>
        <v>0</v>
      </c>
      <c r="E124" s="19" t="str">
        <f>IF(ISNUMBER(Media!F23)=TRUE,Media!F23,"")</f>
        <v/>
      </c>
      <c r="F124" s="19" t="str">
        <f>IF(ISNUMBER(Media!G23)=TRUE,Media!G23,"")</f>
        <v/>
      </c>
      <c r="G124" s="19" t="str">
        <f>IF(ISNUMBER(Media!H23)=TRUE,Media!H23,"")</f>
        <v/>
      </c>
      <c r="H124" s="19" t="str">
        <f>IF(ISNUMBER(Media!I23)=TRUE,Media!I23,"")</f>
        <v/>
      </c>
      <c r="I124" s="19"/>
      <c r="J124" s="19"/>
      <c r="K124" s="19"/>
      <c r="L124" s="19"/>
      <c r="M124" s="19"/>
      <c r="N124" s="19"/>
      <c r="O124" s="19"/>
      <c r="P124" s="19"/>
      <c r="Q124" s="19"/>
      <c r="R124" s="19"/>
      <c r="S124" s="19"/>
      <c r="T124" s="19"/>
      <c r="U124" s="19"/>
      <c r="V124" s="19"/>
      <c r="W124" s="19"/>
      <c r="X124" s="19"/>
      <c r="Y124" s="19"/>
      <c r="Z124" s="19"/>
      <c r="AA124" s="19"/>
      <c r="AB124" s="19"/>
      <c r="AC124" s="19"/>
    </row>
    <row r="125" spans="2:29" x14ac:dyDescent="0.25">
      <c r="B125" s="19" t="s">
        <v>18</v>
      </c>
      <c r="C125" s="19" t="s">
        <v>342</v>
      </c>
      <c r="D125" s="19">
        <f t="shared" si="11"/>
        <v>0</v>
      </c>
      <c r="E125" s="19" t="str">
        <f>IF(ISNUMBER(Media!F24)=TRUE,Media!F24,"")</f>
        <v/>
      </c>
      <c r="F125" s="19" t="str">
        <f>IF(ISNUMBER(Media!G24)=TRUE,Media!G24,"")</f>
        <v/>
      </c>
      <c r="G125" s="19" t="str">
        <f>IF(ISNUMBER(Media!H24)=TRUE,Media!H24,"")</f>
        <v/>
      </c>
      <c r="H125" s="19" t="str">
        <f>IF(ISNUMBER(Media!I24)=TRUE,Media!I24,"")</f>
        <v/>
      </c>
      <c r="I125" s="19"/>
      <c r="J125" s="19"/>
      <c r="K125" s="19"/>
      <c r="L125" s="19"/>
      <c r="M125" s="19"/>
      <c r="N125" s="19"/>
      <c r="O125" s="19"/>
      <c r="P125" s="19"/>
      <c r="Q125" s="19"/>
      <c r="R125" s="19"/>
      <c r="S125" s="19"/>
      <c r="T125" s="19"/>
      <c r="U125" s="19"/>
      <c r="V125" s="19"/>
      <c r="W125" s="19"/>
      <c r="X125" s="19"/>
      <c r="Y125" s="19"/>
      <c r="Z125" s="19"/>
      <c r="AA125" s="19"/>
      <c r="AB125" s="19"/>
      <c r="AC125" s="19"/>
    </row>
    <row r="126" spans="2:29" x14ac:dyDescent="0.25">
      <c r="B126" s="19" t="s">
        <v>18</v>
      </c>
      <c r="C126" s="19" t="s">
        <v>343</v>
      </c>
      <c r="D126" s="19">
        <f t="shared" si="11"/>
        <v>0</v>
      </c>
      <c r="E126" s="19" t="str">
        <f>IF(ISNUMBER(Media!F25)=TRUE,Media!F25,"")</f>
        <v/>
      </c>
      <c r="F126" s="19" t="str">
        <f>IF(ISNUMBER(Media!G25)=TRUE,Media!G25,"")</f>
        <v/>
      </c>
      <c r="G126" s="19" t="str">
        <f>IF(ISNUMBER(Media!H25)=TRUE,Media!H25,"")</f>
        <v/>
      </c>
      <c r="H126" s="19" t="str">
        <f>IF(ISNUMBER(Media!I25)=TRUE,Media!I25,"")</f>
        <v/>
      </c>
      <c r="I126" s="19"/>
      <c r="J126" s="19"/>
      <c r="K126" s="19"/>
      <c r="L126" s="19"/>
      <c r="M126" s="19"/>
      <c r="N126" s="19"/>
      <c r="O126" s="19"/>
      <c r="P126" s="19"/>
      <c r="Q126" s="19"/>
      <c r="R126" s="19"/>
      <c r="S126" s="19"/>
      <c r="T126" s="19"/>
      <c r="U126" s="19"/>
      <c r="V126" s="19"/>
      <c r="W126" s="19"/>
      <c r="X126" s="19"/>
      <c r="Y126" s="19"/>
      <c r="Z126" s="19"/>
      <c r="AA126" s="19"/>
      <c r="AB126" s="19"/>
      <c r="AC126" s="19"/>
    </row>
    <row r="127" spans="2:29" x14ac:dyDescent="0.25">
      <c r="B127" s="19" t="s">
        <v>18</v>
      </c>
      <c r="C127" s="19" t="s">
        <v>135</v>
      </c>
      <c r="D127" s="19">
        <f t="shared" si="11"/>
        <v>7</v>
      </c>
      <c r="E127" s="19">
        <f>IF(ISNUMBER(Media!F27)=TRUE,Media!F27*365,"")</f>
        <v>0</v>
      </c>
      <c r="F127" s="19">
        <f>IF(ISNUMBER(Media!G27)=TRUE,Media!G27*365,"")</f>
        <v>365</v>
      </c>
      <c r="G127" s="19">
        <f>IF(ISNUMBER(Media!H27)=TRUE,Media!H27*365,"")</f>
        <v>730</v>
      </c>
      <c r="H127" s="19">
        <f>IF(ISNUMBER(Media!I27)=TRUE,Media!I27*365,"")</f>
        <v>1095</v>
      </c>
      <c r="I127" s="19">
        <f>IF(ISNUMBER(Media!J27)=TRUE,Media!J27*365,"")</f>
        <v>1460</v>
      </c>
      <c r="J127" s="19">
        <f>IF(ISNUMBER(Media!K27)=TRUE,Media!K27*365,"")</f>
        <v>1825</v>
      </c>
      <c r="K127" s="19">
        <f>IF(ISNUMBER(Media!L27)=TRUE,Media!L27*365,"")</f>
        <v>2190</v>
      </c>
      <c r="L127" s="19" t="str">
        <f>IF(ISNUMBER(Media!M27)=TRUE,Media!M27*365,"")</f>
        <v/>
      </c>
      <c r="M127" s="19" t="str">
        <f>IF(ISNUMBER(Media!N27)=TRUE,Media!N27*365,"")</f>
        <v/>
      </c>
      <c r="N127" s="19" t="str">
        <f>IF(ISNUMBER(Media!O27)=TRUE,Media!O27*365,"")</f>
        <v/>
      </c>
      <c r="O127" s="19" t="str">
        <f>IF(ISNUMBER(Media!P27)=TRUE,Media!P27*365,"")</f>
        <v/>
      </c>
      <c r="P127" s="19" t="str">
        <f>IF(ISNUMBER(Media!Q27)=TRUE,Media!Q27*365,"")</f>
        <v/>
      </c>
      <c r="Q127" s="19" t="str">
        <f>IF(ISNUMBER(Media!R27)=TRUE,Media!R27*365,"")</f>
        <v/>
      </c>
      <c r="R127" s="19" t="str">
        <f>IF(ISNUMBER(Media!S27)=TRUE,Media!S27*365,"")</f>
        <v/>
      </c>
      <c r="S127" s="19" t="str">
        <f>IF(ISNUMBER(Media!T27)=TRUE,Media!T27*365,"")</f>
        <v/>
      </c>
      <c r="T127" s="19" t="str">
        <f>IF(ISNUMBER(Media!U27)=TRUE,Media!U27*365,"")</f>
        <v/>
      </c>
      <c r="U127" s="19" t="str">
        <f>IF(ISNUMBER(Media!V27)=TRUE,Media!V27*365,"")</f>
        <v/>
      </c>
      <c r="V127" s="19" t="str">
        <f>IF(ISNUMBER(Media!W27)=TRUE,Media!W27*365,"")</f>
        <v/>
      </c>
      <c r="W127" s="19" t="str">
        <f>IF(ISNUMBER(Media!X27)=TRUE,Media!X27*365,"")</f>
        <v/>
      </c>
      <c r="X127" s="19" t="str">
        <f>IF(ISNUMBER(Media!Y27)=TRUE,Media!Y27*365,"")</f>
        <v/>
      </c>
      <c r="Y127" s="19" t="str">
        <f>IF(ISNUMBER(Media!Z27)=TRUE,Media!Z27*365,"")</f>
        <v/>
      </c>
      <c r="Z127" s="19" t="str">
        <f>IF(ISNUMBER(Media!AA27)=TRUE,Media!AA27*365,"")</f>
        <v/>
      </c>
      <c r="AA127" s="19" t="str">
        <f>IF(ISNUMBER(Media!AH27)=TRUE,Media!AH27*365,"")</f>
        <v/>
      </c>
      <c r="AB127" s="19" t="str">
        <f>IF(ISNUMBER(Media!AI27)=TRUE,Media!AI27*365,"")</f>
        <v/>
      </c>
      <c r="AC127" s="19" t="str">
        <f>IF(ISNUMBER(Media!AJ27)=TRUE,Media!AJ27*365,"")</f>
        <v/>
      </c>
    </row>
    <row r="128" spans="2:29" x14ac:dyDescent="0.25">
      <c r="B128" s="19" t="s">
        <v>18</v>
      </c>
      <c r="C128" s="19" t="s">
        <v>136</v>
      </c>
      <c r="D128" s="19">
        <f t="shared" si="11"/>
        <v>7</v>
      </c>
      <c r="E128" s="19">
        <f>IF(ISNUMBER(Media!F28)=TRUE,Media!F28,"")</f>
        <v>3.8699999999999998E-2</v>
      </c>
      <c r="F128" s="19">
        <f>IF(ISNUMBER(Media!G28)=TRUE,Media!G28,"")</f>
        <v>4.2299999999999997E-2</v>
      </c>
      <c r="G128" s="19">
        <f>IF(ISNUMBER(Media!H28)=TRUE,Media!H28,"")</f>
        <v>3.015E-2</v>
      </c>
      <c r="H128" s="19">
        <f>IF(ISNUMBER(Media!I28)=TRUE,Media!I28,"")</f>
        <v>2.835E-2</v>
      </c>
      <c r="I128" s="19">
        <f>IF(ISNUMBER(Media!J28)=TRUE,Media!J28,"")</f>
        <v>3.015E-2</v>
      </c>
      <c r="J128" s="19">
        <f>IF(ISNUMBER(Media!K28)=TRUE,Media!K28,"")</f>
        <v>2.3400000000000001E-2</v>
      </c>
      <c r="K128" s="19">
        <f>IF(ISNUMBER(Media!L28)=TRUE,Media!L28,"")</f>
        <v>2.4750000000000001E-2</v>
      </c>
      <c r="L128" s="19" t="str">
        <f>IF(ISNUMBER(Media!M28)=TRUE,Media!M28,"")</f>
        <v/>
      </c>
      <c r="M128" s="19" t="str">
        <f>IF(ISNUMBER(Media!N28)=TRUE,Media!N28,"")</f>
        <v/>
      </c>
      <c r="N128" s="19" t="str">
        <f>IF(ISNUMBER(Media!O28)=TRUE,Media!O28,"")</f>
        <v/>
      </c>
      <c r="O128" s="19" t="str">
        <f>IF(ISNUMBER(Media!P28)=TRUE,Media!P28,"")</f>
        <v/>
      </c>
      <c r="P128" s="19" t="str">
        <f>IF(ISNUMBER(Media!Q28)=TRUE,Media!Q28,"")</f>
        <v/>
      </c>
      <c r="Q128" s="19" t="str">
        <f>IF(ISNUMBER(Media!R28)=TRUE,Media!R28,"")</f>
        <v/>
      </c>
      <c r="R128" s="19" t="str">
        <f>IF(ISNUMBER(Media!S28)=TRUE,Media!S28,"")</f>
        <v/>
      </c>
      <c r="S128" s="19" t="str">
        <f>IF(ISNUMBER(Media!T28)=TRUE,Media!T28,"")</f>
        <v/>
      </c>
      <c r="T128" s="19" t="str">
        <f>IF(ISNUMBER(Media!U28)=TRUE,Media!U28,"")</f>
        <v/>
      </c>
      <c r="U128" s="19" t="str">
        <f>IF(ISNUMBER(Media!V28)=TRUE,Media!V28,"")</f>
        <v/>
      </c>
      <c r="V128" s="19" t="str">
        <f>IF(ISNUMBER(Media!W28)=TRUE,Media!W28,"")</f>
        <v/>
      </c>
      <c r="W128" s="19" t="str">
        <f>IF(ISNUMBER(Media!X28)=TRUE,Media!X28,"")</f>
        <v/>
      </c>
      <c r="X128" s="19" t="str">
        <f>IF(ISNUMBER(Media!Y28)=TRUE,Media!Y28,"")</f>
        <v/>
      </c>
      <c r="Y128" s="19" t="str">
        <f>IF(ISNUMBER(Media!Z28)=TRUE,Media!Z28,"")</f>
        <v/>
      </c>
      <c r="Z128" s="19" t="str">
        <f>IF(ISNUMBER(Media!AA28)=TRUE,Media!AA28,"")</f>
        <v/>
      </c>
      <c r="AA128" s="19" t="str">
        <f>IF(ISNUMBER(Media!AH28)=TRUE,Media!AH28,"")</f>
        <v/>
      </c>
      <c r="AB128" s="19" t="str">
        <f>IF(ISNUMBER(Media!AI28)=TRUE,Media!AI28,"")</f>
        <v/>
      </c>
      <c r="AC128" s="19" t="str">
        <f>IF(ISNUMBER(Media!AJ28)=TRUE,Media!AJ28,"")</f>
        <v/>
      </c>
    </row>
    <row r="129" spans="2:29" x14ac:dyDescent="0.25">
      <c r="B129" s="19" t="s">
        <v>18</v>
      </c>
      <c r="C129" s="19" t="s">
        <v>137</v>
      </c>
      <c r="D129" s="19">
        <f t="shared" si="11"/>
        <v>7</v>
      </c>
      <c r="E129" s="19">
        <f>IF(ISNUMBER(Media!F29)=TRUE,Media!F29,"")</f>
        <v>1</v>
      </c>
      <c r="F129" s="19">
        <f>IF(ISNUMBER(Media!G29)=TRUE,Media!G29,"")</f>
        <v>1</v>
      </c>
      <c r="G129" s="19">
        <f>IF(ISNUMBER(Media!H29)=TRUE,Media!H29,"")</f>
        <v>1</v>
      </c>
      <c r="H129" s="19">
        <f>IF(ISNUMBER(Media!I29)=TRUE,Media!I29,"")</f>
        <v>1</v>
      </c>
      <c r="I129" s="19">
        <f>IF(ISNUMBER(Media!J29)=TRUE,Media!J29,"")</f>
        <v>1</v>
      </c>
      <c r="J129" s="19">
        <f>IF(ISNUMBER(Media!K29)=TRUE,Media!K29,"")</f>
        <v>1</v>
      </c>
      <c r="K129" s="19">
        <f>IF(ISNUMBER(Media!L29)=TRUE,Media!L29,"")</f>
        <v>1</v>
      </c>
      <c r="L129" s="19" t="str">
        <f>IF(ISNUMBER(Media!M29)=TRUE,Media!M29,"")</f>
        <v/>
      </c>
      <c r="M129" s="19" t="str">
        <f>IF(ISNUMBER(Media!#REF!)=TRUE,Media!#REF!,"")</f>
        <v/>
      </c>
      <c r="N129" s="19" t="str">
        <f>IF(ISNUMBER(Media!N29)=TRUE,Media!N29,"")</f>
        <v/>
      </c>
      <c r="O129" s="19" t="str">
        <f>IF(ISNUMBER(Media!P29)=TRUE,Media!P29,"")</f>
        <v/>
      </c>
      <c r="P129" s="19" t="str">
        <f>IF(ISNUMBER(Media!Q29)=TRUE,Media!Q29,"")</f>
        <v/>
      </c>
      <c r="Q129" s="19" t="str">
        <f>IF(ISNUMBER(Media!R29)=TRUE,Media!R29,"")</f>
        <v/>
      </c>
      <c r="R129" s="19" t="str">
        <f>IF(ISNUMBER(Media!S29)=TRUE,Media!S29,"")</f>
        <v/>
      </c>
      <c r="S129" s="19" t="str">
        <f>IF(ISNUMBER(Media!T29)=TRUE,Media!T29,"")</f>
        <v/>
      </c>
      <c r="T129" s="19" t="str">
        <f>IF(ISNUMBER(Media!U29)=TRUE,Media!U29,"")</f>
        <v/>
      </c>
      <c r="U129" s="19" t="str">
        <f>IF(ISNUMBER(Media!V29)=TRUE,Media!V29,"")</f>
        <v/>
      </c>
      <c r="V129" s="19" t="str">
        <f>IF(ISNUMBER(Media!W29)=TRUE,Media!W29,"")</f>
        <v/>
      </c>
      <c r="W129" s="19" t="str">
        <f>IF(ISNUMBER(Media!X29)=TRUE,Media!X29,"")</f>
        <v/>
      </c>
      <c r="X129" s="19" t="str">
        <f>IF(ISNUMBER(Media!Y29)=TRUE,Media!Y29,"")</f>
        <v/>
      </c>
      <c r="Y129" s="19" t="str">
        <f>IF(ISNUMBER(Media!Z29)=TRUE,Media!Z29,"")</f>
        <v/>
      </c>
      <c r="Z129" s="19" t="str">
        <f>IF(ISNUMBER(Media!AA29)=TRUE,Media!AA29,"")</f>
        <v/>
      </c>
      <c r="AA129" s="19" t="str">
        <f>IF(ISNUMBER(Media!AH29)=TRUE,Media!AH29,"")</f>
        <v/>
      </c>
      <c r="AB129" s="19" t="str">
        <f>IF(ISNUMBER(Media!AI29)=TRUE,Media!AI29,"")</f>
        <v/>
      </c>
      <c r="AC129" s="19" t="str">
        <f>IF(ISNUMBER(Media!AJ29)=TRUE,Media!AJ29,"")</f>
        <v/>
      </c>
    </row>
    <row r="130" spans="2:29" x14ac:dyDescent="0.25">
      <c r="B130" s="19" t="s">
        <v>18</v>
      </c>
      <c r="C130" s="19" t="s">
        <v>344</v>
      </c>
      <c r="D130" s="19">
        <f t="shared" si="11"/>
        <v>0</v>
      </c>
      <c r="E130" s="19" t="str">
        <f>IF(ISNUMBER(Media!F30)=TRUE,Media!F30,"")</f>
        <v/>
      </c>
      <c r="F130" s="19" t="str">
        <f>IF(ISNUMBER(Media!G30)=TRUE,Media!G30,"")</f>
        <v/>
      </c>
      <c r="G130" s="19" t="str">
        <f>IF(ISNUMBER(Media!H30)=TRUE,Media!H30,"")</f>
        <v/>
      </c>
      <c r="H130" s="19" t="str">
        <f>IF(ISNUMBER(Media!I30)=TRUE,Media!I30,"")</f>
        <v/>
      </c>
      <c r="I130" s="19" t="str">
        <f>IF(ISNUMBER(Media!J30)=TRUE,Media!J30,"")</f>
        <v/>
      </c>
      <c r="J130" s="19" t="str">
        <f>IF(ISNUMBER(Media!K30)=TRUE,Media!K30,"")</f>
        <v/>
      </c>
      <c r="K130" s="19" t="str">
        <f>IF(ISNUMBER(Media!L30)=TRUE,Media!L30,"")</f>
        <v/>
      </c>
      <c r="L130" s="19" t="str">
        <f>IF(ISNUMBER(Media!M30)=TRUE,Media!M30,"")</f>
        <v/>
      </c>
      <c r="M130" s="19" t="str">
        <f>IF(ISNUMBER(Media!N30)=TRUE,Media!N30,"")</f>
        <v/>
      </c>
      <c r="N130" s="19" t="str">
        <f>IF(ISNUMBER(Media!O30)=TRUE,Media!O30,"")</f>
        <v/>
      </c>
      <c r="O130" s="19" t="str">
        <f>IF(ISNUMBER(Media!P30)=TRUE,Media!P30,"")</f>
        <v/>
      </c>
      <c r="P130" s="19" t="str">
        <f>IF(ISNUMBER(Media!Q30)=TRUE,Media!Q30,"")</f>
        <v/>
      </c>
      <c r="Q130" s="19" t="str">
        <f>IF(ISNUMBER(Media!R30)=TRUE,Media!R30,"")</f>
        <v/>
      </c>
      <c r="R130" s="19" t="str">
        <f>IF(ISNUMBER(Media!S30)=TRUE,Media!S30,"")</f>
        <v/>
      </c>
      <c r="S130" s="19" t="str">
        <f>IF(ISNUMBER(Media!T30)=TRUE,Media!T30,"")</f>
        <v/>
      </c>
      <c r="T130" s="19" t="str">
        <f>IF(ISNUMBER(Media!U30)=TRUE,Media!U30,"")</f>
        <v/>
      </c>
      <c r="U130" s="19" t="str">
        <f>IF(ISNUMBER(Media!V30)=TRUE,Media!V30,"")</f>
        <v/>
      </c>
      <c r="V130" s="19" t="str">
        <f>IF(ISNUMBER(Media!W30)=TRUE,Media!W30,"")</f>
        <v/>
      </c>
      <c r="W130" s="19" t="str">
        <f>IF(ISNUMBER(Media!X30)=TRUE,Media!X30,"")</f>
        <v/>
      </c>
      <c r="X130" s="19" t="str">
        <f>IF(ISNUMBER(Media!Y30)=TRUE,Media!Y30,"")</f>
        <v/>
      </c>
      <c r="Y130" s="19" t="str">
        <f>IF(ISNUMBER(Media!Z30)=TRUE,Media!Z30,"")</f>
        <v/>
      </c>
      <c r="Z130" s="19" t="str">
        <f>IF(ISNUMBER(Media!AA30)=TRUE,Media!AA30,"")</f>
        <v/>
      </c>
      <c r="AA130" s="19" t="str">
        <f>IF(ISNUMBER(Media!AH30)=TRUE,Media!AH30,"")</f>
        <v/>
      </c>
      <c r="AB130" s="19" t="str">
        <f>IF(ISNUMBER(Media!AI30)=TRUE,Media!AI30,"")</f>
        <v/>
      </c>
      <c r="AC130" s="19" t="str">
        <f>IF(ISNUMBER(Media!AJ30)=TRUE,Media!AJ30,"")</f>
        <v/>
      </c>
    </row>
    <row r="131" spans="2:29" x14ac:dyDescent="0.25">
      <c r="B131" s="19" t="s">
        <v>18</v>
      </c>
      <c r="C131" s="19" t="s">
        <v>345</v>
      </c>
      <c r="D131" s="19">
        <f t="shared" si="11"/>
        <v>0</v>
      </c>
      <c r="E131" s="19" t="str">
        <f>IF(ISNUMBER(Media!F31)=TRUE,Media!F31,"")</f>
        <v/>
      </c>
      <c r="F131" s="19" t="str">
        <f>IF(ISNUMBER(Media!G31)=TRUE,Media!G31,"")</f>
        <v/>
      </c>
      <c r="G131" s="19" t="str">
        <f>IF(ISNUMBER(Media!H31)=TRUE,Media!H31,"")</f>
        <v/>
      </c>
      <c r="H131" s="19" t="str">
        <f>IF(ISNUMBER(Media!I31)=TRUE,Media!I31,"")</f>
        <v/>
      </c>
      <c r="I131" s="19" t="str">
        <f>IF(ISNUMBER(Media!J31)=TRUE,Media!J31,"")</f>
        <v/>
      </c>
      <c r="J131" s="19" t="str">
        <f>IF(ISNUMBER(Media!K31)=TRUE,Media!K31,"")</f>
        <v/>
      </c>
      <c r="K131" s="19" t="str">
        <f>IF(ISNUMBER(Media!L31)=TRUE,Media!L31,"")</f>
        <v/>
      </c>
      <c r="L131" s="19" t="str">
        <f>IF(ISNUMBER(Media!M31)=TRUE,Media!M31,"")</f>
        <v/>
      </c>
      <c r="M131" s="19" t="str">
        <f>IF(ISNUMBER(Media!N31)=TRUE,Media!N31,"")</f>
        <v/>
      </c>
      <c r="N131" s="19" t="str">
        <f>IF(ISNUMBER(Media!O31)=TRUE,Media!O31,"")</f>
        <v/>
      </c>
      <c r="O131" s="19" t="str">
        <f>IF(ISNUMBER(Media!P31)=TRUE,Media!P31,"")</f>
        <v/>
      </c>
      <c r="P131" s="19" t="str">
        <f>IF(ISNUMBER(Media!Q31)=TRUE,Media!Q31,"")</f>
        <v/>
      </c>
      <c r="Q131" s="19" t="str">
        <f>IF(ISNUMBER(Media!R31)=TRUE,Media!R31,"")</f>
        <v/>
      </c>
      <c r="R131" s="19" t="str">
        <f>IF(ISNUMBER(Media!S31)=TRUE,Media!S31,"")</f>
        <v/>
      </c>
      <c r="S131" s="19" t="str">
        <f>IF(ISNUMBER(Media!T31)=TRUE,Media!T31,"")</f>
        <v/>
      </c>
      <c r="T131" s="19" t="str">
        <f>IF(ISNUMBER(Media!U31)=TRUE,Media!U31,"")</f>
        <v/>
      </c>
      <c r="U131" s="19" t="str">
        <f>IF(ISNUMBER(Media!V31)=TRUE,Media!V31,"")</f>
        <v/>
      </c>
      <c r="V131" s="19" t="str">
        <f>IF(ISNUMBER(Media!W31)=TRUE,Media!W31,"")</f>
        <v/>
      </c>
      <c r="W131" s="19" t="str">
        <f>IF(ISNUMBER(Media!X31)=TRUE,Media!X31,"")</f>
        <v/>
      </c>
      <c r="X131" s="19" t="str">
        <f>IF(ISNUMBER(Media!Y31)=TRUE,Media!Y31,"")</f>
        <v/>
      </c>
      <c r="Y131" s="19" t="str">
        <f>IF(ISNUMBER(Media!Z31)=TRUE,Media!Z31,"")</f>
        <v/>
      </c>
      <c r="Z131" s="19" t="str">
        <f>IF(ISNUMBER(Media!AA31)=TRUE,Media!AA31,"")</f>
        <v/>
      </c>
      <c r="AA131" s="19" t="str">
        <f>IF(ISNUMBER(Media!AH31)=TRUE,Media!AH31,"")</f>
        <v/>
      </c>
      <c r="AB131" s="19" t="str">
        <f>IF(ISNUMBER(Media!AI31)=TRUE,Media!AI31,"")</f>
        <v/>
      </c>
      <c r="AC131" s="19" t="str">
        <f>IF(ISNUMBER(Media!AJ31)=TRUE,Media!AJ31,"")</f>
        <v/>
      </c>
    </row>
    <row r="132" spans="2:29" x14ac:dyDescent="0.25">
      <c r="B132" s="19" t="s">
        <v>18</v>
      </c>
      <c r="C132" s="19" t="s">
        <v>138</v>
      </c>
      <c r="D132" s="19">
        <f t="shared" si="11"/>
        <v>1</v>
      </c>
      <c r="E132" s="19">
        <f>IF(ISNUMBER(Media!F33)=TRUE,Media!F33,"")</f>
        <v>0.6</v>
      </c>
      <c r="F132" s="19" t="str">
        <f>IF(ISNUMBER(Media!F34)=TRUE,Media!F34,"")</f>
        <v/>
      </c>
      <c r="G132" s="19" t="str">
        <f>IF(ISNUMBER(Media!F35)=TRUE,Media!F35,"")</f>
        <v/>
      </c>
      <c r="H132" s="19"/>
      <c r="I132" s="19"/>
      <c r="J132" s="19"/>
      <c r="K132" s="19"/>
      <c r="L132" s="19"/>
      <c r="M132" s="19"/>
      <c r="N132" s="19"/>
      <c r="O132" s="19"/>
      <c r="P132" s="19"/>
      <c r="Q132" s="19"/>
      <c r="R132" s="19"/>
      <c r="S132" s="19"/>
      <c r="T132" s="19"/>
      <c r="U132" s="19"/>
      <c r="V132" s="19"/>
      <c r="W132" s="19"/>
      <c r="X132" s="19"/>
      <c r="Y132" s="19"/>
      <c r="Z132" s="19"/>
      <c r="AA132" s="19"/>
      <c r="AB132" s="19"/>
      <c r="AC132" s="19"/>
    </row>
    <row r="133" spans="2:29" x14ac:dyDescent="0.25">
      <c r="B133" s="19" t="s">
        <v>20</v>
      </c>
      <c r="C133" s="19" t="s">
        <v>132</v>
      </c>
      <c r="D133" s="19">
        <f>IF(E133&gt;=1,1,0)</f>
        <v>0</v>
      </c>
      <c r="E133" s="19">
        <f>Dust_NSource</f>
        <v>0</v>
      </c>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row>
    <row r="134" spans="2:29" x14ac:dyDescent="0.25">
      <c r="B134" s="19" t="s">
        <v>20</v>
      </c>
      <c r="C134" s="19" t="s">
        <v>133</v>
      </c>
      <c r="D134" s="19">
        <f t="shared" ref="D134:D152" si="12">COUNT(E134:AC134)</f>
        <v>1</v>
      </c>
      <c r="E134" s="19">
        <f>IF(ISNUMBER(Media!F38)=TRUE,Media!F38*365,"")</f>
        <v>0</v>
      </c>
      <c r="F134" s="19" t="str">
        <f>IF(ISNUMBER(Media!G38)=TRUE,Media!G38*365,"")</f>
        <v/>
      </c>
      <c r="G134" s="19" t="str">
        <f>IF(ISNUMBER(Media!H38)=TRUE,Media!H38*365,"")</f>
        <v/>
      </c>
      <c r="H134" s="19" t="str">
        <f>IF(ISNUMBER(Media!I38)=TRUE,Media!I38*365,"")</f>
        <v/>
      </c>
      <c r="I134" s="19" t="str">
        <f>IF(ISNUMBER(Media!J38)=TRUE,Media!J38*365,"")</f>
        <v/>
      </c>
      <c r="J134" s="19" t="str">
        <f>IF(ISNUMBER(Media!K38)=TRUE,Media!K38*365,"")</f>
        <v/>
      </c>
      <c r="K134" s="19" t="str">
        <f>IF(ISNUMBER(Media!L38)=TRUE,Media!L38*365,"")</f>
        <v/>
      </c>
      <c r="L134" s="19" t="str">
        <f>IF(ISNUMBER(Media!M38)=TRUE,Media!M38*365,"")</f>
        <v/>
      </c>
      <c r="M134" s="19" t="str">
        <f>IF(ISNUMBER(Media!N38)=TRUE,Media!N38*365,"")</f>
        <v/>
      </c>
      <c r="N134" s="19" t="str">
        <f>IF(ISNUMBER(Media!O38)=TRUE,Media!O38*365,"")</f>
        <v/>
      </c>
      <c r="O134" s="19" t="str">
        <f>IF(ISNUMBER(Media!P38)=TRUE,Media!P38*365,"")</f>
        <v/>
      </c>
      <c r="P134" s="19" t="str">
        <f>IF(ISNUMBER(Media!Q38)=TRUE,Media!Q38*365,"")</f>
        <v/>
      </c>
      <c r="Q134" s="19" t="str">
        <f>IF(ISNUMBER(Media!R38)=TRUE,Media!R38*365,"")</f>
        <v/>
      </c>
      <c r="R134" s="19" t="str">
        <f>IF(ISNUMBER(Media!S38)=TRUE,Media!S38*365,"")</f>
        <v/>
      </c>
      <c r="S134" s="19" t="str">
        <f>IF(ISNUMBER(Media!T38)=TRUE,Media!T38*365,"")</f>
        <v/>
      </c>
      <c r="T134" s="19" t="str">
        <f>IF(ISNUMBER(Media!U38)=TRUE,Media!U38*365,"")</f>
        <v/>
      </c>
      <c r="U134" s="19" t="str">
        <f>IF(ISNUMBER(Media!V38)=TRUE,Media!V38*365,"")</f>
        <v/>
      </c>
      <c r="V134" s="19" t="str">
        <f>IF(ISNUMBER(Media!W38)=TRUE,Media!W38*365,"")</f>
        <v/>
      </c>
      <c r="W134" s="19" t="str">
        <f>IF(ISNUMBER(Media!X38)=TRUE,Media!X38*365,"")</f>
        <v/>
      </c>
      <c r="X134" s="19" t="str">
        <f>IF(ISNUMBER(Media!Y38)=TRUE,Media!Y38*365,"")</f>
        <v/>
      </c>
      <c r="Y134" s="19" t="str">
        <f>IF(ISNUMBER(Media!Z38)=TRUE,Media!Z38*365,"")</f>
        <v/>
      </c>
      <c r="Z134" s="19" t="str">
        <f>IF(ISNUMBER(Media!AA38)=TRUE,Media!AA38*365,"")</f>
        <v/>
      </c>
      <c r="AA134" s="19" t="str">
        <f>IF(ISNUMBER(Media!AH38)=TRUE,Media!AH38*365,"")</f>
        <v/>
      </c>
      <c r="AB134" s="19" t="str">
        <f>IF(ISNUMBER(Media!AI38)=TRUE,Media!AI38*365,"")</f>
        <v/>
      </c>
      <c r="AC134" s="19" t="str">
        <f>IF(ISNUMBER(Media!AJ38)=TRUE,Media!AJ38*365,"")</f>
        <v/>
      </c>
    </row>
    <row r="135" spans="2:29" x14ac:dyDescent="0.25">
      <c r="B135" s="19" t="s">
        <v>20</v>
      </c>
      <c r="C135" s="19" t="s">
        <v>134</v>
      </c>
      <c r="D135" s="19">
        <f t="shared" si="12"/>
        <v>1</v>
      </c>
      <c r="E135" s="19">
        <f>IF(ISNUMBER(Media!F39)=TRUE,Media!F39,"")</f>
        <v>10</v>
      </c>
      <c r="F135" s="19" t="str">
        <f>IF(ISNUMBER(Media!G39)=TRUE,Media!G39,"")</f>
        <v/>
      </c>
      <c r="G135" s="19" t="str">
        <f>IF(ISNUMBER(Media!H39)=TRUE,Media!H39,"")</f>
        <v/>
      </c>
      <c r="H135" s="19" t="str">
        <f>IF(ISNUMBER(Media!I39)=TRUE,Media!I39,"")</f>
        <v/>
      </c>
      <c r="I135" s="19" t="str">
        <f>IF(ISNUMBER(Media!J39)=TRUE,Media!J39,"")</f>
        <v/>
      </c>
      <c r="J135" s="19" t="str">
        <f>IF(ISNUMBER(Media!K39)=TRUE,Media!K39,"")</f>
        <v/>
      </c>
      <c r="K135" s="19" t="str">
        <f>IF(ISNUMBER(Media!L39)=TRUE,Media!L39,"")</f>
        <v/>
      </c>
      <c r="L135" s="19" t="str">
        <f>IF(ISNUMBER(Media!M39)=TRUE,Media!M39,"")</f>
        <v/>
      </c>
      <c r="M135" s="19" t="str">
        <f>IF(ISNUMBER(Media!N39)=TRUE,Media!N39,"")</f>
        <v/>
      </c>
      <c r="N135" s="19" t="str">
        <f>IF(ISNUMBER(Media!O39)=TRUE,Media!O39,"")</f>
        <v/>
      </c>
      <c r="O135" s="19" t="str">
        <f>IF(ISNUMBER(Media!P39)=TRUE,Media!P39,"")</f>
        <v/>
      </c>
      <c r="P135" s="19" t="str">
        <f>IF(ISNUMBER(Media!Q39)=TRUE,Media!Q39,"")</f>
        <v/>
      </c>
      <c r="Q135" s="19" t="str">
        <f>IF(ISNUMBER(Media!R39)=TRUE,Media!R39,"")</f>
        <v/>
      </c>
      <c r="R135" s="19" t="str">
        <f>IF(ISNUMBER(Media!S39)=TRUE,Media!S39,"")</f>
        <v/>
      </c>
      <c r="S135" s="19" t="str">
        <f>IF(ISNUMBER(Media!T39)=TRUE,Media!T39,"")</f>
        <v/>
      </c>
      <c r="T135" s="19" t="str">
        <f>IF(ISNUMBER(Media!U39)=TRUE,Media!U39,"")</f>
        <v/>
      </c>
      <c r="U135" s="19" t="str">
        <f>IF(ISNUMBER(Media!V39)=TRUE,Media!V39,"")</f>
        <v/>
      </c>
      <c r="V135" s="19" t="str">
        <f>IF(ISNUMBER(Media!W39)=TRUE,Media!W39,"")</f>
        <v/>
      </c>
      <c r="W135" s="19" t="str">
        <f>IF(ISNUMBER(Media!X39)=TRUE,Media!X39,"")</f>
        <v/>
      </c>
      <c r="X135" s="19" t="str">
        <f>IF(ISNUMBER(Media!Y39)=TRUE,Media!Y39,"")</f>
        <v/>
      </c>
      <c r="Y135" s="19" t="str">
        <f>IF(ISNUMBER(Media!Z39)=TRUE,Media!Z39,"")</f>
        <v/>
      </c>
      <c r="Z135" s="19" t="str">
        <f>IF(ISNUMBER(Media!AA39)=TRUE,Media!AA39,"")</f>
        <v/>
      </c>
      <c r="AA135" s="19" t="str">
        <f>IF(ISNUMBER(Media!AH39)=TRUE,Media!AH39,"")</f>
        <v/>
      </c>
      <c r="AB135" s="19" t="str">
        <f>IF(ISNUMBER(Media!AI39)=TRUE,Media!AI39,"")</f>
        <v/>
      </c>
      <c r="AC135" s="19" t="str">
        <f>IF(ISNUMBER(Media!AJ39)=TRUE,Media!AJ39,"")</f>
        <v/>
      </c>
    </row>
    <row r="136" spans="2:29" x14ac:dyDescent="0.25">
      <c r="B136" s="19" t="s">
        <v>20</v>
      </c>
      <c r="C136" s="19" t="s">
        <v>333</v>
      </c>
      <c r="D136" s="19">
        <f t="shared" si="12"/>
        <v>0</v>
      </c>
      <c r="E136" s="19" t="str">
        <f>IF(ISNUMBER(Media!F40)=TRUE,Media!F40,"")</f>
        <v/>
      </c>
      <c r="F136" s="19" t="str">
        <f>IF(ISNUMBER(Media!G40)=TRUE,Media!G40,"")</f>
        <v/>
      </c>
      <c r="G136" s="19" t="str">
        <f>IF(ISNUMBER(Media!H40)=TRUE,Media!H40,"")</f>
        <v/>
      </c>
      <c r="H136" s="19" t="str">
        <f>IF(ISNUMBER(Media!I40)=TRUE,Media!I40,"")</f>
        <v/>
      </c>
      <c r="I136" s="19" t="str">
        <f>IF(ISNUMBER(Media!J40)=TRUE,Media!J40,"")</f>
        <v/>
      </c>
      <c r="J136" s="19" t="str">
        <f>IF(ISNUMBER(Media!K40)=TRUE,Media!K40,"")</f>
        <v/>
      </c>
      <c r="K136" s="19" t="str">
        <f>IF(ISNUMBER(Media!L40)=TRUE,Media!L40,"")</f>
        <v/>
      </c>
      <c r="L136" s="19" t="str">
        <f>IF(ISNUMBER(Media!M40)=TRUE,Media!M40,"")</f>
        <v/>
      </c>
      <c r="M136" s="19" t="str">
        <f>IF(ISNUMBER(Media!N40)=TRUE,Media!N40,"")</f>
        <v/>
      </c>
      <c r="N136" s="19" t="str">
        <f>IF(ISNUMBER(Media!O40)=TRUE,Media!O40,"")</f>
        <v/>
      </c>
      <c r="O136" s="19" t="str">
        <f>IF(ISNUMBER(Media!P40)=TRUE,Media!P40,"")</f>
        <v/>
      </c>
      <c r="P136" s="19" t="str">
        <f>IF(ISNUMBER(Media!Q40)=TRUE,Media!Q40,"")</f>
        <v/>
      </c>
      <c r="Q136" s="19" t="str">
        <f>IF(ISNUMBER(Media!R40)=TRUE,Media!R40,"")</f>
        <v/>
      </c>
      <c r="R136" s="19" t="str">
        <f>IF(ISNUMBER(Media!S40)=TRUE,Media!S40,"")</f>
        <v/>
      </c>
      <c r="S136" s="19" t="str">
        <f>IF(ISNUMBER(Media!T40)=TRUE,Media!T40,"")</f>
        <v/>
      </c>
      <c r="T136" s="19" t="str">
        <f>IF(ISNUMBER(Media!U40)=TRUE,Media!U40,"")</f>
        <v/>
      </c>
      <c r="U136" s="19" t="str">
        <f>IF(ISNUMBER(Media!V40)=TRUE,Media!V40,"")</f>
        <v/>
      </c>
      <c r="V136" s="19" t="str">
        <f>IF(ISNUMBER(Media!W40)=TRUE,Media!W40,"")</f>
        <v/>
      </c>
      <c r="W136" s="19" t="str">
        <f>IF(ISNUMBER(Media!X40)=TRUE,Media!X40,"")</f>
        <v/>
      </c>
      <c r="X136" s="19" t="str">
        <f>IF(ISNUMBER(Media!Y40)=TRUE,Media!Y40,"")</f>
        <v/>
      </c>
      <c r="Y136" s="19" t="str">
        <f>IF(ISNUMBER(Media!Z40)=TRUE,Media!Z40,"")</f>
        <v/>
      </c>
      <c r="Z136" s="19" t="str">
        <f>IF(ISNUMBER(Media!AA40)=TRUE,Media!AA40,"")</f>
        <v/>
      </c>
      <c r="AA136" s="19" t="str">
        <f>IF(ISNUMBER(Media!AH40)=TRUE,Media!AH40,"")</f>
        <v/>
      </c>
      <c r="AB136" s="19" t="str">
        <f>IF(ISNUMBER(Media!AI40)=TRUE,Media!AI40,"")</f>
        <v/>
      </c>
      <c r="AC136" s="19" t="str">
        <f>IF(ISNUMBER(Media!AJ40)=TRUE,Media!AJ40,"")</f>
        <v/>
      </c>
    </row>
    <row r="137" spans="2:29" x14ac:dyDescent="0.25">
      <c r="B137" s="19" t="s">
        <v>20</v>
      </c>
      <c r="C137" s="19" t="s">
        <v>334</v>
      </c>
      <c r="D137" s="19">
        <f t="shared" si="12"/>
        <v>0</v>
      </c>
      <c r="E137" s="19" t="str">
        <f>IF(ISNUMBER(Media!F41)=TRUE,Media!F41,"")</f>
        <v/>
      </c>
      <c r="F137" s="19" t="str">
        <f>IF(ISNUMBER(Media!G41)=TRUE,Media!G41,"")</f>
        <v/>
      </c>
      <c r="G137" s="19" t="str">
        <f>IF(ISNUMBER(Media!H41)=TRUE,Media!H41,"")</f>
        <v/>
      </c>
      <c r="H137" s="19" t="str">
        <f>IF(ISNUMBER(Media!I41)=TRUE,Media!I41,"")</f>
        <v/>
      </c>
      <c r="I137" s="19" t="str">
        <f>IF(ISNUMBER(Media!J41)=TRUE,Media!J41,"")</f>
        <v/>
      </c>
      <c r="J137" s="19" t="str">
        <f>IF(ISNUMBER(Media!K41)=TRUE,Media!K41,"")</f>
        <v/>
      </c>
      <c r="K137" s="19" t="str">
        <f>IF(ISNUMBER(Media!L41)=TRUE,Media!L41,"")</f>
        <v/>
      </c>
      <c r="L137" s="19" t="str">
        <f>IF(ISNUMBER(Media!M41)=TRUE,Media!M41,"")</f>
        <v/>
      </c>
      <c r="M137" s="19" t="str">
        <f>IF(ISNUMBER(Media!N41)=TRUE,Media!N41,"")</f>
        <v/>
      </c>
      <c r="N137" s="19" t="str">
        <f>IF(ISNUMBER(Media!O41)=TRUE,Media!O41,"")</f>
        <v/>
      </c>
      <c r="O137" s="19" t="str">
        <f>IF(ISNUMBER(Media!P41)=TRUE,Media!P41,"")</f>
        <v/>
      </c>
      <c r="P137" s="19" t="str">
        <f>IF(ISNUMBER(Media!Q41)=TRUE,Media!Q41,"")</f>
        <v/>
      </c>
      <c r="Q137" s="19" t="str">
        <f>IF(ISNUMBER(Media!R41)=TRUE,Media!R41,"")</f>
        <v/>
      </c>
      <c r="R137" s="19" t="str">
        <f>IF(ISNUMBER(Media!S41)=TRUE,Media!S41,"")</f>
        <v/>
      </c>
      <c r="S137" s="19" t="str">
        <f>IF(ISNUMBER(Media!T41)=TRUE,Media!T41,"")</f>
        <v/>
      </c>
      <c r="T137" s="19" t="str">
        <f>IF(ISNUMBER(Media!U41)=TRUE,Media!U41,"")</f>
        <v/>
      </c>
      <c r="U137" s="19" t="str">
        <f>IF(ISNUMBER(Media!V41)=TRUE,Media!V41,"")</f>
        <v/>
      </c>
      <c r="V137" s="19" t="str">
        <f>IF(ISNUMBER(Media!W41)=TRUE,Media!W41,"")</f>
        <v/>
      </c>
      <c r="W137" s="19" t="str">
        <f>IF(ISNUMBER(Media!X41)=TRUE,Media!X41,"")</f>
        <v/>
      </c>
      <c r="X137" s="19" t="str">
        <f>IF(ISNUMBER(Media!Y41)=TRUE,Media!Y41,"")</f>
        <v/>
      </c>
      <c r="Y137" s="19" t="str">
        <f>IF(ISNUMBER(Media!Z41)=TRUE,Media!Z41,"")</f>
        <v/>
      </c>
      <c r="Z137" s="19" t="str">
        <f>IF(ISNUMBER(Media!AA41)=TRUE,Media!AA41,"")</f>
        <v/>
      </c>
      <c r="AA137" s="19" t="str">
        <f>IF(ISNUMBER(Media!AH41)=TRUE,Media!AH41,"")</f>
        <v/>
      </c>
      <c r="AB137" s="19" t="str">
        <f>IF(ISNUMBER(Media!AI41)=TRUE,Media!AI41,"")</f>
        <v/>
      </c>
      <c r="AC137" s="19" t="str">
        <f>IF(ISNUMBER(Media!AJ41)=TRUE,Media!AJ41,"")</f>
        <v/>
      </c>
    </row>
    <row r="138" spans="2:29" x14ac:dyDescent="0.25">
      <c r="B138" s="19" t="s">
        <v>20</v>
      </c>
      <c r="C138" s="19" t="s">
        <v>335</v>
      </c>
      <c r="D138" s="19">
        <f t="shared" si="12"/>
        <v>0</v>
      </c>
      <c r="E138" s="19" t="str">
        <f>IF(ISNUMBER(Media!F44)=TRUE,Media!F44,"")</f>
        <v/>
      </c>
      <c r="F138" s="19" t="str">
        <f>IF(ISNUMBER(Media!G44)=TRUE,Media!G44,"")</f>
        <v/>
      </c>
      <c r="G138" s="19" t="str">
        <f>IF(ISNUMBER(Media!H44)=TRUE,Media!H44,"")</f>
        <v/>
      </c>
      <c r="H138" s="19" t="str">
        <f>IF(ISNUMBER(Media!I44)=TRUE,Media!I44,"")</f>
        <v/>
      </c>
      <c r="I138" s="19"/>
      <c r="J138" s="19"/>
      <c r="K138" s="19"/>
      <c r="L138" s="19"/>
      <c r="M138" s="19"/>
      <c r="N138" s="19"/>
      <c r="O138" s="19"/>
      <c r="P138" s="19"/>
      <c r="Q138" s="19"/>
      <c r="R138" s="19"/>
      <c r="S138" s="19"/>
      <c r="T138" s="19"/>
      <c r="U138" s="19"/>
      <c r="V138" s="19"/>
      <c r="W138" s="19"/>
      <c r="X138" s="19"/>
      <c r="Y138" s="19"/>
      <c r="Z138" s="19"/>
      <c r="AA138" s="19"/>
      <c r="AB138" s="19"/>
      <c r="AC138" s="19"/>
    </row>
    <row r="139" spans="2:29" x14ac:dyDescent="0.25">
      <c r="B139" s="19" t="s">
        <v>20</v>
      </c>
      <c r="C139" s="19" t="s">
        <v>336</v>
      </c>
      <c r="D139" s="19">
        <f t="shared" si="12"/>
        <v>0</v>
      </c>
      <c r="E139" s="19" t="str">
        <f>IF(ISNUMBER(Media!F45)=TRUE,Media!F45,"")</f>
        <v/>
      </c>
      <c r="F139" s="19" t="str">
        <f>IF(ISNUMBER(Media!G45)=TRUE,Media!G45,"")</f>
        <v/>
      </c>
      <c r="G139" s="19" t="str">
        <f>IF(ISNUMBER(Media!H45)=TRUE,Media!H45,"")</f>
        <v/>
      </c>
      <c r="H139" s="19" t="str">
        <f>IF(ISNUMBER(Media!I45)=TRUE,Media!I45,"")</f>
        <v/>
      </c>
      <c r="I139" s="19"/>
      <c r="J139" s="19"/>
      <c r="K139" s="19"/>
      <c r="L139" s="19"/>
      <c r="M139" s="19"/>
      <c r="N139" s="19"/>
      <c r="O139" s="19"/>
      <c r="P139" s="19"/>
      <c r="Q139" s="19"/>
      <c r="R139" s="19"/>
      <c r="S139" s="19"/>
      <c r="T139" s="19"/>
      <c r="U139" s="19"/>
      <c r="V139" s="19"/>
      <c r="W139" s="19"/>
      <c r="X139" s="19"/>
      <c r="Y139" s="19"/>
      <c r="Z139" s="19"/>
      <c r="AA139" s="19"/>
      <c r="AB139" s="19"/>
      <c r="AC139" s="19"/>
    </row>
    <row r="140" spans="2:29" x14ac:dyDescent="0.25">
      <c r="B140" s="19" t="s">
        <v>20</v>
      </c>
      <c r="C140" s="19" t="s">
        <v>337</v>
      </c>
      <c r="D140" s="19">
        <f t="shared" si="12"/>
        <v>0</v>
      </c>
      <c r="E140" s="19" t="str">
        <f>IF(ISNUMBER(Media!F46)=TRUE,Media!F46,"")</f>
        <v/>
      </c>
      <c r="F140" s="19" t="str">
        <f>IF(ISNUMBER(Media!G46)=TRUE,Media!G46,"")</f>
        <v/>
      </c>
      <c r="G140" s="19" t="str">
        <f>IF(ISNUMBER(Media!H46)=TRUE,Media!H46,"")</f>
        <v/>
      </c>
      <c r="H140" s="19" t="str">
        <f>IF(ISNUMBER(Media!I46)=TRUE,Media!I46,"")</f>
        <v/>
      </c>
      <c r="I140" s="19"/>
      <c r="J140" s="19"/>
      <c r="K140" s="19"/>
      <c r="L140" s="19"/>
      <c r="M140" s="19"/>
      <c r="N140" s="19"/>
      <c r="O140" s="19"/>
      <c r="P140" s="19"/>
      <c r="Q140" s="19"/>
      <c r="R140" s="19"/>
      <c r="S140" s="19"/>
      <c r="T140" s="19"/>
      <c r="U140" s="19"/>
      <c r="V140" s="19"/>
      <c r="W140" s="19"/>
      <c r="X140" s="19"/>
      <c r="Y140" s="19"/>
      <c r="Z140" s="19"/>
      <c r="AA140" s="19"/>
      <c r="AB140" s="19"/>
      <c r="AC140" s="19"/>
    </row>
    <row r="141" spans="2:29" x14ac:dyDescent="0.25">
      <c r="B141" s="19" t="s">
        <v>20</v>
      </c>
      <c r="C141" s="19" t="s">
        <v>338</v>
      </c>
      <c r="D141" s="19">
        <f t="shared" si="12"/>
        <v>0</v>
      </c>
      <c r="E141" s="19" t="str">
        <f>IF(ISNUMBER(Media!F47)=TRUE,Media!F47,"")</f>
        <v/>
      </c>
      <c r="F141" s="19" t="str">
        <f>IF(ISNUMBER(Media!G47)=TRUE,Media!G47,"")</f>
        <v/>
      </c>
      <c r="G141" s="19" t="str">
        <f>IF(ISNUMBER(Media!H47)=TRUE,Media!H47,"")</f>
        <v/>
      </c>
      <c r="H141" s="19" t="str">
        <f>IF(ISNUMBER(Media!I47)=TRUE,Media!I47,"")</f>
        <v/>
      </c>
      <c r="I141" s="19"/>
      <c r="J141" s="19"/>
      <c r="K141" s="19"/>
      <c r="L141" s="19"/>
      <c r="M141" s="19"/>
      <c r="N141" s="19"/>
      <c r="O141" s="19"/>
      <c r="P141" s="19"/>
      <c r="Q141" s="19"/>
      <c r="R141" s="19"/>
      <c r="S141" s="19"/>
      <c r="T141" s="19"/>
      <c r="U141" s="19"/>
      <c r="V141" s="19"/>
      <c r="W141" s="19"/>
      <c r="X141" s="19"/>
      <c r="Y141" s="19"/>
      <c r="Z141" s="19"/>
      <c r="AA141" s="19"/>
      <c r="AB141" s="19"/>
      <c r="AC141" s="19"/>
    </row>
    <row r="142" spans="2:29" x14ac:dyDescent="0.25">
      <c r="B142" s="19" t="s">
        <v>20</v>
      </c>
      <c r="C142" s="19" t="s">
        <v>339</v>
      </c>
      <c r="D142" s="19">
        <f t="shared" si="12"/>
        <v>0</v>
      </c>
      <c r="E142" s="19" t="str">
        <f>IF(ISNUMBER(Media!F48)=TRUE,Media!F48,"")</f>
        <v/>
      </c>
      <c r="F142" s="19" t="str">
        <f>IF(ISNUMBER(Media!G48)=TRUE,Media!G48,"")</f>
        <v/>
      </c>
      <c r="G142" s="19" t="str">
        <f>IF(ISNUMBER(Media!H48)=TRUE,Media!H48,"")</f>
        <v/>
      </c>
      <c r="H142" s="19" t="str">
        <f>IF(ISNUMBER(Media!I48)=TRUE,Media!I48,"")</f>
        <v/>
      </c>
      <c r="I142" s="19"/>
      <c r="J142" s="19"/>
      <c r="K142" s="19"/>
      <c r="L142" s="19"/>
      <c r="M142" s="19"/>
      <c r="N142" s="19"/>
      <c r="O142" s="19"/>
      <c r="P142" s="19"/>
      <c r="Q142" s="19"/>
      <c r="R142" s="19"/>
      <c r="S142" s="19"/>
      <c r="T142" s="19"/>
      <c r="U142" s="19"/>
      <c r="V142" s="19"/>
      <c r="W142" s="19"/>
      <c r="X142" s="19"/>
      <c r="Y142" s="19"/>
      <c r="Z142" s="19"/>
      <c r="AA142" s="19"/>
      <c r="AB142" s="19"/>
      <c r="AC142" s="19"/>
    </row>
    <row r="143" spans="2:29" x14ac:dyDescent="0.25">
      <c r="B143" s="19" t="s">
        <v>20</v>
      </c>
      <c r="C143" s="19" t="s">
        <v>340</v>
      </c>
      <c r="D143" s="19">
        <f t="shared" si="12"/>
        <v>0</v>
      </c>
      <c r="E143" s="19" t="str">
        <f>IF(ISNUMBER(Media!F49)=TRUE,Media!F49,"")</f>
        <v/>
      </c>
      <c r="F143" s="19" t="str">
        <f>IF(ISNUMBER(Media!G49)=TRUE,Media!G49,"")</f>
        <v/>
      </c>
      <c r="G143" s="19" t="str">
        <f>IF(ISNUMBER(Media!H49)=TRUE,Media!H49,"")</f>
        <v/>
      </c>
      <c r="H143" s="19" t="str">
        <f>IF(ISNUMBER(Media!I49)=TRUE,Media!I49,"")</f>
        <v/>
      </c>
      <c r="I143" s="19"/>
      <c r="J143" s="19"/>
      <c r="K143" s="19"/>
      <c r="L143" s="19"/>
      <c r="M143" s="19"/>
      <c r="N143" s="19"/>
      <c r="O143" s="19"/>
      <c r="P143" s="19"/>
      <c r="Q143" s="19"/>
      <c r="R143" s="19"/>
      <c r="S143" s="19"/>
      <c r="T143" s="19"/>
      <c r="U143" s="19"/>
      <c r="V143" s="19"/>
      <c r="W143" s="19"/>
      <c r="X143" s="19"/>
      <c r="Y143" s="19"/>
      <c r="Z143" s="19"/>
      <c r="AA143" s="19"/>
      <c r="AB143" s="19"/>
      <c r="AC143" s="19"/>
    </row>
    <row r="144" spans="2:29" x14ac:dyDescent="0.25">
      <c r="B144" s="19" t="s">
        <v>20</v>
      </c>
      <c r="C144" s="19" t="s">
        <v>341</v>
      </c>
      <c r="D144" s="19">
        <f t="shared" si="12"/>
        <v>0</v>
      </c>
      <c r="E144" s="19" t="str">
        <f>IF(ISNUMBER(Media!F50)=TRUE,Media!F50,"")</f>
        <v/>
      </c>
      <c r="F144" s="19" t="str">
        <f>IF(ISNUMBER(Media!G50)=TRUE,Media!G50,"")</f>
        <v/>
      </c>
      <c r="G144" s="19" t="str">
        <f>IF(ISNUMBER(Media!H50)=TRUE,Media!H50,"")</f>
        <v/>
      </c>
      <c r="H144" s="19" t="str">
        <f>IF(ISNUMBER(Media!I50)=TRUE,Media!I50,"")</f>
        <v/>
      </c>
      <c r="I144" s="19"/>
      <c r="J144" s="19"/>
      <c r="K144" s="19"/>
      <c r="L144" s="19"/>
      <c r="M144" s="19"/>
      <c r="N144" s="19"/>
      <c r="O144" s="19"/>
      <c r="P144" s="19"/>
      <c r="Q144" s="19"/>
      <c r="R144" s="19"/>
      <c r="S144" s="19"/>
      <c r="T144" s="19"/>
      <c r="U144" s="19"/>
      <c r="V144" s="19"/>
      <c r="W144" s="19"/>
      <c r="X144" s="19"/>
      <c r="Y144" s="19"/>
      <c r="Z144" s="19"/>
      <c r="AA144" s="19"/>
      <c r="AB144" s="19"/>
      <c r="AC144" s="19"/>
    </row>
    <row r="145" spans="2:29" x14ac:dyDescent="0.25">
      <c r="B145" s="19" t="s">
        <v>20</v>
      </c>
      <c r="C145" s="19" t="s">
        <v>342</v>
      </c>
      <c r="D145" s="19">
        <f t="shared" si="12"/>
        <v>0</v>
      </c>
      <c r="E145" s="19" t="str">
        <f>IF(ISNUMBER(Media!F51)=TRUE,Media!F51,"")</f>
        <v/>
      </c>
      <c r="F145" s="19" t="str">
        <f>IF(ISNUMBER(Media!G51)=TRUE,Media!G51,"")</f>
        <v/>
      </c>
      <c r="G145" s="19" t="str">
        <f>IF(ISNUMBER(Media!H51)=TRUE,Media!H51,"")</f>
        <v/>
      </c>
      <c r="H145" s="19" t="str">
        <f>IF(ISNUMBER(Media!I51)=TRUE,Media!I51,"")</f>
        <v/>
      </c>
      <c r="I145" s="19"/>
      <c r="J145" s="19"/>
      <c r="K145" s="19"/>
      <c r="L145" s="19"/>
      <c r="M145" s="19"/>
      <c r="N145" s="19"/>
      <c r="O145" s="19"/>
      <c r="P145" s="19"/>
      <c r="Q145" s="19"/>
      <c r="R145" s="19"/>
      <c r="S145" s="19"/>
      <c r="T145" s="19"/>
      <c r="U145" s="19"/>
      <c r="V145" s="19"/>
      <c r="W145" s="19"/>
      <c r="X145" s="19"/>
      <c r="Y145" s="19"/>
      <c r="Z145" s="19"/>
      <c r="AA145" s="19"/>
      <c r="AB145" s="19"/>
      <c r="AC145" s="19"/>
    </row>
    <row r="146" spans="2:29" x14ac:dyDescent="0.25">
      <c r="B146" s="19" t="s">
        <v>20</v>
      </c>
      <c r="C146" s="19" t="s">
        <v>343</v>
      </c>
      <c r="D146" s="19">
        <f t="shared" si="12"/>
        <v>0</v>
      </c>
      <c r="E146" s="19" t="str">
        <f>IF(ISNUMBER(Media!F52)=TRUE,Media!F52,"")</f>
        <v/>
      </c>
      <c r="F146" s="19" t="str">
        <f>IF(ISNUMBER(Media!G52)=TRUE,Media!G52,"")</f>
        <v/>
      </c>
      <c r="G146" s="19" t="str">
        <f>IF(ISNUMBER(Media!H52)=TRUE,Media!H52,"")</f>
        <v/>
      </c>
      <c r="H146" s="19" t="str">
        <f>IF(ISNUMBER(Media!I52)=TRUE,Media!I52,"")</f>
        <v/>
      </c>
      <c r="I146" s="19"/>
      <c r="J146" s="19"/>
      <c r="K146" s="19"/>
      <c r="L146" s="19"/>
      <c r="M146" s="19"/>
      <c r="N146" s="19"/>
      <c r="O146" s="19"/>
      <c r="P146" s="19"/>
      <c r="Q146" s="19"/>
      <c r="R146" s="19"/>
      <c r="S146" s="19"/>
      <c r="T146" s="19"/>
      <c r="U146" s="19"/>
      <c r="V146" s="19"/>
      <c r="W146" s="19"/>
      <c r="X146" s="19"/>
      <c r="Y146" s="19"/>
      <c r="Z146" s="19"/>
      <c r="AA146" s="19"/>
      <c r="AB146" s="19"/>
      <c r="AC146" s="19"/>
    </row>
    <row r="147" spans="2:29" x14ac:dyDescent="0.25">
      <c r="B147" s="19" t="s">
        <v>20</v>
      </c>
      <c r="C147" s="19" t="s">
        <v>135</v>
      </c>
      <c r="D147" s="19">
        <f t="shared" si="12"/>
        <v>7</v>
      </c>
      <c r="E147" s="19">
        <f>IF(ISNUMBER(Media!F54)=TRUE,Media!F54*365,"")</f>
        <v>0</v>
      </c>
      <c r="F147" s="19">
        <f>IF(ISNUMBER(Media!G54)=TRUE,Media!G54*365,"")</f>
        <v>365</v>
      </c>
      <c r="G147" s="19">
        <f>IF(ISNUMBER(Media!H54)=TRUE,Media!H54*365,"")</f>
        <v>730</v>
      </c>
      <c r="H147" s="19">
        <f>IF(ISNUMBER(Media!I54)=TRUE,Media!I54*365,"")</f>
        <v>1095</v>
      </c>
      <c r="I147" s="19">
        <f>IF(ISNUMBER(Media!J54)=TRUE,Media!J54*365,"")</f>
        <v>1460</v>
      </c>
      <c r="J147" s="19">
        <f>IF(ISNUMBER(Media!K54)=TRUE,Media!K54*365,"")</f>
        <v>1825</v>
      </c>
      <c r="K147" s="19">
        <f>IF(ISNUMBER(Media!L54)=TRUE,Media!L54*365,"")</f>
        <v>2190</v>
      </c>
      <c r="L147" s="19" t="str">
        <f>IF(ISNUMBER(Media!M54)=TRUE,Media!M54*365,"")</f>
        <v/>
      </c>
      <c r="M147" s="19" t="str">
        <f>IF(ISNUMBER(Media!N54)=TRUE,Media!N54*365,"")</f>
        <v/>
      </c>
      <c r="N147" s="19" t="str">
        <f>IF(ISNUMBER(Media!O54)=TRUE,Media!O54*365,"")</f>
        <v/>
      </c>
      <c r="O147" s="19" t="str">
        <f>IF(ISNUMBER(Media!P54)=TRUE,Media!P54*365,"")</f>
        <v/>
      </c>
      <c r="P147" s="19" t="str">
        <f>IF(ISNUMBER(Media!Q54)=TRUE,Media!Q54*365,"")</f>
        <v/>
      </c>
      <c r="Q147" s="19" t="str">
        <f>IF(ISNUMBER(Media!R54)=TRUE,Media!R54*365,"")</f>
        <v/>
      </c>
      <c r="R147" s="19" t="str">
        <f>IF(ISNUMBER(Media!S54)=TRUE,Media!S54*365,"")</f>
        <v/>
      </c>
      <c r="S147" s="19" t="str">
        <f>IF(ISNUMBER(Media!T54)=TRUE,Media!T54*365,"")</f>
        <v/>
      </c>
      <c r="T147" s="19" t="str">
        <f>IF(ISNUMBER(Media!U54)=TRUE,Media!U54*365,"")</f>
        <v/>
      </c>
      <c r="U147" s="19" t="str">
        <f>IF(ISNUMBER(Media!V54)=TRUE,Media!V54*365,"")</f>
        <v/>
      </c>
      <c r="V147" s="19" t="str">
        <f>IF(ISNUMBER(Media!W54)=TRUE,Media!W54*365,"")</f>
        <v/>
      </c>
      <c r="W147" s="19" t="str">
        <f>IF(ISNUMBER(Media!X54)=TRUE,Media!X54*365,"")</f>
        <v/>
      </c>
      <c r="X147" s="19" t="str">
        <f>IF(ISNUMBER(Media!Y54)=TRUE,Media!Y54*365,"")</f>
        <v/>
      </c>
      <c r="Y147" s="19" t="str">
        <f>IF(ISNUMBER(Media!Z54)=TRUE,Media!Z54*365,"")</f>
        <v/>
      </c>
      <c r="Z147" s="19" t="str">
        <f>IF(ISNUMBER(Media!AA54)=TRUE,Media!AA54*365,"")</f>
        <v/>
      </c>
      <c r="AA147" s="19" t="str">
        <f>IF(ISNUMBER(Media!AH54)=TRUE,Media!AH54*365,"")</f>
        <v/>
      </c>
      <c r="AB147" s="19" t="str">
        <f>IF(ISNUMBER(Media!AI54)=TRUE,Media!AI54*365,"")</f>
        <v/>
      </c>
      <c r="AC147" s="19" t="str">
        <f>IF(ISNUMBER(Media!AJ54)=TRUE,Media!AJ54*365,"")</f>
        <v/>
      </c>
    </row>
    <row r="148" spans="2:29" x14ac:dyDescent="0.25">
      <c r="B148" s="19" t="s">
        <v>20</v>
      </c>
      <c r="C148" s="19" t="s">
        <v>136</v>
      </c>
      <c r="D148" s="19">
        <f t="shared" si="12"/>
        <v>7</v>
      </c>
      <c r="E148" s="19">
        <f>IF(ISNUMBER(Media!F55)=TRUE,Media!F55,"")</f>
        <v>4.7300000000000002E-2</v>
      </c>
      <c r="F148" s="19">
        <f>IF(ISNUMBER(Media!G55)=TRUE,Media!G55,"")</f>
        <v>5.1700000000000003E-2</v>
      </c>
      <c r="G148" s="19">
        <f>IF(ISNUMBER(Media!H55)=TRUE,Media!H55,"")</f>
        <v>3.6850000000000001E-2</v>
      </c>
      <c r="H148" s="19">
        <f>IF(ISNUMBER(Media!I55)=TRUE,Media!I55,"")</f>
        <v>3.465E-2</v>
      </c>
      <c r="I148" s="19">
        <f>IF(ISNUMBER(Media!J55)=TRUE,Media!J55,"")</f>
        <v>3.6850000000000001E-2</v>
      </c>
      <c r="J148" s="19">
        <f>IF(ISNUMBER(Media!K55)=TRUE,Media!K55,"")</f>
        <v>2.86E-2</v>
      </c>
      <c r="K148" s="19">
        <f>IF(ISNUMBER(Media!L55)=TRUE,Media!L55,"")</f>
        <v>3.0249999999999999E-2</v>
      </c>
      <c r="L148" s="19" t="str">
        <f>IF(ISNUMBER(Media!M55)=TRUE,Media!M55,"")</f>
        <v/>
      </c>
      <c r="M148" s="19" t="str">
        <f>IF(ISNUMBER(Media!N55)=TRUE,Media!N55,"")</f>
        <v/>
      </c>
      <c r="N148" s="19" t="str">
        <f>IF(ISNUMBER(Media!O55)=TRUE,Media!O55,"")</f>
        <v/>
      </c>
      <c r="O148" s="19" t="str">
        <f>IF(ISNUMBER(Media!P55)=TRUE,Media!P55,"")</f>
        <v/>
      </c>
      <c r="P148" s="19" t="str">
        <f>IF(ISNUMBER(Media!Q55)=TRUE,Media!Q55,"")</f>
        <v/>
      </c>
      <c r="Q148" s="19" t="str">
        <f>IF(ISNUMBER(Media!R55)=TRUE,Media!R55,"")</f>
        <v/>
      </c>
      <c r="R148" s="19" t="str">
        <f>IF(ISNUMBER(Media!S55)=TRUE,Media!S55,"")</f>
        <v/>
      </c>
      <c r="S148" s="19" t="str">
        <f>IF(ISNUMBER(Media!T55)=TRUE,Media!T55,"")</f>
        <v/>
      </c>
      <c r="T148" s="19" t="str">
        <f>IF(ISNUMBER(Media!U55)=TRUE,Media!U55,"")</f>
        <v/>
      </c>
      <c r="U148" s="19" t="str">
        <f>IF(ISNUMBER(Media!V55)=TRUE,Media!V55,"")</f>
        <v/>
      </c>
      <c r="V148" s="19" t="str">
        <f>IF(ISNUMBER(Media!W55)=TRUE,Media!W55,"")</f>
        <v/>
      </c>
      <c r="W148" s="19" t="str">
        <f>IF(ISNUMBER(Media!X55)=TRUE,Media!X55,"")</f>
        <v/>
      </c>
      <c r="X148" s="19" t="str">
        <f>IF(ISNUMBER(Media!Y55)=TRUE,Media!Y55,"")</f>
        <v/>
      </c>
      <c r="Y148" s="19" t="str">
        <f>IF(ISNUMBER(Media!Z55)=TRUE,Media!Z55,"")</f>
        <v/>
      </c>
      <c r="Z148" s="19" t="str">
        <f>IF(ISNUMBER(Media!AA55)=TRUE,Media!AA55,"")</f>
        <v/>
      </c>
      <c r="AA148" s="19" t="str">
        <f>IF(ISNUMBER(Media!AH55)=TRUE,Media!AH55,"")</f>
        <v/>
      </c>
      <c r="AB148" s="19" t="str">
        <f>IF(ISNUMBER(Media!AI55)=TRUE,Media!AI55,"")</f>
        <v/>
      </c>
      <c r="AC148" s="19" t="str">
        <f>IF(ISNUMBER(Media!AJ55)=TRUE,Media!AJ55,"")</f>
        <v/>
      </c>
    </row>
    <row r="149" spans="2:29" x14ac:dyDescent="0.25">
      <c r="B149" s="19" t="s">
        <v>20</v>
      </c>
      <c r="C149" s="19" t="s">
        <v>137</v>
      </c>
      <c r="D149" s="19">
        <f t="shared" si="12"/>
        <v>7</v>
      </c>
      <c r="E149" s="19">
        <f>IF(ISNUMBER(Media!F56)=TRUE,Media!F56,"")</f>
        <v>1</v>
      </c>
      <c r="F149" s="19">
        <f>IF(ISNUMBER(Media!G56)=TRUE,Media!G56,"")</f>
        <v>1</v>
      </c>
      <c r="G149" s="19">
        <f>IF(ISNUMBER(Media!H56)=TRUE,Media!H56,"")</f>
        <v>1</v>
      </c>
      <c r="H149" s="19">
        <f>IF(ISNUMBER(Media!I56)=TRUE,Media!I56,"")</f>
        <v>1</v>
      </c>
      <c r="I149" s="19">
        <f>IF(ISNUMBER(Media!J56)=TRUE,Media!J56,"")</f>
        <v>1</v>
      </c>
      <c r="J149" s="19">
        <f>IF(ISNUMBER(Media!K56)=TRUE,Media!K56,"")</f>
        <v>1</v>
      </c>
      <c r="K149" s="19">
        <f>IF(ISNUMBER(Media!L56)=TRUE,Media!L56,"")</f>
        <v>1</v>
      </c>
      <c r="L149" s="19" t="str">
        <f>IF(ISNUMBER(Media!M56)=TRUE,Media!M56,"")</f>
        <v/>
      </c>
      <c r="M149" s="19" t="str">
        <f>IF(ISNUMBER(Media!N56)=TRUE,Media!N56,"")</f>
        <v/>
      </c>
      <c r="N149" s="19" t="str">
        <f>IF(ISNUMBER(Media!O56)=TRUE,Media!O56,"")</f>
        <v/>
      </c>
      <c r="O149" s="19" t="str">
        <f>IF(ISNUMBER(Media!P56)=TRUE,Media!P56,"")</f>
        <v/>
      </c>
      <c r="P149" s="19" t="str">
        <f>IF(ISNUMBER(Media!Q56)=TRUE,Media!Q56,"")</f>
        <v/>
      </c>
      <c r="Q149" s="19" t="str">
        <f>IF(ISNUMBER(Media!R56)=TRUE,Media!R56,"")</f>
        <v/>
      </c>
      <c r="R149" s="19" t="str">
        <f>IF(ISNUMBER(Media!S56)=TRUE,Media!S56,"")</f>
        <v/>
      </c>
      <c r="S149" s="19" t="str">
        <f>IF(ISNUMBER(Media!T56)=TRUE,Media!T56,"")</f>
        <v/>
      </c>
      <c r="T149" s="19" t="str">
        <f>IF(ISNUMBER(Media!U56)=TRUE,Media!U56,"")</f>
        <v/>
      </c>
      <c r="U149" s="19" t="str">
        <f>IF(ISNUMBER(Media!V56)=TRUE,Media!V56,"")</f>
        <v/>
      </c>
      <c r="V149" s="19" t="str">
        <f>IF(ISNUMBER(Media!W56)=TRUE,Media!W56,"")</f>
        <v/>
      </c>
      <c r="W149" s="19" t="str">
        <f>IF(ISNUMBER(Media!X56)=TRUE,Media!X56,"")</f>
        <v/>
      </c>
      <c r="X149" s="19" t="str">
        <f>IF(ISNUMBER(Media!Y56)=TRUE,Media!Y56,"")</f>
        <v/>
      </c>
      <c r="Y149" s="19" t="str">
        <f>IF(ISNUMBER(Media!Z56)=TRUE,Media!Z56,"")</f>
        <v/>
      </c>
      <c r="Z149" s="19" t="str">
        <f>IF(ISNUMBER(Media!AA56)=TRUE,Media!AA56,"")</f>
        <v/>
      </c>
      <c r="AA149" s="19" t="str">
        <f>IF(ISNUMBER(Media!AH56)=TRUE,Media!AH56,"")</f>
        <v/>
      </c>
      <c r="AB149" s="19" t="str">
        <f>IF(ISNUMBER(Media!AI56)=TRUE,Media!AI56,"")</f>
        <v/>
      </c>
      <c r="AC149" s="19" t="str">
        <f>IF(ISNUMBER(Media!AJ56)=TRUE,Media!AJ56,"")</f>
        <v/>
      </c>
    </row>
    <row r="150" spans="2:29" x14ac:dyDescent="0.25">
      <c r="B150" s="19" t="s">
        <v>20</v>
      </c>
      <c r="C150" s="19" t="s">
        <v>344</v>
      </c>
      <c r="D150" s="19">
        <f t="shared" si="12"/>
        <v>0</v>
      </c>
      <c r="E150" s="19" t="str">
        <f>IF(ISNUMBER(Media!F57)=TRUE,Media!F57,"")</f>
        <v/>
      </c>
      <c r="F150" s="19" t="str">
        <f>IF(ISNUMBER(Media!G57)=TRUE,Media!G57,"")</f>
        <v/>
      </c>
      <c r="G150" s="19" t="str">
        <f>IF(ISNUMBER(Media!H57)=TRUE,Media!H57,"")</f>
        <v/>
      </c>
      <c r="H150" s="19" t="str">
        <f>IF(ISNUMBER(Media!I57)=TRUE,Media!I57,"")</f>
        <v/>
      </c>
      <c r="I150" s="19" t="str">
        <f>IF(ISNUMBER(Media!J57)=TRUE,Media!J57,"")</f>
        <v/>
      </c>
      <c r="J150" s="19" t="str">
        <f>IF(ISNUMBER(Media!K57)=TRUE,Media!K57,"")</f>
        <v/>
      </c>
      <c r="K150" s="19" t="str">
        <f>IF(ISNUMBER(Media!L57)=TRUE,Media!L57,"")</f>
        <v/>
      </c>
      <c r="L150" s="19" t="str">
        <f>IF(ISNUMBER(Media!M57)=TRUE,Media!M57,"")</f>
        <v/>
      </c>
      <c r="M150" s="19" t="str">
        <f>IF(ISNUMBER(Media!N57)=TRUE,Media!N57,"")</f>
        <v/>
      </c>
      <c r="N150" s="19" t="str">
        <f>IF(ISNUMBER(Media!O57)=TRUE,Media!O57,"")</f>
        <v/>
      </c>
      <c r="O150" s="19" t="str">
        <f>IF(ISNUMBER(Media!P57)=TRUE,Media!P57,"")</f>
        <v/>
      </c>
      <c r="P150" s="19" t="str">
        <f>IF(ISNUMBER(Media!Q57)=TRUE,Media!Q57,"")</f>
        <v/>
      </c>
      <c r="Q150" s="19" t="str">
        <f>IF(ISNUMBER(Media!R57)=TRUE,Media!R57,"")</f>
        <v/>
      </c>
      <c r="R150" s="19" t="str">
        <f>IF(ISNUMBER(Media!S57)=TRUE,Media!S57,"")</f>
        <v/>
      </c>
      <c r="S150" s="19" t="str">
        <f>IF(ISNUMBER(Media!T57)=TRUE,Media!T57,"")</f>
        <v/>
      </c>
      <c r="T150" s="19" t="str">
        <f>IF(ISNUMBER(Media!U57)=TRUE,Media!U57,"")</f>
        <v/>
      </c>
      <c r="U150" s="19" t="str">
        <f>IF(ISNUMBER(Media!V57)=TRUE,Media!V57,"")</f>
        <v/>
      </c>
      <c r="V150" s="19" t="str">
        <f>IF(ISNUMBER(Media!W57)=TRUE,Media!W57,"")</f>
        <v/>
      </c>
      <c r="W150" s="19" t="str">
        <f>IF(ISNUMBER(Media!X57)=TRUE,Media!X57,"")</f>
        <v/>
      </c>
      <c r="X150" s="19" t="str">
        <f>IF(ISNUMBER(Media!Y57)=TRUE,Media!Y57,"")</f>
        <v/>
      </c>
      <c r="Y150" s="19" t="str">
        <f>IF(ISNUMBER(Media!Z57)=TRUE,Media!Z57,"")</f>
        <v/>
      </c>
      <c r="Z150" s="19" t="str">
        <f>IF(ISNUMBER(Media!AA57)=TRUE,Media!AA57,"")</f>
        <v/>
      </c>
      <c r="AA150" s="19" t="str">
        <f>IF(ISNUMBER(Media!AH57)=TRUE,Media!AH57,"")</f>
        <v/>
      </c>
      <c r="AB150" s="19" t="str">
        <f>IF(ISNUMBER(Media!AI57)=TRUE,Media!AI57,"")</f>
        <v/>
      </c>
      <c r="AC150" s="19" t="str">
        <f>IF(ISNUMBER(Media!AJ57)=TRUE,Media!AJ57,"")</f>
        <v/>
      </c>
    </row>
    <row r="151" spans="2:29" x14ac:dyDescent="0.25">
      <c r="B151" s="19" t="s">
        <v>20</v>
      </c>
      <c r="C151" s="19" t="s">
        <v>345</v>
      </c>
      <c r="D151" s="19">
        <f t="shared" si="12"/>
        <v>0</v>
      </c>
      <c r="E151" s="19" t="str">
        <f>IF(ISNUMBER(Media!F58)=TRUE,Media!F58,"")</f>
        <v/>
      </c>
      <c r="F151" s="19" t="str">
        <f>IF(ISNUMBER(Media!G58)=TRUE,Media!G58,"")</f>
        <v/>
      </c>
      <c r="G151" s="19" t="str">
        <f>IF(ISNUMBER(Media!H58)=TRUE,Media!H58,"")</f>
        <v/>
      </c>
      <c r="H151" s="19" t="str">
        <f>IF(ISNUMBER(Media!I58)=TRUE,Media!I58,"")</f>
        <v/>
      </c>
      <c r="I151" s="19" t="str">
        <f>IF(ISNUMBER(Media!J58)=TRUE,Media!J58,"")</f>
        <v/>
      </c>
      <c r="J151" s="19" t="str">
        <f>IF(ISNUMBER(Media!K58)=TRUE,Media!K58,"")</f>
        <v/>
      </c>
      <c r="K151" s="19" t="str">
        <f>IF(ISNUMBER(Media!L58)=TRUE,Media!L58,"")</f>
        <v/>
      </c>
      <c r="L151" s="19" t="str">
        <f>IF(ISNUMBER(Media!M58)=TRUE,Media!M58,"")</f>
        <v/>
      </c>
      <c r="M151" s="19" t="str">
        <f>IF(ISNUMBER(Media!N58)=TRUE,Media!N58,"")</f>
        <v/>
      </c>
      <c r="N151" s="19" t="str">
        <f>IF(ISNUMBER(Media!O58)=TRUE,Media!O58,"")</f>
        <v/>
      </c>
      <c r="O151" s="19" t="str">
        <f>IF(ISNUMBER(Media!P58)=TRUE,Media!P58,"")</f>
        <v/>
      </c>
      <c r="P151" s="19" t="str">
        <f>IF(ISNUMBER(Media!Q58)=TRUE,Media!Q58,"")</f>
        <v/>
      </c>
      <c r="Q151" s="19" t="str">
        <f>IF(ISNUMBER(Media!R58)=TRUE,Media!R58,"")</f>
        <v/>
      </c>
      <c r="R151" s="19" t="str">
        <f>IF(ISNUMBER(Media!S58)=TRUE,Media!S58,"")</f>
        <v/>
      </c>
      <c r="S151" s="19" t="str">
        <f>IF(ISNUMBER(Media!T58)=TRUE,Media!T58,"")</f>
        <v/>
      </c>
      <c r="T151" s="19" t="str">
        <f>IF(ISNUMBER(Media!U58)=TRUE,Media!U58,"")</f>
        <v/>
      </c>
      <c r="U151" s="19" t="str">
        <f>IF(ISNUMBER(Media!V58)=TRUE,Media!V58,"")</f>
        <v/>
      </c>
      <c r="V151" s="19" t="str">
        <f>IF(ISNUMBER(Media!W58)=TRUE,Media!W58,"")</f>
        <v/>
      </c>
      <c r="W151" s="19" t="str">
        <f>IF(ISNUMBER(Media!X58)=TRUE,Media!X58,"")</f>
        <v/>
      </c>
      <c r="X151" s="19" t="str">
        <f>IF(ISNUMBER(Media!Y58)=TRUE,Media!Y58,"")</f>
        <v/>
      </c>
      <c r="Y151" s="19" t="str">
        <f>IF(ISNUMBER(Media!Z58)=TRUE,Media!Z58,"")</f>
        <v/>
      </c>
      <c r="Z151" s="19" t="str">
        <f>IF(ISNUMBER(Media!AA58)=TRUE,Media!AA58,"")</f>
        <v/>
      </c>
      <c r="AA151" s="19" t="str">
        <f>IF(ISNUMBER(Media!AH58)=TRUE,Media!AH58,"")</f>
        <v/>
      </c>
      <c r="AB151" s="19" t="str">
        <f>IF(ISNUMBER(Media!AI58)=TRUE,Media!AI58,"")</f>
        <v/>
      </c>
      <c r="AC151" s="19" t="str">
        <f>IF(ISNUMBER(Media!AJ58)=TRUE,Media!AJ58,"")</f>
        <v/>
      </c>
    </row>
    <row r="152" spans="2:29" x14ac:dyDescent="0.25">
      <c r="B152" s="19" t="s">
        <v>20</v>
      </c>
      <c r="C152" s="19" t="s">
        <v>138</v>
      </c>
      <c r="D152" s="19">
        <f t="shared" si="12"/>
        <v>3</v>
      </c>
      <c r="E152" s="19">
        <f>IF(ISNUMBER(Media!F60)=TRUE,Media!F60,"")</f>
        <v>1E-3</v>
      </c>
      <c r="F152" s="19">
        <f>IF(ISNUMBER(Media!F61)=TRUE,Media!F61,"")</f>
        <v>0.6</v>
      </c>
      <c r="G152" s="19">
        <f>IF(ISNUMBER(Media!F62)=TRUE,Media!F62,"")</f>
        <v>0.6</v>
      </c>
      <c r="H152" s="19"/>
      <c r="I152" s="19"/>
      <c r="J152" s="19"/>
      <c r="K152" s="19"/>
      <c r="L152" s="19"/>
      <c r="M152" s="19"/>
      <c r="N152" s="19"/>
      <c r="O152" s="19"/>
      <c r="P152" s="19"/>
      <c r="Q152" s="19"/>
      <c r="R152" s="19"/>
      <c r="S152" s="19"/>
      <c r="T152" s="19"/>
      <c r="U152" s="19"/>
      <c r="V152" s="19"/>
      <c r="W152" s="19"/>
      <c r="X152" s="19"/>
      <c r="Y152" s="19"/>
      <c r="Z152" s="19"/>
      <c r="AA152" s="19"/>
      <c r="AB152" s="19"/>
      <c r="AC152" s="19"/>
    </row>
    <row r="153" spans="2:29" x14ac:dyDescent="0.25">
      <c r="B153" s="19" t="s">
        <v>21</v>
      </c>
      <c r="C153" s="19" t="s">
        <v>132</v>
      </c>
      <c r="D153" s="19">
        <f>IF(E153&gt;=1,1,0)</f>
        <v>0</v>
      </c>
      <c r="E153" s="19">
        <f>Water_NSource</f>
        <v>0</v>
      </c>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row>
    <row r="154" spans="2:29" x14ac:dyDescent="0.25">
      <c r="B154" s="19" t="s">
        <v>21</v>
      </c>
      <c r="C154" s="19" t="s">
        <v>133</v>
      </c>
      <c r="D154" s="19">
        <f t="shared" ref="D154:D172" si="13">COUNT(E154:AC154)</f>
        <v>1</v>
      </c>
      <c r="E154" s="19">
        <f>IF(ISNUMBER(Media!F65)=TRUE,Media!F65*365,"")</f>
        <v>365</v>
      </c>
      <c r="F154" s="19" t="str">
        <f>IF(ISNUMBER(Media!G65)=TRUE,Media!G65*365,"")</f>
        <v/>
      </c>
      <c r="G154" s="19" t="str">
        <f>IF(ISNUMBER(Media!H65)=TRUE,Media!H65*365,"")</f>
        <v/>
      </c>
      <c r="H154" s="19" t="str">
        <f>IF(ISNUMBER(Media!I65)=TRUE,Media!I65*365,"")</f>
        <v/>
      </c>
      <c r="I154" s="19" t="str">
        <f>IF(ISNUMBER(Media!J65)=TRUE,Media!J65*365,"")</f>
        <v/>
      </c>
      <c r="J154" s="19" t="str">
        <f>IF(ISNUMBER(Media!K65)=TRUE,Media!K65*365,"")</f>
        <v/>
      </c>
      <c r="K154" s="19" t="str">
        <f>IF(ISNUMBER(Media!L65)=TRUE,Media!L65*365,"")</f>
        <v/>
      </c>
      <c r="L154" s="19" t="str">
        <f>IF(ISNUMBER(Media!M65)=TRUE,Media!M65*365,"")</f>
        <v/>
      </c>
      <c r="M154" s="19" t="str">
        <f>IF(ISNUMBER(Media!N65)=TRUE,Media!N65*365,"")</f>
        <v/>
      </c>
      <c r="N154" s="19" t="str">
        <f>IF(ISNUMBER(Media!O65)=TRUE,Media!O65*365,"")</f>
        <v/>
      </c>
      <c r="O154" s="19" t="str">
        <f>IF(ISNUMBER(Media!P65)=TRUE,Media!P65*365,"")</f>
        <v/>
      </c>
      <c r="P154" s="19" t="str">
        <f>IF(ISNUMBER(Media!Q65)=TRUE,Media!Q65*365,"")</f>
        <v/>
      </c>
      <c r="Q154" s="19" t="str">
        <f>IF(ISNUMBER(Media!R65)=TRUE,Media!R65*365,"")</f>
        <v/>
      </c>
      <c r="R154" s="19" t="str">
        <f>IF(ISNUMBER(Media!S65)=TRUE,Media!S65*365,"")</f>
        <v/>
      </c>
      <c r="S154" s="19" t="str">
        <f>IF(ISNUMBER(Media!T65)=TRUE,Media!T65*365,"")</f>
        <v/>
      </c>
      <c r="T154" s="19" t="str">
        <f>IF(ISNUMBER(Media!U65)=TRUE,Media!U65*365,"")</f>
        <v/>
      </c>
      <c r="U154" s="19" t="str">
        <f>IF(ISNUMBER(Media!V65)=TRUE,Media!V65*365,"")</f>
        <v/>
      </c>
      <c r="V154" s="19" t="str">
        <f>IF(ISNUMBER(Media!W65)=TRUE,Media!W65*365,"")</f>
        <v/>
      </c>
      <c r="W154" s="19" t="str">
        <f>IF(ISNUMBER(Media!X65)=TRUE,Media!X65*365,"")</f>
        <v/>
      </c>
      <c r="X154" s="19" t="str">
        <f>IF(ISNUMBER(Media!Y65)=TRUE,Media!Y65*365,"")</f>
        <v/>
      </c>
      <c r="Y154" s="19" t="str">
        <f>IF(ISNUMBER(Media!Z65)=TRUE,Media!Z65*365,"")</f>
        <v/>
      </c>
      <c r="Z154" s="19" t="str">
        <f>IF(ISNUMBER(Media!AA65)=TRUE,Media!AA65*365,"")</f>
        <v/>
      </c>
      <c r="AA154" s="19" t="str">
        <f>IF(ISNUMBER(Media!AH65)=TRUE,Media!AH65*365,"")</f>
        <v/>
      </c>
      <c r="AB154" s="19" t="str">
        <f>IF(ISNUMBER(Media!AI65)=TRUE,Media!AI65*365,"")</f>
        <v/>
      </c>
      <c r="AC154" s="19" t="str">
        <f>IF(ISNUMBER(Media!AJ65)=TRUE,Media!AJ65*365,"")</f>
        <v/>
      </c>
    </row>
    <row r="155" spans="2:29" x14ac:dyDescent="0.25">
      <c r="B155" s="19" t="s">
        <v>21</v>
      </c>
      <c r="C155" s="19" t="s">
        <v>134</v>
      </c>
      <c r="D155" s="19">
        <f t="shared" si="13"/>
        <v>1</v>
      </c>
      <c r="E155" s="19">
        <f>IF(ISNUMBER(Media!F66)=TRUE,Media!F66,"")</f>
        <v>0.9</v>
      </c>
      <c r="F155" s="19" t="str">
        <f>IF(ISNUMBER(Media!G66)=TRUE,Media!G66,"")</f>
        <v/>
      </c>
      <c r="G155" s="19" t="str">
        <f>IF(ISNUMBER(Media!H66)=TRUE,Media!H66,"")</f>
        <v/>
      </c>
      <c r="H155" s="19" t="str">
        <f>IF(ISNUMBER(Media!I66)=TRUE,Media!I66,"")</f>
        <v/>
      </c>
      <c r="I155" s="19" t="str">
        <f>IF(ISNUMBER(Media!J66)=TRUE,Media!J66,"")</f>
        <v/>
      </c>
      <c r="J155" s="19" t="str">
        <f>IF(ISNUMBER(Media!K66)=TRUE,Media!K66,"")</f>
        <v/>
      </c>
      <c r="K155" s="19" t="str">
        <f>IF(ISNUMBER(Media!L66)=TRUE,Media!L66,"")</f>
        <v/>
      </c>
      <c r="L155" s="19" t="str">
        <f>IF(ISNUMBER(Media!M66)=TRUE,Media!M66,"")</f>
        <v/>
      </c>
      <c r="M155" s="19" t="str">
        <f>IF(ISNUMBER(Media!N66)=TRUE,Media!N66,"")</f>
        <v/>
      </c>
      <c r="N155" s="19" t="str">
        <f>IF(ISNUMBER(Media!O66)=TRUE,Media!O66,"")</f>
        <v/>
      </c>
      <c r="O155" s="19" t="str">
        <f>IF(ISNUMBER(Media!P66)=TRUE,Media!P66,"")</f>
        <v/>
      </c>
      <c r="P155" s="19" t="str">
        <f>IF(ISNUMBER(Media!Q66)=TRUE,Media!Q66,"")</f>
        <v/>
      </c>
      <c r="Q155" s="19" t="str">
        <f>IF(ISNUMBER(Media!R66)=TRUE,Media!R66,"")</f>
        <v/>
      </c>
      <c r="R155" s="19" t="str">
        <f>IF(ISNUMBER(Media!S66)=TRUE,Media!S66,"")</f>
        <v/>
      </c>
      <c r="S155" s="19" t="str">
        <f>IF(ISNUMBER(Media!T66)=TRUE,Media!T66,"")</f>
        <v/>
      </c>
      <c r="T155" s="19" t="str">
        <f>IF(ISNUMBER(Media!U66)=TRUE,Media!U66,"")</f>
        <v/>
      </c>
      <c r="U155" s="19" t="str">
        <f>IF(ISNUMBER(Media!V66)=TRUE,Media!V66,"")</f>
        <v/>
      </c>
      <c r="V155" s="19" t="str">
        <f>IF(ISNUMBER(Media!W66)=TRUE,Media!W66,"")</f>
        <v/>
      </c>
      <c r="W155" s="19" t="str">
        <f>IF(ISNUMBER(Media!X66)=TRUE,Media!X66,"")</f>
        <v/>
      </c>
      <c r="X155" s="19" t="str">
        <f>IF(ISNUMBER(Media!Y66)=TRUE,Media!Y66,"")</f>
        <v/>
      </c>
      <c r="Y155" s="19" t="str">
        <f>IF(ISNUMBER(Media!Z66)=TRUE,Media!Z66,"")</f>
        <v/>
      </c>
      <c r="Z155" s="19" t="str">
        <f>IF(ISNUMBER(Media!AA66)=TRUE,Media!AA66,"")</f>
        <v/>
      </c>
      <c r="AA155" s="19" t="str">
        <f>IF(ISNUMBER(Media!AH66)=TRUE,Media!AH66,"")</f>
        <v/>
      </c>
      <c r="AB155" s="19" t="str">
        <f>IF(ISNUMBER(Media!AI66)=TRUE,Media!AI66,"")</f>
        <v/>
      </c>
      <c r="AC155" s="19" t="str">
        <f>IF(ISNUMBER(Media!AJ66)=TRUE,Media!AJ66,"")</f>
        <v/>
      </c>
    </row>
    <row r="156" spans="2:29" x14ac:dyDescent="0.25">
      <c r="B156" s="19" t="s">
        <v>21</v>
      </c>
      <c r="C156" s="19" t="s">
        <v>333</v>
      </c>
      <c r="D156" s="19">
        <f t="shared" si="13"/>
        <v>0</v>
      </c>
      <c r="E156" s="19" t="str">
        <f>IF(ISNUMBER(Media!F67)=TRUE,Media!F67,"")</f>
        <v/>
      </c>
      <c r="F156" s="19" t="str">
        <f>IF(ISNUMBER(Media!G67)=TRUE,Media!G67,"")</f>
        <v/>
      </c>
      <c r="G156" s="19" t="str">
        <f>IF(ISNUMBER(Media!H67)=TRUE,Media!H67,"")</f>
        <v/>
      </c>
      <c r="H156" s="19" t="str">
        <f>IF(ISNUMBER(Media!I67)=TRUE,Media!I67,"")</f>
        <v/>
      </c>
      <c r="I156" s="19" t="str">
        <f>IF(ISNUMBER(Media!J67)=TRUE,Media!J67,"")</f>
        <v/>
      </c>
      <c r="J156" s="19" t="str">
        <f>IF(ISNUMBER(Media!K67)=TRUE,Media!K67,"")</f>
        <v/>
      </c>
      <c r="K156" s="19" t="str">
        <f>IF(ISNUMBER(Media!L67)=TRUE,Media!L67,"")</f>
        <v/>
      </c>
      <c r="L156" s="19" t="str">
        <f>IF(ISNUMBER(Media!M67)=TRUE,Media!M67,"")</f>
        <v/>
      </c>
      <c r="M156" s="19" t="str">
        <f>IF(ISNUMBER(Media!N67)=TRUE,Media!N67,"")</f>
        <v/>
      </c>
      <c r="N156" s="19" t="str">
        <f>IF(ISNUMBER(Media!O67)=TRUE,Media!O67,"")</f>
        <v/>
      </c>
      <c r="O156" s="19" t="str">
        <f>IF(ISNUMBER(Media!P67)=TRUE,Media!P67,"")</f>
        <v/>
      </c>
      <c r="P156" s="19" t="str">
        <f>IF(ISNUMBER(Media!Q67)=TRUE,Media!Q67,"")</f>
        <v/>
      </c>
      <c r="Q156" s="19" t="str">
        <f>IF(ISNUMBER(Media!R67)=TRUE,Media!R67,"")</f>
        <v/>
      </c>
      <c r="R156" s="19" t="str">
        <f>IF(ISNUMBER(Media!S67)=TRUE,Media!S67,"")</f>
        <v/>
      </c>
      <c r="S156" s="19" t="str">
        <f>IF(ISNUMBER(Media!T67)=TRUE,Media!T67,"")</f>
        <v/>
      </c>
      <c r="T156" s="19" t="str">
        <f>IF(ISNUMBER(Media!U67)=TRUE,Media!U67,"")</f>
        <v/>
      </c>
      <c r="U156" s="19" t="str">
        <f>IF(ISNUMBER(Media!V67)=TRUE,Media!V67,"")</f>
        <v/>
      </c>
      <c r="V156" s="19" t="str">
        <f>IF(ISNUMBER(Media!W67)=TRUE,Media!W67,"")</f>
        <v/>
      </c>
      <c r="W156" s="19" t="str">
        <f>IF(ISNUMBER(Media!X67)=TRUE,Media!X67,"")</f>
        <v/>
      </c>
      <c r="X156" s="19" t="str">
        <f>IF(ISNUMBER(Media!Y67)=TRUE,Media!Y67,"")</f>
        <v/>
      </c>
      <c r="Y156" s="19" t="str">
        <f>IF(ISNUMBER(Media!Z67)=TRUE,Media!Z67,"")</f>
        <v/>
      </c>
      <c r="Z156" s="19" t="str">
        <f>IF(ISNUMBER(Media!AA67)=TRUE,Media!AA67,"")</f>
        <v/>
      </c>
      <c r="AA156" s="19" t="str">
        <f>IF(ISNUMBER(Media!AH67)=TRUE,Media!AH67,"")</f>
        <v/>
      </c>
      <c r="AB156" s="19" t="str">
        <f>IF(ISNUMBER(Media!AI67)=TRUE,Media!AI67,"")</f>
        <v/>
      </c>
      <c r="AC156" s="19" t="str">
        <f>IF(ISNUMBER(Media!AJ67)=TRUE,Media!AJ67,"")</f>
        <v/>
      </c>
    </row>
    <row r="157" spans="2:29" x14ac:dyDescent="0.25">
      <c r="B157" s="19" t="s">
        <v>21</v>
      </c>
      <c r="C157" s="19" t="s">
        <v>334</v>
      </c>
      <c r="D157" s="19">
        <f t="shared" si="13"/>
        <v>0</v>
      </c>
      <c r="E157" s="19" t="str">
        <f>IF(ISNUMBER(Media!F68)=TRUE,Media!F68,"")</f>
        <v/>
      </c>
      <c r="F157" s="19" t="str">
        <f>IF(ISNUMBER(Media!G68)=TRUE,Media!G68,"")</f>
        <v/>
      </c>
      <c r="G157" s="19" t="str">
        <f>IF(ISNUMBER(Media!H68)=TRUE,Media!H68,"")</f>
        <v/>
      </c>
      <c r="H157" s="19" t="str">
        <f>IF(ISNUMBER(Media!I68)=TRUE,Media!I68,"")</f>
        <v/>
      </c>
      <c r="I157" s="19" t="str">
        <f>IF(ISNUMBER(Media!J68)=TRUE,Media!J68,"")</f>
        <v/>
      </c>
      <c r="J157" s="19" t="str">
        <f>IF(ISNUMBER(Media!K68)=TRUE,Media!K68,"")</f>
        <v/>
      </c>
      <c r="K157" s="19" t="str">
        <f>IF(ISNUMBER(Media!L68)=TRUE,Media!L68,"")</f>
        <v/>
      </c>
      <c r="L157" s="19" t="str">
        <f>IF(ISNUMBER(Media!M68)=TRUE,Media!M68,"")</f>
        <v/>
      </c>
      <c r="M157" s="19" t="str">
        <f>IF(ISNUMBER(Media!N68)=TRUE,Media!N68,"")</f>
        <v/>
      </c>
      <c r="N157" s="19" t="str">
        <f>IF(ISNUMBER(Media!O68)=TRUE,Media!O68,"")</f>
        <v/>
      </c>
      <c r="O157" s="19" t="str">
        <f>IF(ISNUMBER(Media!P68)=TRUE,Media!P68,"")</f>
        <v/>
      </c>
      <c r="P157" s="19" t="str">
        <f>IF(ISNUMBER(Media!Q68)=TRUE,Media!Q68,"")</f>
        <v/>
      </c>
      <c r="Q157" s="19" t="str">
        <f>IF(ISNUMBER(Media!R68)=TRUE,Media!R68,"")</f>
        <v/>
      </c>
      <c r="R157" s="19" t="str">
        <f>IF(ISNUMBER(Media!S68)=TRUE,Media!S68,"")</f>
        <v/>
      </c>
      <c r="S157" s="19" t="str">
        <f>IF(ISNUMBER(Media!T68)=TRUE,Media!T68,"")</f>
        <v/>
      </c>
      <c r="T157" s="19" t="str">
        <f>IF(ISNUMBER(Media!U68)=TRUE,Media!U68,"")</f>
        <v/>
      </c>
      <c r="U157" s="19" t="str">
        <f>IF(ISNUMBER(Media!V68)=TRUE,Media!V68,"")</f>
        <v/>
      </c>
      <c r="V157" s="19" t="str">
        <f>IF(ISNUMBER(Media!W68)=TRUE,Media!W68,"")</f>
        <v/>
      </c>
      <c r="W157" s="19" t="str">
        <f>IF(ISNUMBER(Media!X68)=TRUE,Media!X68,"")</f>
        <v/>
      </c>
      <c r="X157" s="19" t="str">
        <f>IF(ISNUMBER(Media!Y68)=TRUE,Media!Y68,"")</f>
        <v/>
      </c>
      <c r="Y157" s="19" t="str">
        <f>IF(ISNUMBER(Media!Z68)=TRUE,Media!Z68,"")</f>
        <v/>
      </c>
      <c r="Z157" s="19" t="str">
        <f>IF(ISNUMBER(Media!AA68)=TRUE,Media!AA68,"")</f>
        <v/>
      </c>
      <c r="AA157" s="19" t="str">
        <f>IF(ISNUMBER(Media!AH68)=TRUE,Media!AH68,"")</f>
        <v/>
      </c>
      <c r="AB157" s="19" t="str">
        <f>IF(ISNUMBER(Media!AI68)=TRUE,Media!AI68,"")</f>
        <v/>
      </c>
      <c r="AC157" s="19" t="str">
        <f>IF(ISNUMBER(Media!AJ68)=TRUE,Media!AJ68,"")</f>
        <v/>
      </c>
    </row>
    <row r="158" spans="2:29" x14ac:dyDescent="0.25">
      <c r="B158" s="19" t="s">
        <v>21</v>
      </c>
      <c r="C158" s="19" t="s">
        <v>335</v>
      </c>
      <c r="D158" s="19">
        <f t="shared" si="13"/>
        <v>0</v>
      </c>
      <c r="E158" s="19" t="str">
        <f>IF(ISNUMBER(Media!F71)=TRUE,Media!F71,"")</f>
        <v/>
      </c>
      <c r="F158" s="19" t="str">
        <f>IF(ISNUMBER(Media!G71)=TRUE,Media!G71,"")</f>
        <v/>
      </c>
      <c r="G158" s="19" t="str">
        <f>IF(ISNUMBER(Media!H71)=TRUE,Media!H71,"")</f>
        <v/>
      </c>
      <c r="H158" s="19" t="str">
        <f>IF(ISNUMBER(Media!I71)=TRUE,Media!I71,"")</f>
        <v/>
      </c>
      <c r="I158" s="19"/>
      <c r="J158" s="19"/>
      <c r="K158" s="19"/>
      <c r="L158" s="19"/>
      <c r="M158" s="19"/>
      <c r="N158" s="19"/>
      <c r="O158" s="19"/>
      <c r="P158" s="19"/>
      <c r="Q158" s="19"/>
      <c r="R158" s="19"/>
      <c r="S158" s="19"/>
      <c r="T158" s="19"/>
      <c r="U158" s="19"/>
      <c r="V158" s="19"/>
      <c r="W158" s="19"/>
      <c r="X158" s="19"/>
      <c r="Y158" s="19"/>
      <c r="Z158" s="19"/>
      <c r="AA158" s="19"/>
      <c r="AB158" s="19"/>
      <c r="AC158" s="19"/>
    </row>
    <row r="159" spans="2:29" x14ac:dyDescent="0.25">
      <c r="B159" s="19" t="s">
        <v>21</v>
      </c>
      <c r="C159" s="19" t="s">
        <v>336</v>
      </c>
      <c r="D159" s="19">
        <f t="shared" si="13"/>
        <v>0</v>
      </c>
      <c r="E159" s="19" t="str">
        <f>IF(ISNUMBER(Media!F72)=TRUE,Media!F72,"")</f>
        <v/>
      </c>
      <c r="F159" s="19" t="str">
        <f>IF(ISNUMBER(Media!G72)=TRUE,Media!G72,"")</f>
        <v/>
      </c>
      <c r="G159" s="19" t="str">
        <f>IF(ISNUMBER(Media!H72)=TRUE,Media!H72,"")</f>
        <v/>
      </c>
      <c r="H159" s="19" t="str">
        <f>IF(ISNUMBER(Media!I72)=TRUE,Media!I72,"")</f>
        <v/>
      </c>
      <c r="I159" s="19"/>
      <c r="J159" s="19"/>
      <c r="K159" s="19"/>
      <c r="L159" s="19"/>
      <c r="M159" s="19"/>
      <c r="N159" s="19"/>
      <c r="O159" s="19"/>
      <c r="P159" s="19"/>
      <c r="Q159" s="19"/>
      <c r="R159" s="19"/>
      <c r="S159" s="19"/>
      <c r="T159" s="19"/>
      <c r="U159" s="19"/>
      <c r="V159" s="19"/>
      <c r="W159" s="19"/>
      <c r="X159" s="19"/>
      <c r="Y159" s="19"/>
      <c r="Z159" s="19"/>
      <c r="AA159" s="19"/>
      <c r="AB159" s="19"/>
      <c r="AC159" s="19"/>
    </row>
    <row r="160" spans="2:29" x14ac:dyDescent="0.25">
      <c r="B160" s="19" t="s">
        <v>21</v>
      </c>
      <c r="C160" s="19" t="s">
        <v>337</v>
      </c>
      <c r="D160" s="19">
        <f t="shared" si="13"/>
        <v>0</v>
      </c>
      <c r="E160" s="19" t="str">
        <f>IF(ISNUMBER(Media!F73)=TRUE,Media!F73,"")</f>
        <v/>
      </c>
      <c r="F160" s="19" t="str">
        <f>IF(ISNUMBER(Media!G73)=TRUE,Media!G73,"")</f>
        <v/>
      </c>
      <c r="G160" s="19" t="str">
        <f>IF(ISNUMBER(Media!H73)=TRUE,Media!H73,"")</f>
        <v/>
      </c>
      <c r="H160" s="19" t="str">
        <f>IF(ISNUMBER(Media!I73)=TRUE,Media!I73,"")</f>
        <v/>
      </c>
      <c r="I160" s="19"/>
      <c r="J160" s="19"/>
      <c r="K160" s="19"/>
      <c r="L160" s="19"/>
      <c r="M160" s="19"/>
      <c r="N160" s="19"/>
      <c r="O160" s="19"/>
      <c r="P160" s="19"/>
      <c r="Q160" s="19"/>
      <c r="R160" s="19"/>
      <c r="S160" s="19"/>
      <c r="T160" s="19"/>
      <c r="U160" s="19"/>
      <c r="V160" s="19"/>
      <c r="W160" s="19"/>
      <c r="X160" s="19"/>
      <c r="Y160" s="19"/>
      <c r="Z160" s="19"/>
      <c r="AA160" s="19"/>
      <c r="AB160" s="19"/>
      <c r="AC160" s="19"/>
    </row>
    <row r="161" spans="2:29" x14ac:dyDescent="0.25">
      <c r="B161" s="19" t="s">
        <v>21</v>
      </c>
      <c r="C161" s="19" t="s">
        <v>338</v>
      </c>
      <c r="D161" s="19">
        <f t="shared" si="13"/>
        <v>0</v>
      </c>
      <c r="E161" s="19" t="str">
        <f>IF(ISNUMBER(Media!F74)=TRUE,Media!F74,"")</f>
        <v/>
      </c>
      <c r="F161" s="19" t="str">
        <f>IF(ISNUMBER(Media!G74)=TRUE,Media!G74,"")</f>
        <v/>
      </c>
      <c r="G161" s="19" t="str">
        <f>IF(ISNUMBER(Media!H74)=TRUE,Media!H74,"")</f>
        <v/>
      </c>
      <c r="H161" s="19" t="str">
        <f>IF(ISNUMBER(Media!I74)=TRUE,Media!I74,"")</f>
        <v/>
      </c>
      <c r="I161" s="19"/>
      <c r="J161" s="19"/>
      <c r="K161" s="19"/>
      <c r="L161" s="19"/>
      <c r="M161" s="19"/>
      <c r="N161" s="19"/>
      <c r="O161" s="19"/>
      <c r="P161" s="19"/>
      <c r="Q161" s="19"/>
      <c r="R161" s="19"/>
      <c r="S161" s="19"/>
      <c r="T161" s="19"/>
      <c r="U161" s="19"/>
      <c r="V161" s="19"/>
      <c r="W161" s="19"/>
      <c r="X161" s="19"/>
      <c r="Y161" s="19"/>
      <c r="Z161" s="19"/>
      <c r="AA161" s="19"/>
      <c r="AB161" s="19"/>
      <c r="AC161" s="19"/>
    </row>
    <row r="162" spans="2:29" x14ac:dyDescent="0.25">
      <c r="B162" s="19" t="s">
        <v>21</v>
      </c>
      <c r="C162" s="19" t="s">
        <v>339</v>
      </c>
      <c r="D162" s="19">
        <f t="shared" si="13"/>
        <v>0</v>
      </c>
      <c r="E162" s="19" t="str">
        <f>IF(ISNUMBER(Media!F75)=TRUE,Media!F75,"")</f>
        <v/>
      </c>
      <c r="F162" s="19" t="str">
        <f>IF(ISNUMBER(Media!G75)=TRUE,Media!G75,"")</f>
        <v/>
      </c>
      <c r="G162" s="19" t="str">
        <f>IF(ISNUMBER(Media!H75)=TRUE,Media!H75,"")</f>
        <v/>
      </c>
      <c r="H162" s="19" t="str">
        <f>IF(ISNUMBER(Media!I75)=TRUE,Media!I75,"")</f>
        <v/>
      </c>
      <c r="I162" s="19"/>
      <c r="J162" s="19"/>
      <c r="K162" s="19"/>
      <c r="L162" s="19"/>
      <c r="M162" s="19"/>
      <c r="N162" s="19"/>
      <c r="O162" s="19"/>
      <c r="P162" s="19"/>
      <c r="Q162" s="19"/>
      <c r="R162" s="19"/>
      <c r="S162" s="19"/>
      <c r="T162" s="19"/>
      <c r="U162" s="19"/>
      <c r="V162" s="19"/>
      <c r="W162" s="19"/>
      <c r="X162" s="19"/>
      <c r="Y162" s="19"/>
      <c r="Z162" s="19"/>
      <c r="AA162" s="19"/>
      <c r="AB162" s="19"/>
      <c r="AC162" s="19"/>
    </row>
    <row r="163" spans="2:29" x14ac:dyDescent="0.25">
      <c r="B163" s="19" t="s">
        <v>21</v>
      </c>
      <c r="C163" s="19" t="s">
        <v>340</v>
      </c>
      <c r="D163" s="19">
        <f t="shared" si="13"/>
        <v>0</v>
      </c>
      <c r="E163" s="19" t="str">
        <f>IF(ISNUMBER(Media!F76)=TRUE,Media!F76,"")</f>
        <v/>
      </c>
      <c r="F163" s="19" t="str">
        <f>IF(ISNUMBER(Media!G76)=TRUE,Media!G76,"")</f>
        <v/>
      </c>
      <c r="G163" s="19" t="str">
        <f>IF(ISNUMBER(Media!H76)=TRUE,Media!H76,"")</f>
        <v/>
      </c>
      <c r="H163" s="19" t="str">
        <f>IF(ISNUMBER(Media!I76)=TRUE,Media!I76,"")</f>
        <v/>
      </c>
      <c r="I163" s="19"/>
      <c r="J163" s="19"/>
      <c r="K163" s="19"/>
      <c r="L163" s="19"/>
      <c r="M163" s="19"/>
      <c r="N163" s="19"/>
      <c r="O163" s="19"/>
      <c r="P163" s="19"/>
      <c r="Q163" s="19"/>
      <c r="R163" s="19"/>
      <c r="S163" s="19"/>
      <c r="T163" s="19"/>
      <c r="U163" s="19"/>
      <c r="V163" s="19"/>
      <c r="W163" s="19"/>
      <c r="X163" s="19"/>
      <c r="Y163" s="19"/>
      <c r="Z163" s="19"/>
      <c r="AA163" s="19"/>
      <c r="AB163" s="19"/>
      <c r="AC163" s="19"/>
    </row>
    <row r="164" spans="2:29" x14ac:dyDescent="0.25">
      <c r="B164" s="19" t="s">
        <v>21</v>
      </c>
      <c r="C164" s="19" t="s">
        <v>341</v>
      </c>
      <c r="D164" s="19">
        <f t="shared" si="13"/>
        <v>0</v>
      </c>
      <c r="E164" s="19" t="str">
        <f>IF(ISNUMBER(Media!F77)=TRUE,Media!F77,"")</f>
        <v/>
      </c>
      <c r="F164" s="19" t="str">
        <f>IF(ISNUMBER(Media!G77)=TRUE,Media!G77,"")</f>
        <v/>
      </c>
      <c r="G164" s="19" t="str">
        <f>IF(ISNUMBER(Media!H77)=TRUE,Media!H77,"")</f>
        <v/>
      </c>
      <c r="H164" s="19" t="str">
        <f>IF(ISNUMBER(Media!I77)=TRUE,Media!I77,"")</f>
        <v/>
      </c>
      <c r="I164" s="19"/>
      <c r="J164" s="19"/>
      <c r="K164" s="19"/>
      <c r="L164" s="19"/>
      <c r="M164" s="19"/>
      <c r="N164" s="19"/>
      <c r="O164" s="19"/>
      <c r="P164" s="19"/>
      <c r="Q164" s="19"/>
      <c r="R164" s="19"/>
      <c r="S164" s="19"/>
      <c r="T164" s="19"/>
      <c r="U164" s="19"/>
      <c r="V164" s="19"/>
      <c r="W164" s="19"/>
      <c r="X164" s="19"/>
      <c r="Y164" s="19"/>
      <c r="Z164" s="19"/>
      <c r="AA164" s="19"/>
      <c r="AB164" s="19"/>
      <c r="AC164" s="19"/>
    </row>
    <row r="165" spans="2:29" x14ac:dyDescent="0.25">
      <c r="B165" s="19" t="s">
        <v>21</v>
      </c>
      <c r="C165" s="19" t="s">
        <v>342</v>
      </c>
      <c r="D165" s="19">
        <f t="shared" si="13"/>
        <v>0</v>
      </c>
      <c r="E165" s="19" t="str">
        <f>IF(ISNUMBER(Media!F78)=TRUE,Media!F78,"")</f>
        <v/>
      </c>
      <c r="F165" s="19" t="str">
        <f>IF(ISNUMBER(Media!G78)=TRUE,Media!G78,"")</f>
        <v/>
      </c>
      <c r="G165" s="19" t="str">
        <f>IF(ISNUMBER(Media!H78)=TRUE,Media!H78,"")</f>
        <v/>
      </c>
      <c r="H165" s="19" t="str">
        <f>IF(ISNUMBER(Media!I78)=TRUE,Media!I78,"")</f>
        <v/>
      </c>
      <c r="I165" s="19"/>
      <c r="J165" s="19"/>
      <c r="K165" s="19"/>
      <c r="L165" s="19"/>
      <c r="M165" s="19"/>
      <c r="N165" s="19"/>
      <c r="O165" s="19"/>
      <c r="P165" s="19"/>
      <c r="Q165" s="19"/>
      <c r="R165" s="19"/>
      <c r="S165" s="19"/>
      <c r="T165" s="19"/>
      <c r="U165" s="19"/>
      <c r="V165" s="19"/>
      <c r="W165" s="19"/>
      <c r="X165" s="19"/>
      <c r="Y165" s="19"/>
      <c r="Z165" s="19"/>
      <c r="AA165" s="19"/>
      <c r="AB165" s="19"/>
      <c r="AC165" s="19"/>
    </row>
    <row r="166" spans="2:29" x14ac:dyDescent="0.25">
      <c r="B166" s="19" t="s">
        <v>21</v>
      </c>
      <c r="C166" s="19" t="s">
        <v>343</v>
      </c>
      <c r="D166" s="19">
        <f t="shared" si="13"/>
        <v>0</v>
      </c>
      <c r="E166" s="19" t="str">
        <f>IF(ISNUMBER(Media!F79)=TRUE,Media!F79,"")</f>
        <v/>
      </c>
      <c r="F166" s="19" t="str">
        <f>IF(ISNUMBER(Media!G79)=TRUE,Media!G79,"")</f>
        <v/>
      </c>
      <c r="G166" s="19" t="str">
        <f>IF(ISNUMBER(Media!H79)=TRUE,Media!H79,"")</f>
        <v/>
      </c>
      <c r="H166" s="19" t="str">
        <f>IF(ISNUMBER(Media!I79)=TRUE,Media!I79,"")</f>
        <v/>
      </c>
      <c r="I166" s="19"/>
      <c r="J166" s="19"/>
      <c r="K166" s="19"/>
      <c r="L166" s="19"/>
      <c r="M166" s="19"/>
      <c r="N166" s="19"/>
      <c r="O166" s="19"/>
      <c r="P166" s="19"/>
      <c r="Q166" s="19"/>
      <c r="R166" s="19"/>
      <c r="S166" s="19"/>
      <c r="T166" s="19"/>
      <c r="U166" s="19"/>
      <c r="V166" s="19"/>
      <c r="W166" s="19"/>
      <c r="X166" s="19"/>
      <c r="Y166" s="19"/>
      <c r="Z166" s="19"/>
      <c r="AA166" s="19"/>
      <c r="AB166" s="19"/>
      <c r="AC166" s="19"/>
    </row>
    <row r="167" spans="2:29" x14ac:dyDescent="0.25">
      <c r="B167" s="19" t="s">
        <v>21</v>
      </c>
      <c r="C167" s="19" t="s">
        <v>135</v>
      </c>
      <c r="D167" s="19">
        <f t="shared" si="13"/>
        <v>7</v>
      </c>
      <c r="E167" s="19">
        <f>IF(ISNUMBER(Media!F81)=TRUE,Media!F81*365,"")</f>
        <v>0</v>
      </c>
      <c r="F167" s="19">
        <f>IF(ISNUMBER(Media!G81)=TRUE,Media!G81*365,"")</f>
        <v>91.25</v>
      </c>
      <c r="G167" s="19">
        <f>IF(ISNUMBER(Media!H81)=TRUE,Media!H81*365,"")</f>
        <v>365</v>
      </c>
      <c r="H167" s="19">
        <f>IF(ISNUMBER(Media!I81)=TRUE,Media!I81*365,"")</f>
        <v>3650</v>
      </c>
      <c r="I167" s="19">
        <f>IF(ISNUMBER(Media!J81)=TRUE,Media!J81*365,"")</f>
        <v>5475</v>
      </c>
      <c r="J167" s="19">
        <f>IF(ISNUMBER(Media!K81)=TRUE,Media!K81*365,"")</f>
        <v>9125</v>
      </c>
      <c r="K167" s="19">
        <f>IF(ISNUMBER(Media!L81)=TRUE,Media!L81*365,"")</f>
        <v>18250</v>
      </c>
      <c r="L167" s="19" t="str">
        <f>IF(ISNUMBER(Media!M81)=TRUE,Media!M81*365,"")</f>
        <v/>
      </c>
      <c r="M167" s="19" t="str">
        <f>IF(ISNUMBER(Media!N81)=TRUE,Media!N81*365,"")</f>
        <v/>
      </c>
      <c r="N167" s="19" t="str">
        <f>IF(ISNUMBER(Media!O81)=TRUE,Media!O81*365,"")</f>
        <v/>
      </c>
      <c r="O167" s="19" t="str">
        <f>IF(ISNUMBER(Media!P81)=TRUE,Media!P81*365,"")</f>
        <v/>
      </c>
      <c r="P167" s="19" t="str">
        <f>IF(ISNUMBER(Media!Q81)=TRUE,Media!Q81*365,"")</f>
        <v/>
      </c>
      <c r="Q167" s="19" t="str">
        <f>IF(ISNUMBER(Media!R81)=TRUE,Media!R81*365,"")</f>
        <v/>
      </c>
      <c r="R167" s="19" t="str">
        <f>IF(ISNUMBER(Media!S81)=TRUE,Media!S81*365,"")</f>
        <v/>
      </c>
      <c r="S167" s="19" t="str">
        <f>IF(ISNUMBER(Media!T81)=TRUE,Media!T81*365,"")</f>
        <v/>
      </c>
      <c r="T167" s="19" t="str">
        <f>IF(ISNUMBER(Media!U81)=TRUE,Media!U81*365,"")</f>
        <v/>
      </c>
      <c r="U167" s="19" t="str">
        <f>IF(ISNUMBER(Media!V81)=TRUE,Media!V81*365,"")</f>
        <v/>
      </c>
      <c r="V167" s="19" t="str">
        <f>IF(ISNUMBER(Media!W81)=TRUE,Media!W81*365,"")</f>
        <v/>
      </c>
      <c r="W167" s="19" t="str">
        <f>IF(ISNUMBER(Media!X81)=TRUE,Media!X81*365,"")</f>
        <v/>
      </c>
      <c r="X167" s="19" t="str">
        <f>IF(ISNUMBER(Media!Y81)=TRUE,Media!Y81*365,"")</f>
        <v/>
      </c>
      <c r="Y167" s="19" t="str">
        <f>IF(ISNUMBER(Media!Z81)=TRUE,Media!Z81*365,"")</f>
        <v/>
      </c>
      <c r="Z167" s="19" t="str">
        <f>IF(ISNUMBER(Media!AA81)=TRUE,Media!AA81*365,"")</f>
        <v/>
      </c>
      <c r="AA167" s="19" t="str">
        <f>IF(ISNUMBER(Media!AH81)=TRUE,Media!AH81*365,"")</f>
        <v/>
      </c>
      <c r="AB167" s="19" t="str">
        <f>IF(ISNUMBER(Media!AI81)=TRUE,Media!AI81*365,"")</f>
        <v/>
      </c>
      <c r="AC167" s="19" t="str">
        <f>IF(ISNUMBER(Media!AJ81)=TRUE,Media!AJ81*365,"")</f>
        <v/>
      </c>
    </row>
    <row r="168" spans="2:29" x14ac:dyDescent="0.25">
      <c r="B168" s="19" t="s">
        <v>21</v>
      </c>
      <c r="C168" s="19" t="s">
        <v>136</v>
      </c>
      <c r="D168" s="19">
        <f t="shared" si="13"/>
        <v>7</v>
      </c>
      <c r="E168" s="19">
        <f>IF(ISNUMBER(Media!F82)=TRUE,Media!F82,"")</f>
        <v>0.2</v>
      </c>
      <c r="F168" s="19">
        <f>IF(ISNUMBER(Media!G82)=TRUE,Media!G82,"")</f>
        <v>0.3</v>
      </c>
      <c r="G168" s="19">
        <f>IF(ISNUMBER(Media!H82)=TRUE,Media!H82,"")</f>
        <v>0.35</v>
      </c>
      <c r="H168" s="19">
        <f>IF(ISNUMBER(Media!I82)=TRUE,Media!I82,"")</f>
        <v>0.45</v>
      </c>
      <c r="I168" s="19">
        <f>IF(ISNUMBER(Media!J82)=TRUE,Media!J82,"")</f>
        <v>0.55000000000000004</v>
      </c>
      <c r="J168" s="19">
        <f>IF(ISNUMBER(Media!K82)=TRUE,Media!K82,"")</f>
        <v>0.7</v>
      </c>
      <c r="K168" s="19">
        <f>IF(ISNUMBER(Media!L82)=TRUE,Media!L82,"")</f>
        <v>1.04</v>
      </c>
      <c r="L168" s="19" t="str">
        <f>IF(ISNUMBER(Media!M82)=TRUE,Media!M82,"")</f>
        <v/>
      </c>
      <c r="M168" s="19" t="str">
        <f>IF(ISNUMBER(Media!N82)=TRUE,Media!N82,"")</f>
        <v/>
      </c>
      <c r="N168" s="19" t="str">
        <f>IF(ISNUMBER(Media!O82)=TRUE,Media!O82,"")</f>
        <v/>
      </c>
      <c r="O168" s="19" t="str">
        <f>IF(ISNUMBER(Media!P82)=TRUE,Media!P82,"")</f>
        <v/>
      </c>
      <c r="P168" s="19" t="str">
        <f>IF(ISNUMBER(Media!Q82)=TRUE,Media!Q82,"")</f>
        <v/>
      </c>
      <c r="Q168" s="19" t="str">
        <f>IF(ISNUMBER(Media!R82)=TRUE,Media!R82,"")</f>
        <v/>
      </c>
      <c r="R168" s="19" t="str">
        <f>IF(ISNUMBER(Media!S82)=TRUE,Media!S82,"")</f>
        <v/>
      </c>
      <c r="S168" s="19" t="str">
        <f>IF(ISNUMBER(Media!T82)=TRUE,Media!T82,"")</f>
        <v/>
      </c>
      <c r="T168" s="19" t="str">
        <f>IF(ISNUMBER(Media!U82)=TRUE,Media!U82,"")</f>
        <v/>
      </c>
      <c r="U168" s="19" t="str">
        <f>IF(ISNUMBER(Media!V82)=TRUE,Media!V82,"")</f>
        <v/>
      </c>
      <c r="V168" s="19" t="str">
        <f>IF(ISNUMBER(Media!W82)=TRUE,Media!W82,"")</f>
        <v/>
      </c>
      <c r="W168" s="19" t="str">
        <f>IF(ISNUMBER(Media!X82)=TRUE,Media!X82,"")</f>
        <v/>
      </c>
      <c r="X168" s="19" t="str">
        <f>IF(ISNUMBER(Media!Y82)=TRUE,Media!Y82,"")</f>
        <v/>
      </c>
      <c r="Y168" s="19" t="str">
        <f>IF(ISNUMBER(Media!Z82)=TRUE,Media!Z82,"")</f>
        <v/>
      </c>
      <c r="Z168" s="19" t="str">
        <f>IF(ISNUMBER(Media!AA82)=TRUE,Media!AA82,"")</f>
        <v/>
      </c>
      <c r="AA168" s="19" t="str">
        <f>IF(ISNUMBER(Media!AH82)=TRUE,Media!AH82,"")</f>
        <v/>
      </c>
      <c r="AB168" s="19" t="str">
        <f>IF(ISNUMBER(Media!AI82)=TRUE,Media!AI82,"")</f>
        <v/>
      </c>
      <c r="AC168" s="19" t="str">
        <f>IF(ISNUMBER(Media!AJ82)=TRUE,Media!AJ82,"")</f>
        <v/>
      </c>
    </row>
    <row r="169" spans="2:29" x14ac:dyDescent="0.25">
      <c r="B169" s="19" t="s">
        <v>21</v>
      </c>
      <c r="C169" s="19" t="s">
        <v>137</v>
      </c>
      <c r="D169" s="19">
        <f t="shared" si="13"/>
        <v>7</v>
      </c>
      <c r="E169" s="19">
        <f>IF(ISNUMBER(Media!F83)=TRUE,Media!F83,"")</f>
        <v>1</v>
      </c>
      <c r="F169" s="19">
        <f>IF(ISNUMBER(Media!G83)=TRUE,Media!G83,"")</f>
        <v>1</v>
      </c>
      <c r="G169" s="19">
        <f>IF(ISNUMBER(Media!H83)=TRUE,Media!H83,"")</f>
        <v>1</v>
      </c>
      <c r="H169" s="19">
        <f>IF(ISNUMBER(Media!I83)=TRUE,Media!I83,"")</f>
        <v>1</v>
      </c>
      <c r="I169" s="19">
        <f>IF(ISNUMBER(Media!J83)=TRUE,Media!J83,"")</f>
        <v>1</v>
      </c>
      <c r="J169" s="19">
        <f>IF(ISNUMBER(Media!K83)=TRUE,Media!K83,"")</f>
        <v>1</v>
      </c>
      <c r="K169" s="19">
        <f>IF(ISNUMBER(Media!L83)=TRUE,Media!L83,"")</f>
        <v>1</v>
      </c>
      <c r="L169" s="19" t="str">
        <f>IF(ISNUMBER(Media!M83)=TRUE,Media!M83,"")</f>
        <v/>
      </c>
      <c r="M169" s="19" t="str">
        <f>IF(ISNUMBER(Media!N83)=TRUE,Media!N83,"")</f>
        <v/>
      </c>
      <c r="N169" s="19" t="str">
        <f>IF(ISNUMBER(Media!O83)=TRUE,Media!O83,"")</f>
        <v/>
      </c>
      <c r="O169" s="19" t="str">
        <f>IF(ISNUMBER(Media!P83)=TRUE,Media!P83,"")</f>
        <v/>
      </c>
      <c r="P169" s="19" t="str">
        <f>IF(ISNUMBER(Media!Q83)=TRUE,Media!Q83,"")</f>
        <v/>
      </c>
      <c r="Q169" s="19" t="str">
        <f>IF(ISNUMBER(Media!R83)=TRUE,Media!R83,"")</f>
        <v/>
      </c>
      <c r="R169" s="19" t="str">
        <f>IF(ISNUMBER(Media!S83)=TRUE,Media!S83,"")</f>
        <v/>
      </c>
      <c r="S169" s="19" t="str">
        <f>IF(ISNUMBER(Media!T83)=TRUE,Media!T83,"")</f>
        <v/>
      </c>
      <c r="T169" s="19" t="str">
        <f>IF(ISNUMBER(Media!U83)=TRUE,Media!U83,"")</f>
        <v/>
      </c>
      <c r="U169" s="19" t="str">
        <f>IF(ISNUMBER(Media!V83)=TRUE,Media!V83,"")</f>
        <v/>
      </c>
      <c r="V169" s="19" t="str">
        <f>IF(ISNUMBER(Media!W83)=TRUE,Media!W83,"")</f>
        <v/>
      </c>
      <c r="W169" s="19" t="str">
        <f>IF(ISNUMBER(Media!X83)=TRUE,Media!X83,"")</f>
        <v/>
      </c>
      <c r="X169" s="19" t="str">
        <f>IF(ISNUMBER(Media!Y83)=TRUE,Media!Y83,"")</f>
        <v/>
      </c>
      <c r="Y169" s="19" t="str">
        <f>IF(ISNUMBER(Media!Z83)=TRUE,Media!Z83,"")</f>
        <v/>
      </c>
      <c r="Z169" s="19" t="str">
        <f>IF(ISNUMBER(Media!AA83)=TRUE,Media!AA83,"")</f>
        <v/>
      </c>
      <c r="AA169" s="19" t="str">
        <f>IF(ISNUMBER(Media!AH83)=TRUE,Media!AH83,"")</f>
        <v/>
      </c>
      <c r="AB169" s="19" t="str">
        <f>IF(ISNUMBER(Media!AI83)=TRUE,Media!AI83,"")</f>
        <v/>
      </c>
      <c r="AC169" s="19" t="str">
        <f>IF(ISNUMBER(Media!AJ83)=TRUE,Media!AJ83,"")</f>
        <v/>
      </c>
    </row>
    <row r="170" spans="2:29" x14ac:dyDescent="0.25">
      <c r="B170" s="19" t="s">
        <v>21</v>
      </c>
      <c r="C170" s="19" t="s">
        <v>344</v>
      </c>
      <c r="D170" s="19">
        <f t="shared" si="13"/>
        <v>0</v>
      </c>
      <c r="E170" s="19" t="str">
        <f>IF(ISNUMBER(Media!F84)=TRUE,Media!F84,"")</f>
        <v/>
      </c>
      <c r="F170" s="19" t="str">
        <f>IF(ISNUMBER(Media!G84)=TRUE,Media!G84,"")</f>
        <v/>
      </c>
      <c r="G170" s="19" t="str">
        <f>IF(ISNUMBER(Media!H84)=TRUE,Media!H84,"")</f>
        <v/>
      </c>
      <c r="H170" s="19" t="str">
        <f>IF(ISNUMBER(Media!I84)=TRUE,Media!I84,"")</f>
        <v/>
      </c>
      <c r="I170" s="19" t="str">
        <f>IF(ISNUMBER(Media!J84)=TRUE,Media!J84,"")</f>
        <v/>
      </c>
      <c r="J170" s="19" t="str">
        <f>IF(ISNUMBER(Media!K84)=TRUE,Media!K84,"")</f>
        <v/>
      </c>
      <c r="K170" s="19" t="str">
        <f>IF(ISNUMBER(Media!L84)=TRUE,Media!L84,"")</f>
        <v/>
      </c>
      <c r="L170" s="19" t="str">
        <f>IF(ISNUMBER(Media!M84)=TRUE,Media!M84,"")</f>
        <v/>
      </c>
      <c r="M170" s="19" t="str">
        <f>IF(ISNUMBER(Media!N84)=TRUE,Media!N84,"")</f>
        <v/>
      </c>
      <c r="N170" s="19" t="str">
        <f>IF(ISNUMBER(Media!O84)=TRUE,Media!O84,"")</f>
        <v/>
      </c>
      <c r="O170" s="19" t="str">
        <f>IF(ISNUMBER(Media!P84)=TRUE,Media!P84,"")</f>
        <v/>
      </c>
      <c r="P170" s="19" t="str">
        <f>IF(ISNUMBER(Media!Q84)=TRUE,Media!Q84,"")</f>
        <v/>
      </c>
      <c r="Q170" s="19" t="str">
        <f>IF(ISNUMBER(Media!R84)=TRUE,Media!R84,"")</f>
        <v/>
      </c>
      <c r="R170" s="19" t="str">
        <f>IF(ISNUMBER(Media!S84)=TRUE,Media!S84,"")</f>
        <v/>
      </c>
      <c r="S170" s="19" t="str">
        <f>IF(ISNUMBER(Media!T84)=TRUE,Media!T84,"")</f>
        <v/>
      </c>
      <c r="T170" s="19" t="str">
        <f>IF(ISNUMBER(Media!U84)=TRUE,Media!U84,"")</f>
        <v/>
      </c>
      <c r="U170" s="19" t="str">
        <f>IF(ISNUMBER(Media!V84)=TRUE,Media!V84,"")</f>
        <v/>
      </c>
      <c r="V170" s="19" t="str">
        <f>IF(ISNUMBER(Media!W84)=TRUE,Media!W84,"")</f>
        <v/>
      </c>
      <c r="W170" s="19" t="str">
        <f>IF(ISNUMBER(Media!X84)=TRUE,Media!X84,"")</f>
        <v/>
      </c>
      <c r="X170" s="19" t="str">
        <f>IF(ISNUMBER(Media!Y84)=TRUE,Media!Y84,"")</f>
        <v/>
      </c>
      <c r="Y170" s="19" t="str">
        <f>IF(ISNUMBER(Media!Z84)=TRUE,Media!Z84,"")</f>
        <v/>
      </c>
      <c r="Z170" s="19" t="str">
        <f>IF(ISNUMBER(Media!AA84)=TRUE,Media!AA84,"")</f>
        <v/>
      </c>
      <c r="AA170" s="19" t="str">
        <f>IF(ISNUMBER(Media!AH84)=TRUE,Media!AH84,"")</f>
        <v/>
      </c>
      <c r="AB170" s="19" t="str">
        <f>IF(ISNUMBER(Media!AI84)=TRUE,Media!AI84,"")</f>
        <v/>
      </c>
      <c r="AC170" s="19" t="str">
        <f>IF(ISNUMBER(Media!AJ84)=TRUE,Media!AJ84,"")</f>
        <v/>
      </c>
    </row>
    <row r="171" spans="2:29" x14ac:dyDescent="0.25">
      <c r="B171" s="19" t="s">
        <v>21</v>
      </c>
      <c r="C171" s="19" t="s">
        <v>345</v>
      </c>
      <c r="D171" s="19">
        <f t="shared" si="13"/>
        <v>0</v>
      </c>
      <c r="E171" s="19" t="str">
        <f>IF(ISNUMBER(Media!F85)=TRUE,Media!F85,"")</f>
        <v/>
      </c>
      <c r="F171" s="19" t="str">
        <f>IF(ISNUMBER(Media!G85)=TRUE,Media!G85,"")</f>
        <v/>
      </c>
      <c r="G171" s="19" t="str">
        <f>IF(ISNUMBER(Media!H85)=TRUE,Media!H85,"")</f>
        <v/>
      </c>
      <c r="H171" s="19" t="str">
        <f>IF(ISNUMBER(Media!I85)=TRUE,Media!I85,"")</f>
        <v/>
      </c>
      <c r="I171" s="19" t="str">
        <f>IF(ISNUMBER(Media!J85)=TRUE,Media!J85,"")</f>
        <v/>
      </c>
      <c r="J171" s="19" t="str">
        <f>IF(ISNUMBER(Media!K85)=TRUE,Media!K85,"")</f>
        <v/>
      </c>
      <c r="K171" s="19" t="str">
        <f>IF(ISNUMBER(Media!L85)=TRUE,Media!L85,"")</f>
        <v/>
      </c>
      <c r="L171" s="19" t="str">
        <f>IF(ISNUMBER(Media!M85)=TRUE,Media!M85,"")</f>
        <v/>
      </c>
      <c r="M171" s="19" t="str">
        <f>IF(ISNUMBER(Media!N85)=TRUE,Media!N85,"")</f>
        <v/>
      </c>
      <c r="N171" s="19" t="str">
        <f>IF(ISNUMBER(Media!O85)=TRUE,Media!O85,"")</f>
        <v/>
      </c>
      <c r="O171" s="19" t="str">
        <f>IF(ISNUMBER(Media!P85)=TRUE,Media!P85,"")</f>
        <v/>
      </c>
      <c r="P171" s="19" t="str">
        <f>IF(ISNUMBER(Media!Q85)=TRUE,Media!Q85,"")</f>
        <v/>
      </c>
      <c r="Q171" s="19" t="str">
        <f>IF(ISNUMBER(Media!R85)=TRUE,Media!R85,"")</f>
        <v/>
      </c>
      <c r="R171" s="19" t="str">
        <f>IF(ISNUMBER(Media!S85)=TRUE,Media!S85,"")</f>
        <v/>
      </c>
      <c r="S171" s="19" t="str">
        <f>IF(ISNUMBER(Media!T85)=TRUE,Media!T85,"")</f>
        <v/>
      </c>
      <c r="T171" s="19" t="str">
        <f>IF(ISNUMBER(Media!U85)=TRUE,Media!U85,"")</f>
        <v/>
      </c>
      <c r="U171" s="19" t="str">
        <f>IF(ISNUMBER(Media!V85)=TRUE,Media!V85,"")</f>
        <v/>
      </c>
      <c r="V171" s="19" t="str">
        <f>IF(ISNUMBER(Media!W85)=TRUE,Media!W85,"")</f>
        <v/>
      </c>
      <c r="W171" s="19" t="str">
        <f>IF(ISNUMBER(Media!X85)=TRUE,Media!X85,"")</f>
        <v/>
      </c>
      <c r="X171" s="19" t="str">
        <f>IF(ISNUMBER(Media!Y85)=TRUE,Media!Y85,"")</f>
        <v/>
      </c>
      <c r="Y171" s="19" t="str">
        <f>IF(ISNUMBER(Media!Z85)=TRUE,Media!Z85,"")</f>
        <v/>
      </c>
      <c r="Z171" s="19" t="str">
        <f>IF(ISNUMBER(Media!AA85)=TRUE,Media!AA85,"")</f>
        <v/>
      </c>
      <c r="AA171" s="19" t="str">
        <f>IF(ISNUMBER(Media!AH85)=TRUE,Media!AH85,"")</f>
        <v/>
      </c>
      <c r="AB171" s="19" t="str">
        <f>IF(ISNUMBER(Media!AI85)=TRUE,Media!AI85,"")</f>
        <v/>
      </c>
      <c r="AC171" s="19" t="str">
        <f>IF(ISNUMBER(Media!AJ85)=TRUE,Media!AJ85,"")</f>
        <v/>
      </c>
    </row>
    <row r="172" spans="2:29" x14ac:dyDescent="0.25">
      <c r="B172" s="19" t="s">
        <v>21</v>
      </c>
      <c r="C172" s="19" t="s">
        <v>138</v>
      </c>
      <c r="D172" s="19">
        <f t="shared" si="13"/>
        <v>3</v>
      </c>
      <c r="E172" s="19">
        <f>IF(ISNUMBER(Media!F87)=TRUE,Media!F87,"")</f>
        <v>1</v>
      </c>
      <c r="F172" s="19">
        <f>IF(ISNUMBER(Media!F88)=TRUE,Media!F88,"")</f>
        <v>1</v>
      </c>
      <c r="G172" s="19">
        <f>IF(ISNUMBER(Media!F89)=TRUE,Media!F89,"")</f>
        <v>1</v>
      </c>
      <c r="H172" s="19"/>
      <c r="I172" s="19"/>
      <c r="J172" s="19"/>
      <c r="K172" s="19"/>
      <c r="L172" s="19"/>
      <c r="M172" s="19"/>
      <c r="N172" s="19"/>
      <c r="O172" s="19"/>
      <c r="P172" s="19"/>
      <c r="Q172" s="19"/>
      <c r="R172" s="19"/>
      <c r="S172" s="19"/>
      <c r="T172" s="19"/>
      <c r="U172" s="19"/>
      <c r="V172" s="19"/>
      <c r="W172" s="19"/>
      <c r="X172" s="19"/>
      <c r="Y172" s="19"/>
      <c r="Z172" s="19"/>
      <c r="AA172" s="19"/>
      <c r="AB172" s="19"/>
      <c r="AC172" s="19"/>
    </row>
    <row r="173" spans="2:29" x14ac:dyDescent="0.25">
      <c r="B173" s="19" t="s">
        <v>22</v>
      </c>
      <c r="C173" s="19" t="s">
        <v>132</v>
      </c>
      <c r="D173" s="19">
        <f>IF(E173&gt;=1,1,0)</f>
        <v>0</v>
      </c>
      <c r="E173" s="19">
        <f>Air_NSource</f>
        <v>0</v>
      </c>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row>
    <row r="174" spans="2:29" x14ac:dyDescent="0.25">
      <c r="B174" s="19" t="s">
        <v>22</v>
      </c>
      <c r="C174" s="19" t="s">
        <v>133</v>
      </c>
      <c r="D174" s="19">
        <f t="shared" ref="D174:D192" si="14">COUNT(E174:AC174)</f>
        <v>1</v>
      </c>
      <c r="E174" s="19">
        <f>IF(ISNUMBER(Media!F92)=TRUE,Media!F92*365,"")</f>
        <v>365</v>
      </c>
      <c r="F174" s="19" t="str">
        <f>IF(ISNUMBER(Media!G92)=TRUE,Media!G92*365,"")</f>
        <v/>
      </c>
      <c r="G174" s="19" t="str">
        <f>IF(ISNUMBER(Media!H92)=TRUE,Media!H92*365,"")</f>
        <v/>
      </c>
      <c r="H174" s="19" t="str">
        <f>IF(ISNUMBER(Media!I92)=TRUE,Media!I92*365,"")</f>
        <v/>
      </c>
      <c r="I174" s="19" t="str">
        <f>IF(ISNUMBER(Media!J92)=TRUE,Media!J92*365,"")</f>
        <v/>
      </c>
      <c r="J174" s="19" t="str">
        <f>IF(ISNUMBER(Media!K92)=TRUE,Media!K92*365,"")</f>
        <v/>
      </c>
      <c r="K174" s="19" t="str">
        <f>IF(ISNUMBER(Media!L92)=TRUE,Media!L92*365,"")</f>
        <v/>
      </c>
      <c r="L174" s="19" t="str">
        <f>IF(ISNUMBER(Media!M92)=TRUE,Media!M92*365,"")</f>
        <v/>
      </c>
      <c r="M174" s="19" t="str">
        <f>IF(ISNUMBER(Media!N92)=TRUE,Media!N92*365,"")</f>
        <v/>
      </c>
      <c r="N174" s="19" t="str">
        <f>IF(ISNUMBER(Media!O92)=TRUE,Media!O92*365,"")</f>
        <v/>
      </c>
      <c r="O174" s="19" t="str">
        <f>IF(ISNUMBER(Media!P92)=TRUE,Media!P92*365,"")</f>
        <v/>
      </c>
      <c r="P174" s="19" t="str">
        <f>IF(ISNUMBER(Media!Q92)=TRUE,Media!Q92*365,"")</f>
        <v/>
      </c>
      <c r="Q174" s="19" t="str">
        <f>IF(ISNUMBER(Media!R92)=TRUE,Media!R92*365,"")</f>
        <v/>
      </c>
      <c r="R174" s="19" t="str">
        <f>IF(ISNUMBER(Media!S92)=TRUE,Media!S92*365,"")</f>
        <v/>
      </c>
      <c r="S174" s="19" t="str">
        <f>IF(ISNUMBER(Media!T92)=TRUE,Media!T92*365,"")</f>
        <v/>
      </c>
      <c r="T174" s="19" t="str">
        <f>IF(ISNUMBER(Media!U92)=TRUE,Media!U92*365,"")</f>
        <v/>
      </c>
      <c r="U174" s="19" t="str">
        <f>IF(ISNUMBER(Media!V92)=TRUE,Media!V92*365,"")</f>
        <v/>
      </c>
      <c r="V174" s="19" t="str">
        <f>IF(ISNUMBER(Media!W92)=TRUE,Media!W92*365,"")</f>
        <v/>
      </c>
      <c r="W174" s="19" t="str">
        <f>IF(ISNUMBER(Media!X92)=TRUE,Media!X92*365,"")</f>
        <v/>
      </c>
      <c r="X174" s="19" t="str">
        <f>IF(ISNUMBER(Media!Y92)=TRUE,Media!Y92*365,"")</f>
        <v/>
      </c>
      <c r="Y174" s="19" t="str">
        <f>IF(ISNUMBER(Media!Z92)=TRUE,Media!Z92*365,"")</f>
        <v/>
      </c>
      <c r="Z174" s="19" t="str">
        <f>IF(ISNUMBER(Media!AB92)=TRUE,Media!AB92*365,"")</f>
        <v/>
      </c>
      <c r="AA174" s="19" t="str">
        <f>IF(ISNUMBER(Media!AH92)=TRUE,Media!AH92*365,"")</f>
        <v/>
      </c>
      <c r="AB174" s="19" t="str">
        <f>IF(ISNUMBER(Media!AI92)=TRUE,Media!AI92*365,"")</f>
        <v/>
      </c>
      <c r="AC174" s="19" t="str">
        <f>IF(ISNUMBER(Media!AJ92)=TRUE,Media!AJ92*365,"")</f>
        <v/>
      </c>
    </row>
    <row r="175" spans="2:29" x14ac:dyDescent="0.25">
      <c r="B175" s="19" t="s">
        <v>22</v>
      </c>
      <c r="C175" s="19" t="s">
        <v>134</v>
      </c>
      <c r="D175" s="19">
        <f t="shared" si="14"/>
        <v>1</v>
      </c>
      <c r="E175" s="19">
        <f>IF(ISNUMBER(Media!F93)=TRUE,Media!F93,"")</f>
        <v>0.01</v>
      </c>
      <c r="F175" s="19" t="str">
        <f>IF(ISNUMBER(Media!G93)=TRUE,Media!G93,"")</f>
        <v/>
      </c>
      <c r="G175" s="19" t="str">
        <f>IF(ISNUMBER(Media!H93)=TRUE,Media!H93,"")</f>
        <v/>
      </c>
      <c r="H175" s="19" t="str">
        <f>IF(ISNUMBER(Media!I93)=TRUE,Media!I93,"")</f>
        <v/>
      </c>
      <c r="I175" s="19" t="str">
        <f>IF(ISNUMBER(Media!J93)=TRUE,Media!J93,"")</f>
        <v/>
      </c>
      <c r="J175" s="19" t="str">
        <f>IF(ISNUMBER(Media!K93)=TRUE,Media!K93,"")</f>
        <v/>
      </c>
      <c r="K175" s="19" t="str">
        <f>IF(ISNUMBER(Media!L93)=TRUE,Media!L93,"")</f>
        <v/>
      </c>
      <c r="L175" s="19" t="str">
        <f>IF(ISNUMBER(Media!M93)=TRUE,Media!M93,"")</f>
        <v/>
      </c>
      <c r="M175" s="19" t="str">
        <f>IF(ISNUMBER(Media!N93)=TRUE,Media!N93,"")</f>
        <v/>
      </c>
      <c r="N175" s="19" t="str">
        <f>IF(ISNUMBER(Media!O93)=TRUE,Media!O93,"")</f>
        <v/>
      </c>
      <c r="O175" s="19" t="str">
        <f>IF(ISNUMBER(Media!P93)=TRUE,Media!P93,"")</f>
        <v/>
      </c>
      <c r="P175" s="19" t="str">
        <f>IF(ISNUMBER(Media!Q93)=TRUE,Media!Q93,"")</f>
        <v/>
      </c>
      <c r="Q175" s="19" t="str">
        <f>IF(ISNUMBER(Media!R93)=TRUE,Media!R93,"")</f>
        <v/>
      </c>
      <c r="R175" s="19" t="str">
        <f>IF(ISNUMBER(Media!S93)=TRUE,Media!S93,"")</f>
        <v/>
      </c>
      <c r="S175" s="19" t="str">
        <f>IF(ISNUMBER(Media!T93)=TRUE,Media!T93,"")</f>
        <v/>
      </c>
      <c r="T175" s="19" t="str">
        <f>IF(ISNUMBER(Media!U93)=TRUE,Media!U93,"")</f>
        <v/>
      </c>
      <c r="U175" s="19" t="str">
        <f>IF(ISNUMBER(Media!V93)=TRUE,Media!V93,"")</f>
        <v/>
      </c>
      <c r="V175" s="19" t="str">
        <f>IF(ISNUMBER(Media!W93)=TRUE,Media!W93,"")</f>
        <v/>
      </c>
      <c r="W175" s="19" t="str">
        <f>IF(ISNUMBER(Media!X93)=TRUE,Media!X93,"")</f>
        <v/>
      </c>
      <c r="X175" s="19" t="str">
        <f>IF(ISNUMBER(Media!Y93)=TRUE,Media!Y93,"")</f>
        <v/>
      </c>
      <c r="Y175" s="19" t="str">
        <f>IF(ISNUMBER(Media!Z93)=TRUE,Media!Z93,"")</f>
        <v/>
      </c>
      <c r="Z175" s="19" t="str">
        <f>IF(ISNUMBER(Media!AB93)=TRUE,Media!AB93,"")</f>
        <v/>
      </c>
      <c r="AA175" s="19" t="str">
        <f>IF(ISNUMBER(Media!AH93)=TRUE,Media!AH93,"")</f>
        <v/>
      </c>
      <c r="AB175" s="19" t="str">
        <f>IF(ISNUMBER(Media!AI93)=TRUE,Media!AI93,"")</f>
        <v/>
      </c>
      <c r="AC175" s="19" t="str">
        <f>IF(ISNUMBER(Media!AJ93)=TRUE,Media!AJ93,"")</f>
        <v/>
      </c>
    </row>
    <row r="176" spans="2:29" x14ac:dyDescent="0.25">
      <c r="B176" s="19" t="s">
        <v>22</v>
      </c>
      <c r="C176" s="19" t="s">
        <v>333</v>
      </c>
      <c r="D176" s="19">
        <f t="shared" si="14"/>
        <v>3</v>
      </c>
      <c r="E176" s="19">
        <f>IF(ISNUMBER(Media!F94)=TRUE,Media!F94,"")</f>
        <v>0</v>
      </c>
      <c r="F176" s="19">
        <f>IF(ISNUMBER(Media!G94)=TRUE,Media!G94,"")</f>
        <v>10</v>
      </c>
      <c r="G176" s="19">
        <f>IF(ISNUMBER(Media!H94)=TRUE,Media!H94,"")</f>
        <v>0</v>
      </c>
      <c r="H176" s="19" t="str">
        <f>IF(ISNUMBER(Media!I94)=TRUE,Media!I94,"")</f>
        <v/>
      </c>
      <c r="I176" s="19" t="str">
        <f>IF(ISNUMBER(Media!J94)=TRUE,Media!J94,"")</f>
        <v/>
      </c>
      <c r="J176" s="19" t="str">
        <f>IF(ISNUMBER(Media!K94)=TRUE,Media!K94,"")</f>
        <v/>
      </c>
      <c r="K176" s="19" t="str">
        <f>IF(ISNUMBER(Media!L94)=TRUE,Media!L94,"")</f>
        <v/>
      </c>
      <c r="L176" s="19" t="str">
        <f>IF(ISNUMBER(Media!M94)=TRUE,Media!M94,"")</f>
        <v/>
      </c>
      <c r="M176" s="19" t="str">
        <f>IF(ISNUMBER(Media!N94)=TRUE,Media!N94,"")</f>
        <v/>
      </c>
      <c r="N176" s="19" t="str">
        <f>IF(ISNUMBER(Media!O94)=TRUE,Media!O94,"")</f>
        <v/>
      </c>
      <c r="O176" s="19" t="str">
        <f>IF(ISNUMBER(Media!P94)=TRUE,Media!P94,"")</f>
        <v/>
      </c>
      <c r="P176" s="19" t="str">
        <f>IF(ISNUMBER(Media!Q94)=TRUE,Media!Q94,"")</f>
        <v/>
      </c>
      <c r="Q176" s="19" t="str">
        <f>IF(ISNUMBER(Media!R94)=TRUE,Media!R94,"")</f>
        <v/>
      </c>
      <c r="R176" s="19" t="str">
        <f>IF(ISNUMBER(Media!S94)=TRUE,Media!S94,"")</f>
        <v/>
      </c>
      <c r="S176" s="19" t="str">
        <f>IF(ISNUMBER(Media!T94)=TRUE,Media!T94,"")</f>
        <v/>
      </c>
      <c r="T176" s="19" t="str">
        <f>IF(ISNUMBER(Media!U94)=TRUE,Media!U94,"")</f>
        <v/>
      </c>
      <c r="U176" s="19" t="str">
        <f>IF(ISNUMBER(Media!V94)=TRUE,Media!V94,"")</f>
        <v/>
      </c>
      <c r="V176" s="19" t="str">
        <f>IF(ISNUMBER(Media!W94)=TRUE,Media!W94,"")</f>
        <v/>
      </c>
      <c r="W176" s="19" t="str">
        <f>IF(ISNUMBER(Media!X94)=TRUE,Media!X94,"")</f>
        <v/>
      </c>
      <c r="X176" s="19" t="str">
        <f>IF(ISNUMBER(Media!Y94)=TRUE,Media!Y94,"")</f>
        <v/>
      </c>
      <c r="Y176" s="19" t="str">
        <f>IF(ISNUMBER(Media!Z94)=TRUE,Media!Z94,"")</f>
        <v/>
      </c>
      <c r="Z176" s="19" t="str">
        <f>IF(ISNUMBER(Media!AB94)=TRUE,Media!AB94,"")</f>
        <v/>
      </c>
      <c r="AA176" s="19" t="str">
        <f>IF(ISNUMBER(Media!AH94)=TRUE,Media!AH94,"")</f>
        <v/>
      </c>
      <c r="AB176" s="19" t="str">
        <f>IF(ISNUMBER(Media!AI94)=TRUE,Media!AI94,"")</f>
        <v/>
      </c>
      <c r="AC176" s="19" t="str">
        <f>IF(ISNUMBER(Media!AJ94)=TRUE,Media!AJ94,"")</f>
        <v/>
      </c>
    </row>
    <row r="177" spans="2:29" x14ac:dyDescent="0.25">
      <c r="B177" s="19" t="s">
        <v>22</v>
      </c>
      <c r="C177" s="19" t="s">
        <v>334</v>
      </c>
      <c r="D177" s="19">
        <f t="shared" si="14"/>
        <v>3</v>
      </c>
      <c r="E177" s="19">
        <f>IF(ISNUMBER(Media!F95)=TRUE,Media!F95,"")</f>
        <v>0</v>
      </c>
      <c r="F177" s="19">
        <f>IF(ISNUMBER(Media!G95)=TRUE,Media!G95,"")</f>
        <v>10</v>
      </c>
      <c r="G177" s="19">
        <f>IF(ISNUMBER(Media!H95)=TRUE,Media!H95,"")</f>
        <v>0</v>
      </c>
      <c r="H177" s="19" t="str">
        <f>IF(ISNUMBER(Media!I95)=TRUE,Media!I95,"")</f>
        <v/>
      </c>
      <c r="I177" s="19" t="str">
        <f>IF(ISNUMBER(Media!J95)=TRUE,Media!J95,"")</f>
        <v/>
      </c>
      <c r="J177" s="19" t="str">
        <f>IF(ISNUMBER(Media!K95)=TRUE,Media!K95,"")</f>
        <v/>
      </c>
      <c r="K177" s="19" t="str">
        <f>IF(ISNUMBER(Media!L95)=TRUE,Media!L95,"")</f>
        <v/>
      </c>
      <c r="L177" s="19" t="str">
        <f>IF(ISNUMBER(Media!M95)=TRUE,Media!M95,"")</f>
        <v/>
      </c>
      <c r="M177" s="19" t="str">
        <f>IF(ISNUMBER(Media!N95)=TRUE,Media!N95,"")</f>
        <v/>
      </c>
      <c r="N177" s="19" t="str">
        <f>IF(ISNUMBER(Media!O95)=TRUE,Media!O95,"")</f>
        <v/>
      </c>
      <c r="O177" s="19" t="str">
        <f>IF(ISNUMBER(Media!P95)=TRUE,Media!P95,"")</f>
        <v/>
      </c>
      <c r="P177" s="19" t="str">
        <f>IF(ISNUMBER(Media!Q95)=TRUE,Media!Q95,"")</f>
        <v/>
      </c>
      <c r="Q177" s="19" t="str">
        <f>IF(ISNUMBER(Media!R95)=TRUE,Media!R95,"")</f>
        <v/>
      </c>
      <c r="R177" s="19" t="str">
        <f>IF(ISNUMBER(Media!S95)=TRUE,Media!S95,"")</f>
        <v/>
      </c>
      <c r="S177" s="19" t="str">
        <f>IF(ISNUMBER(Media!T95)=TRUE,Media!T95,"")</f>
        <v/>
      </c>
      <c r="T177" s="19" t="str">
        <f>IF(ISNUMBER(Media!U95)=TRUE,Media!U95,"")</f>
        <v/>
      </c>
      <c r="U177" s="19" t="str">
        <f>IF(ISNUMBER(Media!V95)=TRUE,Media!V95,"")</f>
        <v/>
      </c>
      <c r="V177" s="19" t="str">
        <f>IF(ISNUMBER(Media!W95)=TRUE,Media!W95,"")</f>
        <v/>
      </c>
      <c r="W177" s="19" t="str">
        <f>IF(ISNUMBER(Media!X95)=TRUE,Media!X95,"")</f>
        <v/>
      </c>
      <c r="X177" s="19" t="str">
        <f>IF(ISNUMBER(Media!Y95)=TRUE,Media!Y95,"")</f>
        <v/>
      </c>
      <c r="Y177" s="19" t="str">
        <f>IF(ISNUMBER(Media!Z95)=TRUE,Media!Z95,"")</f>
        <v/>
      </c>
      <c r="Z177" s="19" t="str">
        <f>IF(ISNUMBER(Media!AB95)=TRUE,Media!AB95,"")</f>
        <v/>
      </c>
      <c r="AA177" s="19" t="str">
        <f>IF(ISNUMBER(Media!AH95)=TRUE,Media!AH95,"")</f>
        <v/>
      </c>
      <c r="AB177" s="19" t="str">
        <f>IF(ISNUMBER(Media!AI95)=TRUE,Media!AI95,"")</f>
        <v/>
      </c>
      <c r="AC177" s="19" t="str">
        <f>IF(ISNUMBER(Media!AJ95)=TRUE,Media!AJ95,"")</f>
        <v/>
      </c>
    </row>
    <row r="178" spans="2:29" x14ac:dyDescent="0.25">
      <c r="B178" s="19" t="s">
        <v>22</v>
      </c>
      <c r="C178" s="19" t="s">
        <v>335</v>
      </c>
      <c r="D178" s="19">
        <f t="shared" si="14"/>
        <v>4</v>
      </c>
      <c r="E178" s="19">
        <f>IF(ISNUMBER(Media!F98)=TRUE,Media!F98,"")</f>
        <v>1</v>
      </c>
      <c r="F178" s="19">
        <f>IF(ISNUMBER(Media!G98)=TRUE,Media!G98,"")</f>
        <v>7</v>
      </c>
      <c r="G178" s="19">
        <f>IF(ISNUMBER(Media!H98)=TRUE,Media!H98,"")</f>
        <v>6</v>
      </c>
      <c r="H178" s="19">
        <f>IF(ISNUMBER(Media!I98)=TRUE,Media!I98,"")</f>
        <v>7</v>
      </c>
      <c r="I178" s="19"/>
      <c r="J178" s="19"/>
      <c r="K178" s="19"/>
      <c r="L178" s="19"/>
      <c r="M178" s="19"/>
      <c r="N178" s="19"/>
      <c r="O178" s="19"/>
      <c r="P178" s="19"/>
      <c r="Q178" s="19"/>
      <c r="R178" s="19"/>
      <c r="S178" s="19"/>
      <c r="T178" s="19"/>
      <c r="U178" s="19"/>
      <c r="V178" s="19"/>
      <c r="W178" s="19"/>
      <c r="X178" s="19"/>
      <c r="Y178" s="19"/>
      <c r="Z178" s="19"/>
      <c r="AA178" s="19"/>
      <c r="AB178" s="19"/>
      <c r="AC178" s="19"/>
    </row>
    <row r="179" spans="2:29" x14ac:dyDescent="0.25">
      <c r="B179" s="19" t="s">
        <v>22</v>
      </c>
      <c r="C179" s="19" t="s">
        <v>336</v>
      </c>
      <c r="D179" s="19">
        <f t="shared" si="14"/>
        <v>4</v>
      </c>
      <c r="E179" s="19">
        <f>IF(ISNUMBER(Media!F99)=TRUE,Media!F99,"")</f>
        <v>2</v>
      </c>
      <c r="F179" s="19">
        <f>IF(ISNUMBER(Media!G99)=TRUE,Media!G99,"")</f>
        <v>7</v>
      </c>
      <c r="G179" s="19">
        <f>IF(ISNUMBER(Media!H99)=TRUE,Media!H99,"")</f>
        <v>6</v>
      </c>
      <c r="H179" s="19">
        <f>IF(ISNUMBER(Media!I99)=TRUE,Media!I99,"")</f>
        <v>7</v>
      </c>
      <c r="I179" s="19"/>
      <c r="J179" s="19"/>
      <c r="K179" s="19"/>
      <c r="L179" s="19"/>
      <c r="M179" s="19"/>
      <c r="N179" s="19"/>
      <c r="O179" s="19"/>
      <c r="P179" s="19"/>
      <c r="Q179" s="19"/>
      <c r="R179" s="19"/>
      <c r="S179" s="19"/>
      <c r="T179" s="19"/>
      <c r="U179" s="19"/>
      <c r="V179" s="19"/>
      <c r="W179" s="19"/>
      <c r="X179" s="19"/>
      <c r="Y179" s="19"/>
      <c r="Z179" s="19"/>
      <c r="AA179" s="19"/>
      <c r="AB179" s="19"/>
      <c r="AC179" s="19"/>
    </row>
    <row r="180" spans="2:29" x14ac:dyDescent="0.25">
      <c r="B180" s="19" t="s">
        <v>22</v>
      </c>
      <c r="C180" s="19" t="s">
        <v>337</v>
      </c>
      <c r="D180" s="19">
        <f t="shared" si="14"/>
        <v>4</v>
      </c>
      <c r="E180" s="19">
        <f>IF(ISNUMBER(Media!F100)=TRUE,Media!F100,"")</f>
        <v>3</v>
      </c>
      <c r="F180" s="19">
        <f>IF(ISNUMBER(Media!G100)=TRUE,Media!G100,"")</f>
        <v>7</v>
      </c>
      <c r="G180" s="19">
        <f>IF(ISNUMBER(Media!H100)=TRUE,Media!H100,"")</f>
        <v>6</v>
      </c>
      <c r="H180" s="19">
        <f>IF(ISNUMBER(Media!I100)=TRUE,Media!I100,"")</f>
        <v>7</v>
      </c>
      <c r="I180" s="19"/>
      <c r="J180" s="19"/>
      <c r="K180" s="19"/>
      <c r="L180" s="19"/>
      <c r="M180" s="19"/>
      <c r="N180" s="19"/>
      <c r="O180" s="19"/>
      <c r="P180" s="19"/>
      <c r="Q180" s="19"/>
      <c r="R180" s="19"/>
      <c r="S180" s="19"/>
      <c r="T180" s="19"/>
      <c r="U180" s="19"/>
      <c r="V180" s="19"/>
      <c r="W180" s="19"/>
      <c r="X180" s="19"/>
      <c r="Y180" s="19"/>
      <c r="Z180" s="19"/>
      <c r="AA180" s="19"/>
      <c r="AB180" s="19"/>
      <c r="AC180" s="19"/>
    </row>
    <row r="181" spans="2:29" x14ac:dyDescent="0.25">
      <c r="B181" s="19" t="s">
        <v>22</v>
      </c>
      <c r="C181" s="19" t="s">
        <v>338</v>
      </c>
      <c r="D181" s="19">
        <f t="shared" si="14"/>
        <v>4</v>
      </c>
      <c r="E181" s="19">
        <f>IF(ISNUMBER(Media!F101)=TRUE,Media!F101,"")</f>
        <v>1</v>
      </c>
      <c r="F181" s="19">
        <f>IF(ISNUMBER(Media!G101)=TRUE,Media!G101,"")</f>
        <v>365</v>
      </c>
      <c r="G181" s="19">
        <f>IF(ISNUMBER(Media!H101)=TRUE,Media!H101,"")</f>
        <v>336</v>
      </c>
      <c r="H181" s="19">
        <f>IF(ISNUMBER(Media!I101)=TRUE,Media!I101,"")</f>
        <v>365</v>
      </c>
      <c r="I181" s="19"/>
      <c r="J181" s="19"/>
      <c r="K181" s="19"/>
      <c r="L181" s="19"/>
      <c r="M181" s="19"/>
      <c r="N181" s="19"/>
      <c r="O181" s="19"/>
      <c r="P181" s="19"/>
      <c r="Q181" s="19"/>
      <c r="R181" s="19"/>
      <c r="S181" s="19"/>
      <c r="T181" s="19"/>
      <c r="U181" s="19"/>
      <c r="V181" s="19"/>
      <c r="W181" s="19"/>
      <c r="X181" s="19"/>
      <c r="Y181" s="19"/>
      <c r="Z181" s="19"/>
      <c r="AA181" s="19"/>
      <c r="AB181" s="19"/>
      <c r="AC181" s="19"/>
    </row>
    <row r="182" spans="2:29" x14ac:dyDescent="0.25">
      <c r="B182" s="19" t="s">
        <v>22</v>
      </c>
      <c r="C182" s="19" t="s">
        <v>339</v>
      </c>
      <c r="D182" s="19">
        <f t="shared" si="14"/>
        <v>4</v>
      </c>
      <c r="E182" s="19">
        <f>IF(ISNUMBER(Media!F102)=TRUE,Media!F102,"")</f>
        <v>2</v>
      </c>
      <c r="F182" s="19">
        <f>IF(ISNUMBER(Media!G102)=TRUE,Media!G102,"")</f>
        <v>365</v>
      </c>
      <c r="G182" s="19">
        <f>IF(ISNUMBER(Media!H102)=TRUE,Media!H102,"")</f>
        <v>336</v>
      </c>
      <c r="H182" s="19">
        <f>IF(ISNUMBER(Media!I102)=TRUE,Media!I102,"")</f>
        <v>365</v>
      </c>
      <c r="I182" s="19"/>
      <c r="J182" s="19"/>
      <c r="K182" s="19"/>
      <c r="L182" s="19"/>
      <c r="M182" s="19"/>
      <c r="N182" s="19"/>
      <c r="O182" s="19"/>
      <c r="P182" s="19"/>
      <c r="Q182" s="19"/>
      <c r="R182" s="19"/>
      <c r="S182" s="19"/>
      <c r="T182" s="19"/>
      <c r="U182" s="19"/>
      <c r="V182" s="19"/>
      <c r="W182" s="19"/>
      <c r="X182" s="19"/>
      <c r="Y182" s="19"/>
      <c r="Z182" s="19"/>
      <c r="AA182" s="19"/>
      <c r="AB182" s="19"/>
      <c r="AC182" s="19"/>
    </row>
    <row r="183" spans="2:29" x14ac:dyDescent="0.25">
      <c r="B183" s="19" t="s">
        <v>22</v>
      </c>
      <c r="C183" s="19" t="s">
        <v>340</v>
      </c>
      <c r="D183" s="19">
        <f t="shared" si="14"/>
        <v>4</v>
      </c>
      <c r="E183" s="19">
        <f>IF(ISNUMBER(Media!F103)=TRUE,Media!F103,"")</f>
        <v>3</v>
      </c>
      <c r="F183" s="19">
        <f>IF(ISNUMBER(Media!G103)=TRUE,Media!G103,"")</f>
        <v>365</v>
      </c>
      <c r="G183" s="19">
        <f>IF(ISNUMBER(Media!H103)=TRUE,Media!H103,"")</f>
        <v>336</v>
      </c>
      <c r="H183" s="19">
        <f>IF(ISNUMBER(Media!I103)=TRUE,Media!I103,"")</f>
        <v>365</v>
      </c>
      <c r="I183" s="19"/>
      <c r="J183" s="19"/>
      <c r="K183" s="19"/>
      <c r="L183" s="19"/>
      <c r="M183" s="19"/>
      <c r="N183" s="19"/>
      <c r="O183" s="19"/>
      <c r="P183" s="19"/>
      <c r="Q183" s="19"/>
      <c r="R183" s="19"/>
      <c r="S183" s="19"/>
      <c r="T183" s="19"/>
      <c r="U183" s="19"/>
      <c r="V183" s="19"/>
      <c r="W183" s="19"/>
      <c r="X183" s="19"/>
      <c r="Y183" s="19"/>
      <c r="Z183" s="19"/>
      <c r="AA183" s="19"/>
      <c r="AB183" s="19"/>
      <c r="AC183" s="19"/>
    </row>
    <row r="184" spans="2:29" x14ac:dyDescent="0.25">
      <c r="B184" s="19" t="s">
        <v>22</v>
      </c>
      <c r="C184" s="19" t="s">
        <v>341</v>
      </c>
      <c r="D184" s="19">
        <f t="shared" si="14"/>
        <v>0</v>
      </c>
      <c r="E184" s="19" t="str">
        <f>IF(ISNUMBER(Media!F104)=TRUE,Media!F104,"")</f>
        <v/>
      </c>
      <c r="F184" s="19" t="str">
        <f>IF(ISNUMBER(Media!G104)=TRUE,Media!G104,"")</f>
        <v/>
      </c>
      <c r="G184" s="19" t="str">
        <f>IF(ISNUMBER(Media!H104)=TRUE,Media!H104,"")</f>
        <v/>
      </c>
      <c r="H184" s="19" t="str">
        <f>IF(ISNUMBER(Media!I104)=TRUE,Media!I104,"")</f>
        <v/>
      </c>
      <c r="I184" s="19"/>
      <c r="J184" s="19"/>
      <c r="K184" s="19"/>
      <c r="L184" s="19"/>
      <c r="M184" s="19"/>
      <c r="N184" s="19"/>
      <c r="O184" s="19"/>
      <c r="P184" s="19"/>
      <c r="Q184" s="19"/>
      <c r="R184" s="19"/>
      <c r="S184" s="19"/>
      <c r="T184" s="19"/>
      <c r="U184" s="19"/>
      <c r="V184" s="19"/>
      <c r="W184" s="19"/>
      <c r="X184" s="19"/>
      <c r="Y184" s="19"/>
      <c r="Z184" s="19"/>
      <c r="AA184" s="19"/>
      <c r="AB184" s="19"/>
      <c r="AC184" s="19"/>
    </row>
    <row r="185" spans="2:29" x14ac:dyDescent="0.25">
      <c r="B185" s="19" t="s">
        <v>22</v>
      </c>
      <c r="C185" s="19" t="s">
        <v>342</v>
      </c>
      <c r="D185" s="19">
        <f t="shared" si="14"/>
        <v>0</v>
      </c>
      <c r="E185" s="19" t="str">
        <f>IF(ISNUMBER(Media!F105)=TRUE,Media!F105,"")</f>
        <v/>
      </c>
      <c r="F185" s="19" t="str">
        <f>IF(ISNUMBER(Media!G105)=TRUE,Media!G105,"")</f>
        <v/>
      </c>
      <c r="G185" s="19" t="str">
        <f>IF(ISNUMBER(Media!H105)=TRUE,Media!H105,"")</f>
        <v/>
      </c>
      <c r="H185" s="19" t="str">
        <f>IF(ISNUMBER(Media!I105)=TRUE,Media!I105,"")</f>
        <v/>
      </c>
      <c r="I185" s="19"/>
      <c r="J185" s="19"/>
      <c r="K185" s="19"/>
      <c r="L185" s="19"/>
      <c r="M185" s="19"/>
      <c r="N185" s="19"/>
      <c r="O185" s="19"/>
      <c r="P185" s="19"/>
      <c r="Q185" s="19"/>
      <c r="R185" s="19"/>
      <c r="S185" s="19"/>
      <c r="T185" s="19"/>
      <c r="U185" s="19"/>
      <c r="V185" s="19"/>
      <c r="W185" s="19"/>
      <c r="X185" s="19"/>
      <c r="Y185" s="19"/>
      <c r="Z185" s="19"/>
      <c r="AA185" s="19"/>
      <c r="AB185" s="19"/>
      <c r="AC185" s="19"/>
    </row>
    <row r="186" spans="2:29" x14ac:dyDescent="0.25">
      <c r="B186" s="19" t="s">
        <v>22</v>
      </c>
      <c r="C186" s="19" t="s">
        <v>343</v>
      </c>
      <c r="D186" s="19">
        <f t="shared" si="14"/>
        <v>0</v>
      </c>
      <c r="E186" s="19" t="str">
        <f>IF(ISNUMBER(Media!F106)=TRUE,Media!F106,"")</f>
        <v/>
      </c>
      <c r="F186" s="19" t="str">
        <f>IF(ISNUMBER(Media!G106)=TRUE,Media!G106,"")</f>
        <v/>
      </c>
      <c r="G186" s="19" t="str">
        <f>IF(ISNUMBER(Media!H106)=TRUE,Media!H106,"")</f>
        <v/>
      </c>
      <c r="H186" s="19" t="str">
        <f>IF(ISNUMBER(Media!I106)=TRUE,Media!I106,"")</f>
        <v/>
      </c>
      <c r="I186" s="19"/>
      <c r="J186" s="19"/>
      <c r="K186" s="19"/>
      <c r="L186" s="19"/>
      <c r="M186" s="19"/>
      <c r="N186" s="19"/>
      <c r="O186" s="19"/>
      <c r="P186" s="19"/>
      <c r="Q186" s="19"/>
      <c r="R186" s="19"/>
      <c r="S186" s="19"/>
      <c r="T186" s="19"/>
      <c r="U186" s="19"/>
      <c r="V186" s="19"/>
      <c r="W186" s="19"/>
      <c r="X186" s="19"/>
      <c r="Y186" s="19"/>
      <c r="Z186" s="19"/>
      <c r="AA186" s="19"/>
      <c r="AB186" s="19"/>
      <c r="AC186" s="19"/>
    </row>
    <row r="187" spans="2:29" x14ac:dyDescent="0.25">
      <c r="B187" s="19" t="s">
        <v>22</v>
      </c>
      <c r="C187" s="19" t="s">
        <v>135</v>
      </c>
      <c r="D187" s="19">
        <f t="shared" si="14"/>
        <v>6</v>
      </c>
      <c r="E187" s="19">
        <f>IF(ISNUMBER(Media!F108)=TRUE,Media!F108*365,"")</f>
        <v>0</v>
      </c>
      <c r="F187" s="19">
        <f>IF(ISNUMBER(Media!G108)=TRUE,Media!G108*365,"")</f>
        <v>365</v>
      </c>
      <c r="G187" s="19">
        <f>IF(ISNUMBER(Media!H108)=TRUE,Media!H108*365,"")</f>
        <v>1825</v>
      </c>
      <c r="H187" s="19">
        <f>IF(ISNUMBER(Media!I108)=TRUE,Media!I108*365,"")</f>
        <v>3650</v>
      </c>
      <c r="I187" s="19">
        <f>IF(ISNUMBER(Media!J108)=TRUE,Media!J108*365,"")</f>
        <v>5475</v>
      </c>
      <c r="J187" s="19">
        <f>IF(ISNUMBER(Media!K108)=TRUE,Media!K108*365,"")</f>
        <v>9125</v>
      </c>
      <c r="K187" s="19" t="str">
        <f>IF(ISNUMBER(Media!L108)=TRUE,Media!L108*365,"")</f>
        <v/>
      </c>
      <c r="L187" s="19" t="str">
        <f>IF(ISNUMBER(Media!M108)=TRUE,Media!M108*365,"")</f>
        <v/>
      </c>
      <c r="M187" s="19" t="str">
        <f>IF(ISNUMBER(Media!N108)=TRUE,Media!N108*365,"")</f>
        <v/>
      </c>
      <c r="N187" s="19" t="str">
        <f>IF(ISNUMBER(Media!O108)=TRUE,Media!O108*365,"")</f>
        <v/>
      </c>
      <c r="O187" s="19" t="str">
        <f>IF(ISNUMBER(Media!P108)=TRUE,Media!P108*365,"")</f>
        <v/>
      </c>
      <c r="P187" s="19" t="str">
        <f>IF(ISNUMBER(Media!Q108)=TRUE,Media!Q108*365,"")</f>
        <v/>
      </c>
      <c r="Q187" s="19" t="str">
        <f>IF(ISNUMBER(Media!R108)=TRUE,Media!R108*365,"")</f>
        <v/>
      </c>
      <c r="R187" s="19" t="str">
        <f>IF(ISNUMBER(Media!S108)=TRUE,Media!S108*365,"")</f>
        <v/>
      </c>
      <c r="S187" s="19" t="str">
        <f>IF(ISNUMBER(Media!T108)=TRUE,Media!T108*365,"")</f>
        <v/>
      </c>
      <c r="T187" s="19" t="str">
        <f>IF(ISNUMBER(Media!U108)=TRUE,Media!U108*365,"")</f>
        <v/>
      </c>
      <c r="U187" s="19" t="str">
        <f>IF(ISNUMBER(Media!V108)=TRUE,Media!V108*365,"")</f>
        <v/>
      </c>
      <c r="V187" s="19" t="str">
        <f>IF(ISNUMBER(Media!W108)=TRUE,Media!W108*365,"")</f>
        <v/>
      </c>
      <c r="W187" s="19" t="str">
        <f>IF(ISNUMBER(Media!X108)=TRUE,Media!X108*365,"")</f>
        <v/>
      </c>
      <c r="X187" s="19" t="str">
        <f>IF(ISNUMBER(Media!Y108)=TRUE,Media!Y108*365,"")</f>
        <v/>
      </c>
      <c r="Y187" s="19" t="str">
        <f>IF(ISNUMBER(Media!Z108)=TRUE,Media!Z108*365,"")</f>
        <v/>
      </c>
      <c r="Z187" s="19" t="str">
        <f>IF(ISNUMBER(Media!AA108)=TRUE,Media!AA108*365,"")</f>
        <v/>
      </c>
      <c r="AA187" s="19" t="str">
        <f>IF(ISNUMBER(Media!AH108)=TRUE,Media!AH108*365,"")</f>
        <v/>
      </c>
      <c r="AB187" s="19" t="str">
        <f>IF(ISNUMBER(Media!AI108)=TRUE,Media!AI108*365,"")</f>
        <v/>
      </c>
      <c r="AC187" s="19" t="str">
        <f>IF(ISNUMBER(Media!AJ108)=TRUE,Media!AJ108*365,"")</f>
        <v/>
      </c>
    </row>
    <row r="188" spans="2:29" x14ac:dyDescent="0.25">
      <c r="B188" s="19" t="s">
        <v>22</v>
      </c>
      <c r="C188" s="19" t="s">
        <v>136</v>
      </c>
      <c r="D188" s="19">
        <f t="shared" si="14"/>
        <v>6</v>
      </c>
      <c r="E188" s="19">
        <f>IF(ISNUMBER(Media!F109)=TRUE,Media!F109,"")</f>
        <v>2.9</v>
      </c>
      <c r="F188" s="19">
        <f>IF(ISNUMBER(Media!G109)=TRUE,Media!G109,"")</f>
        <v>5.2</v>
      </c>
      <c r="G188" s="19">
        <f>IF(ISNUMBER(Media!H109)=TRUE,Media!H109,"")</f>
        <v>8.8000000000000007</v>
      </c>
      <c r="H188" s="19">
        <f>IF(ISNUMBER(Media!I109)=TRUE,Media!I109,"")</f>
        <v>15.3</v>
      </c>
      <c r="I188" s="19">
        <f>IF(ISNUMBER(Media!J109)=TRUE,Media!J109,"")</f>
        <v>17.899999999999999</v>
      </c>
      <c r="J188" s="19">
        <f>IF(ISNUMBER(Media!K109)=TRUE,Media!K109,"")</f>
        <v>19.899999999999999</v>
      </c>
      <c r="K188" s="19" t="str">
        <f>IF(ISNUMBER(Media!L109)=TRUE,Media!L109,"")</f>
        <v/>
      </c>
      <c r="L188" s="19" t="str">
        <f>IF(ISNUMBER(Media!M109)=TRUE,Media!M109,"")</f>
        <v/>
      </c>
      <c r="M188" s="19" t="str">
        <f>IF(ISNUMBER(Media!N109)=TRUE,Media!N109,"")</f>
        <v/>
      </c>
      <c r="N188" s="19" t="str">
        <f>IF(ISNUMBER(Media!O109)=TRUE,Media!O109,"")</f>
        <v/>
      </c>
      <c r="O188" s="19" t="str">
        <f>IF(ISNUMBER(Media!P109)=TRUE,Media!P109,"")</f>
        <v/>
      </c>
      <c r="P188" s="19" t="str">
        <f>IF(ISNUMBER(Media!Q109)=TRUE,Media!Q109,"")</f>
        <v/>
      </c>
      <c r="Q188" s="19" t="str">
        <f>IF(ISNUMBER(Media!R109)=TRUE,Media!R109,"")</f>
        <v/>
      </c>
      <c r="R188" s="19" t="str">
        <f>IF(ISNUMBER(Media!S109)=TRUE,Media!S109,"")</f>
        <v/>
      </c>
      <c r="S188" s="19" t="str">
        <f>IF(ISNUMBER(Media!T109)=TRUE,Media!T109,"")</f>
        <v/>
      </c>
      <c r="T188" s="19" t="str">
        <f>IF(ISNUMBER(Media!U109)=TRUE,Media!U109,"")</f>
        <v/>
      </c>
      <c r="U188" s="19" t="str">
        <f>IF(ISNUMBER(Media!V109)=TRUE,Media!V109,"")</f>
        <v/>
      </c>
      <c r="V188" s="19" t="str">
        <f>IF(ISNUMBER(Media!W109)=TRUE,Media!W109,"")</f>
        <v/>
      </c>
      <c r="W188" s="19" t="str">
        <f>IF(ISNUMBER(Media!X109)=TRUE,Media!X109,"")</f>
        <v/>
      </c>
      <c r="X188" s="19" t="str">
        <f>IF(ISNUMBER(Media!Y109)=TRUE,Media!Y109,"")</f>
        <v/>
      </c>
      <c r="Y188" s="19" t="str">
        <f>IF(ISNUMBER(Media!Z109)=TRUE,Media!Z109,"")</f>
        <v/>
      </c>
      <c r="Z188" s="19" t="str">
        <f>IF(ISNUMBER(Media!AA109)=TRUE,Media!AA109,"")</f>
        <v/>
      </c>
      <c r="AA188" s="19" t="str">
        <f>IF(ISNUMBER(Media!AH109)=TRUE,Media!AH109,"")</f>
        <v/>
      </c>
      <c r="AB188" s="19" t="str">
        <f>IF(ISNUMBER(Media!AI109)=TRUE,Media!AI109,"")</f>
        <v/>
      </c>
      <c r="AC188" s="19" t="str">
        <f>IF(ISNUMBER(Media!AJ109)=TRUE,Media!AJ109,"")</f>
        <v/>
      </c>
    </row>
    <row r="189" spans="2:29" x14ac:dyDescent="0.25">
      <c r="B189" s="19" t="s">
        <v>22</v>
      </c>
      <c r="C189" s="19" t="s">
        <v>137</v>
      </c>
      <c r="D189" s="19">
        <f t="shared" si="14"/>
        <v>6</v>
      </c>
      <c r="E189" s="19">
        <f>IF(ISNUMBER(Media!F110)=TRUE,Media!F110,"")</f>
        <v>1</v>
      </c>
      <c r="F189" s="19">
        <f>IF(ISNUMBER(Media!G110)=TRUE,Media!G110,"")</f>
        <v>1</v>
      </c>
      <c r="G189" s="19">
        <f>IF(ISNUMBER(Media!H110)=TRUE,Media!H110,"")</f>
        <v>1</v>
      </c>
      <c r="H189" s="19">
        <f>IF(ISNUMBER(Media!I110)=TRUE,Media!I110,"")</f>
        <v>1</v>
      </c>
      <c r="I189" s="19">
        <f>IF(ISNUMBER(Media!J110)=TRUE,Media!J110,"")</f>
        <v>1</v>
      </c>
      <c r="J189" s="19">
        <f>IF(ISNUMBER(Media!K110)=TRUE,Media!K110,"")</f>
        <v>1</v>
      </c>
      <c r="K189" s="19" t="str">
        <f>IF(ISNUMBER(Media!L110)=TRUE,Media!L110,"")</f>
        <v/>
      </c>
      <c r="L189" s="19" t="str">
        <f>IF(ISNUMBER(Media!M110)=TRUE,Media!M110,"")</f>
        <v/>
      </c>
      <c r="M189" s="19" t="str">
        <f>IF(ISNUMBER(Media!N110)=TRUE,Media!N110,"")</f>
        <v/>
      </c>
      <c r="N189" s="19" t="str">
        <f>IF(ISNUMBER(Media!O110)=TRUE,Media!O110,"")</f>
        <v/>
      </c>
      <c r="O189" s="19" t="str">
        <f>IF(ISNUMBER(Media!P110)=TRUE,Media!P110,"")</f>
        <v/>
      </c>
      <c r="P189" s="19" t="str">
        <f>IF(ISNUMBER(Media!Q110)=TRUE,Media!Q110,"")</f>
        <v/>
      </c>
      <c r="Q189" s="19" t="str">
        <f>IF(ISNUMBER(Media!R110)=TRUE,Media!R110,"")</f>
        <v/>
      </c>
      <c r="R189" s="19" t="str">
        <f>IF(ISNUMBER(Media!S110)=TRUE,Media!S110,"")</f>
        <v/>
      </c>
      <c r="S189" s="19" t="str">
        <f>IF(ISNUMBER(Media!T110)=TRUE,Media!T110,"")</f>
        <v/>
      </c>
      <c r="T189" s="19" t="str">
        <f>IF(ISNUMBER(Media!U110)=TRUE,Media!U110,"")</f>
        <v/>
      </c>
      <c r="U189" s="19" t="str">
        <f>IF(ISNUMBER(Media!V110)=TRUE,Media!V110,"")</f>
        <v/>
      </c>
      <c r="V189" s="19" t="str">
        <f>IF(ISNUMBER(Media!W110)=TRUE,Media!W110,"")</f>
        <v/>
      </c>
      <c r="W189" s="19" t="str">
        <f>IF(ISNUMBER(Media!X110)=TRUE,Media!X110,"")</f>
        <v/>
      </c>
      <c r="X189" s="19" t="str">
        <f>IF(ISNUMBER(Media!Y110)=TRUE,Media!Y110,"")</f>
        <v/>
      </c>
      <c r="Y189" s="19" t="str">
        <f>IF(ISNUMBER(Media!Z110)=TRUE,Media!Z110,"")</f>
        <v/>
      </c>
      <c r="Z189" s="19" t="str">
        <f>IF(ISNUMBER(Media!AA110)=TRUE,Media!AA110,"")</f>
        <v/>
      </c>
      <c r="AA189" s="19" t="str">
        <f>IF(ISNUMBER(Media!AH110)=TRUE,Media!AH110,"")</f>
        <v/>
      </c>
      <c r="AB189" s="19" t="str">
        <f>IF(ISNUMBER(Media!AI110)=TRUE,Media!AI110,"")</f>
        <v/>
      </c>
      <c r="AC189" s="19" t="str">
        <f>IF(ISNUMBER(Media!AJ110)=TRUE,Media!AJ110,"")</f>
        <v/>
      </c>
    </row>
    <row r="190" spans="2:29" x14ac:dyDescent="0.25">
      <c r="B190" s="19" t="s">
        <v>22</v>
      </c>
      <c r="C190" s="19" t="s">
        <v>344</v>
      </c>
      <c r="D190" s="19">
        <f t="shared" si="14"/>
        <v>3</v>
      </c>
      <c r="E190" s="19">
        <f>IF(ISNUMBER(Media!F111)=TRUE,Media!F111,"")</f>
        <v>0</v>
      </c>
      <c r="F190" s="19">
        <f>IF(ISNUMBER(Media!G111)=TRUE,Media!G111,"")</f>
        <v>0.46583850931677001</v>
      </c>
      <c r="G190" s="19">
        <f>IF(ISNUMBER(Media!H111)=TRUE,Media!H111,"")</f>
        <v>0</v>
      </c>
      <c r="H190" s="19" t="str">
        <f>IF(ISNUMBER(Media!I111)=TRUE,Media!I111,"")</f>
        <v/>
      </c>
      <c r="I190" s="19" t="str">
        <f>IF(ISNUMBER(Media!J111)=TRUE,Media!J111,"")</f>
        <v/>
      </c>
      <c r="J190" s="19" t="str">
        <f>IF(ISNUMBER(Media!K111)=TRUE,Media!K111,"")</f>
        <v/>
      </c>
      <c r="K190" s="19" t="str">
        <f>IF(ISNUMBER(Media!L111)=TRUE,Media!L111,"")</f>
        <v/>
      </c>
      <c r="L190" s="19" t="str">
        <f>IF(ISNUMBER(Media!M111)=TRUE,Media!M111,"")</f>
        <v/>
      </c>
      <c r="M190" s="19" t="str">
        <f>IF(ISNUMBER(Media!N111)=TRUE,Media!N111,"")</f>
        <v/>
      </c>
      <c r="N190" s="19" t="str">
        <f>IF(ISNUMBER(Media!O111)=TRUE,Media!O111,"")</f>
        <v/>
      </c>
      <c r="O190" s="19" t="str">
        <f>IF(ISNUMBER(Media!P111)=TRUE,Media!P111,"")</f>
        <v/>
      </c>
      <c r="P190" s="19" t="str">
        <f>IF(ISNUMBER(Media!Q111)=TRUE,Media!Q111,"")</f>
        <v/>
      </c>
      <c r="Q190" s="19" t="str">
        <f>IF(ISNUMBER(Media!R111)=TRUE,Media!R111,"")</f>
        <v/>
      </c>
      <c r="R190" s="19" t="str">
        <f>IF(ISNUMBER(Media!S111)=TRUE,Media!S111,"")</f>
        <v/>
      </c>
      <c r="S190" s="19" t="str">
        <f>IF(ISNUMBER(Media!T111)=TRUE,Media!T111,"")</f>
        <v/>
      </c>
      <c r="T190" s="19" t="str">
        <f>IF(ISNUMBER(Media!U111)=TRUE,Media!U111,"")</f>
        <v/>
      </c>
      <c r="U190" s="19" t="str">
        <f>IF(ISNUMBER(Media!V111)=TRUE,Media!V111,"")</f>
        <v/>
      </c>
      <c r="V190" s="19" t="str">
        <f>IF(ISNUMBER(Media!W111)=TRUE,Media!W111,"")</f>
        <v/>
      </c>
      <c r="W190" s="19" t="str">
        <f>IF(ISNUMBER(Media!X111)=TRUE,Media!X111,"")</f>
        <v/>
      </c>
      <c r="X190" s="19" t="str">
        <f>IF(ISNUMBER(Media!Y111)=TRUE,Media!Y111,"")</f>
        <v/>
      </c>
      <c r="Y190" s="19" t="str">
        <f>IF(ISNUMBER(Media!Z111)=TRUE,Media!Z111,"")</f>
        <v/>
      </c>
      <c r="Z190" s="19" t="str">
        <f>IF(ISNUMBER(Media!AA111)=TRUE,Media!AA111,"")</f>
        <v/>
      </c>
      <c r="AA190" s="19" t="str">
        <f>IF(ISNUMBER(Media!AH111)=TRUE,Media!AH111,"")</f>
        <v/>
      </c>
      <c r="AB190" s="19" t="str">
        <f>IF(ISNUMBER(Media!AI111)=TRUE,Media!AI111,"")</f>
        <v/>
      </c>
      <c r="AC190" s="19" t="str">
        <f>IF(ISNUMBER(Media!AJ111)=TRUE,Media!AJ111,"")</f>
        <v/>
      </c>
    </row>
    <row r="191" spans="2:29" x14ac:dyDescent="0.25">
      <c r="B191" s="19" t="s">
        <v>22</v>
      </c>
      <c r="C191" s="19" t="s">
        <v>345</v>
      </c>
      <c r="D191" s="19">
        <f t="shared" si="14"/>
        <v>3</v>
      </c>
      <c r="E191" s="19">
        <f>IF(ISNUMBER(Media!F112)=TRUE,Media!F112,"")</f>
        <v>0</v>
      </c>
      <c r="F191" s="19">
        <f>IF(ISNUMBER(Media!G112)=TRUE,Media!G112,"")</f>
        <v>0.31055900621117999</v>
      </c>
      <c r="G191" s="19">
        <f>IF(ISNUMBER(Media!H112)=TRUE,Media!H112,"")</f>
        <v>0</v>
      </c>
      <c r="H191" s="19" t="str">
        <f>IF(ISNUMBER(Media!I112)=TRUE,Media!I112,"")</f>
        <v/>
      </c>
      <c r="I191" s="19" t="str">
        <f>IF(ISNUMBER(Media!J112)=TRUE,Media!J112,"")</f>
        <v/>
      </c>
      <c r="J191" s="19" t="str">
        <f>IF(ISNUMBER(Media!K112)=TRUE,Media!K112,"")</f>
        <v/>
      </c>
      <c r="K191" s="19" t="str">
        <f>IF(ISNUMBER(Media!L112)=TRUE,Media!L112,"")</f>
        <v/>
      </c>
      <c r="L191" s="19" t="str">
        <f>IF(ISNUMBER(Media!M112)=TRUE,Media!M112,"")</f>
        <v/>
      </c>
      <c r="M191" s="19" t="str">
        <f>IF(ISNUMBER(Media!N112)=TRUE,Media!N112,"")</f>
        <v/>
      </c>
      <c r="N191" s="19" t="str">
        <f>IF(ISNUMBER(Media!O112)=TRUE,Media!O112,"")</f>
        <v/>
      </c>
      <c r="O191" s="19" t="str">
        <f>IF(ISNUMBER(Media!P112)=TRUE,Media!P112,"")</f>
        <v/>
      </c>
      <c r="P191" s="19" t="str">
        <f>IF(ISNUMBER(Media!Q112)=TRUE,Media!Q112,"")</f>
        <v/>
      </c>
      <c r="Q191" s="19" t="str">
        <f>IF(ISNUMBER(Media!R112)=TRUE,Media!R112,"")</f>
        <v/>
      </c>
      <c r="R191" s="19" t="str">
        <f>IF(ISNUMBER(Media!S112)=TRUE,Media!S112,"")</f>
        <v/>
      </c>
      <c r="S191" s="19" t="str">
        <f>IF(ISNUMBER(Media!T112)=TRUE,Media!T112,"")</f>
        <v/>
      </c>
      <c r="T191" s="19" t="str">
        <f>IF(ISNUMBER(Media!U112)=TRUE,Media!U112,"")</f>
        <v/>
      </c>
      <c r="U191" s="19" t="str">
        <f>IF(ISNUMBER(Media!V112)=TRUE,Media!V112,"")</f>
        <v/>
      </c>
      <c r="V191" s="19" t="str">
        <f>IF(ISNUMBER(Media!W112)=TRUE,Media!W112,"")</f>
        <v/>
      </c>
      <c r="W191" s="19" t="str">
        <f>IF(ISNUMBER(Media!X112)=TRUE,Media!X112,"")</f>
        <v/>
      </c>
      <c r="X191" s="19" t="str">
        <f>IF(ISNUMBER(Media!Y112)=TRUE,Media!Y112,"")</f>
        <v/>
      </c>
      <c r="Y191" s="19" t="str">
        <f>IF(ISNUMBER(Media!Z112)=TRUE,Media!Z112,"")</f>
        <v/>
      </c>
      <c r="Z191" s="19" t="str">
        <f>IF(ISNUMBER(Media!AA112)=TRUE,Media!AA112,"")</f>
        <v/>
      </c>
      <c r="AA191" s="19" t="str">
        <f>IF(ISNUMBER(Media!AH112)=TRUE,Media!AH112,"")</f>
        <v/>
      </c>
      <c r="AB191" s="19" t="str">
        <f>IF(ISNUMBER(Media!AI112)=TRUE,Media!AI112,"")</f>
        <v/>
      </c>
      <c r="AC191" s="19" t="str">
        <f>IF(ISNUMBER(Media!AJ112)=TRUE,Media!AJ112,"")</f>
        <v/>
      </c>
    </row>
    <row r="192" spans="2:29" x14ac:dyDescent="0.25">
      <c r="B192" s="19" t="s">
        <v>22</v>
      </c>
      <c r="C192" s="19" t="s">
        <v>138</v>
      </c>
      <c r="D192" s="19">
        <f t="shared" si="14"/>
        <v>3</v>
      </c>
      <c r="E192" s="19">
        <f>IF(ISNUMBER(Media!F114)=TRUE,Media!F114,"")</f>
        <v>1</v>
      </c>
      <c r="F192" s="19">
        <f>IF(ISNUMBER(Media!F115)=TRUE,Media!F115,"")</f>
        <v>1</v>
      </c>
      <c r="G192" s="19">
        <f>IF(ISNUMBER(Media!F116)=TRUE,Media!F116,"")</f>
        <v>1</v>
      </c>
      <c r="H192" s="19"/>
      <c r="I192" s="19"/>
      <c r="J192" s="19"/>
      <c r="K192" s="19"/>
      <c r="L192" s="19"/>
      <c r="M192" s="19"/>
      <c r="N192" s="19"/>
      <c r="O192" s="19"/>
      <c r="P192" s="19"/>
      <c r="Q192" s="19"/>
      <c r="R192" s="19"/>
      <c r="S192" s="19"/>
      <c r="T192" s="19"/>
      <c r="U192" s="19"/>
      <c r="V192" s="19"/>
      <c r="W192" s="19"/>
      <c r="X192" s="19"/>
      <c r="Y192" s="19"/>
      <c r="Z192" s="19"/>
      <c r="AA192" s="19"/>
      <c r="AB192" s="19"/>
      <c r="AC192" s="19"/>
    </row>
    <row r="193" spans="2:29" x14ac:dyDescent="0.25">
      <c r="B193" s="19" t="s">
        <v>23</v>
      </c>
      <c r="C193" s="19" t="s">
        <v>132</v>
      </c>
      <c r="D193" s="19">
        <f>IF(E193&gt;=1,1,0)</f>
        <v>0</v>
      </c>
      <c r="E193" s="19">
        <f>Food_NSource</f>
        <v>0</v>
      </c>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row>
    <row r="194" spans="2:29" x14ac:dyDescent="0.25">
      <c r="B194" s="19" t="s">
        <v>23</v>
      </c>
      <c r="C194" s="19" t="s">
        <v>139</v>
      </c>
      <c r="D194" s="19">
        <f t="shared" ref="D194:D207" si="15">COUNT(E194:AC194)</f>
        <v>1</v>
      </c>
      <c r="E194" s="19">
        <f>IF(ISNUMBER(Media!F119)=TRUE,Media!F119*365,"")</f>
        <v>365</v>
      </c>
      <c r="F194" s="19" t="str">
        <f>IF(ISNUMBER(Media!G119)=TRUE,Media!G119*365,"")</f>
        <v/>
      </c>
      <c r="G194" s="19" t="str">
        <f>IF(ISNUMBER(Media!H119)=TRUE,Media!H119*365,"")</f>
        <v/>
      </c>
      <c r="H194" s="19" t="str">
        <f>IF(ISNUMBER(Media!I119)=TRUE,Media!I119*365,"")</f>
        <v/>
      </c>
      <c r="I194" s="19" t="str">
        <f>IF(ISNUMBER(Media!J119)=TRUE,Media!J119*365,"")</f>
        <v/>
      </c>
      <c r="J194" s="19" t="str">
        <f>IF(ISNUMBER(Media!K119)=TRUE,Media!K119*365,"")</f>
        <v/>
      </c>
      <c r="K194" s="19" t="str">
        <f>IF(ISNUMBER(Media!L119)=TRUE,Media!L119*365,"")</f>
        <v/>
      </c>
      <c r="L194" s="19" t="str">
        <f>IF(ISNUMBER(Media!M119)=TRUE,Media!M119*365,"")</f>
        <v/>
      </c>
      <c r="M194" s="19" t="str">
        <f>IF(ISNUMBER(Media!N119)=TRUE,Media!N119*365,"")</f>
        <v/>
      </c>
      <c r="N194" s="19" t="str">
        <f>IF(ISNUMBER(Media!O119)=TRUE,Media!O119*365,"")</f>
        <v/>
      </c>
      <c r="O194" s="19" t="str">
        <f>IF(ISNUMBER(Media!P119)=TRUE,Media!P119*365,"")</f>
        <v/>
      </c>
      <c r="P194" s="19" t="str">
        <f>IF(ISNUMBER(Media!Q119)=TRUE,Media!Q119*365,"")</f>
        <v/>
      </c>
      <c r="Q194" s="19" t="str">
        <f>IF(ISNUMBER(Media!R119)=TRUE,Media!R119*365,"")</f>
        <v/>
      </c>
      <c r="R194" s="19" t="str">
        <f>IF(ISNUMBER(Media!S119)=TRUE,Media!S119*365,"")</f>
        <v/>
      </c>
      <c r="S194" s="19" t="str">
        <f>IF(ISNUMBER(Media!T119)=TRUE,Media!T119*365,"")</f>
        <v/>
      </c>
      <c r="T194" s="19" t="str">
        <f>IF(ISNUMBER(Media!U119)=TRUE,Media!U119*365,"")</f>
        <v/>
      </c>
      <c r="U194" s="19" t="str">
        <f>IF(ISNUMBER(Media!V119)=TRUE,Media!V119*365,"")</f>
        <v/>
      </c>
      <c r="V194" s="19" t="str">
        <f>IF(ISNUMBER(Media!W119)=TRUE,Media!W119*365,"")</f>
        <v/>
      </c>
      <c r="W194" s="19" t="str">
        <f>IF(ISNUMBER(Media!X119)=TRUE,Media!X119*365,"")</f>
        <v/>
      </c>
      <c r="X194" s="19" t="str">
        <f>IF(ISNUMBER(Media!Y119)=TRUE,Media!Y119*365,"")</f>
        <v/>
      </c>
      <c r="Y194" s="19" t="str">
        <f>IF(ISNUMBER(Media!Z119)=TRUE,Media!Z119*365,"")</f>
        <v/>
      </c>
      <c r="Z194" s="19" t="str">
        <f>IF(ISNUMBER(Media!AA119)=TRUE,Media!AA119*365,"")</f>
        <v/>
      </c>
      <c r="AA194" s="19" t="str">
        <f>IF(ISNUMBER(Media!AH119)=TRUE,Media!AH119*365,"")</f>
        <v/>
      </c>
      <c r="AB194" s="19" t="str">
        <f>IF(ISNUMBER(Media!AI119)=TRUE,Media!AI119*365,"")</f>
        <v/>
      </c>
      <c r="AC194" s="19" t="str">
        <f>IF(ISNUMBER(Media!AJ119)=TRUE,Media!AJ119*365,"")</f>
        <v/>
      </c>
    </row>
    <row r="195" spans="2:29" x14ac:dyDescent="0.25">
      <c r="B195" s="19" t="s">
        <v>23</v>
      </c>
      <c r="C195" s="19" t="s">
        <v>140</v>
      </c>
      <c r="D195" s="19">
        <f t="shared" si="15"/>
        <v>1</v>
      </c>
      <c r="E195" s="19">
        <f>IF(ISNUMBER(Media!F120)=TRUE,Media!F120,"")</f>
        <v>10</v>
      </c>
      <c r="F195" s="19" t="str">
        <f>IF(ISNUMBER(Media!G120)=TRUE,Media!G120,"")</f>
        <v/>
      </c>
      <c r="G195" s="19" t="str">
        <f>IF(ISNUMBER(Media!H120)=TRUE,Media!H120,"")</f>
        <v/>
      </c>
      <c r="H195" s="19" t="str">
        <f>IF(ISNUMBER(Media!I120)=TRUE,Media!I120,"")</f>
        <v/>
      </c>
      <c r="I195" s="19" t="str">
        <f>IF(ISNUMBER(Media!J120)=TRUE,Media!J120,"")</f>
        <v/>
      </c>
      <c r="J195" s="19" t="str">
        <f>IF(ISNUMBER(Media!K120)=TRUE,Media!K120,"")</f>
        <v/>
      </c>
      <c r="K195" s="19" t="str">
        <f>IF(ISNUMBER(Media!L120)=TRUE,Media!L120,"")</f>
        <v/>
      </c>
      <c r="L195" s="19" t="str">
        <f>IF(ISNUMBER(Media!M120)=TRUE,Media!M120,"")</f>
        <v/>
      </c>
      <c r="M195" s="19" t="str">
        <f>IF(ISNUMBER(Media!N120)=TRUE,Media!N120,"")</f>
        <v/>
      </c>
      <c r="N195" s="19" t="str">
        <f>IF(ISNUMBER(Media!O120)=TRUE,Media!O120,"")</f>
        <v/>
      </c>
      <c r="O195" s="19" t="str">
        <f>IF(ISNUMBER(Media!P120)=TRUE,Media!P120,"")</f>
        <v/>
      </c>
      <c r="P195" s="19" t="str">
        <f>IF(ISNUMBER(Media!Q120)=TRUE,Media!Q120,"")</f>
        <v/>
      </c>
      <c r="Q195" s="19" t="str">
        <f>IF(ISNUMBER(Media!R120)=TRUE,Media!R120,"")</f>
        <v/>
      </c>
      <c r="R195" s="19" t="str">
        <f>IF(ISNUMBER(Media!S120)=TRUE,Media!S120,"")</f>
        <v/>
      </c>
      <c r="S195" s="19" t="str">
        <f>IF(ISNUMBER(Media!T120)=TRUE,Media!T120,"")</f>
        <v/>
      </c>
      <c r="T195" s="19" t="str">
        <f>IF(ISNUMBER(Media!U120)=TRUE,Media!U120,"")</f>
        <v/>
      </c>
      <c r="U195" s="19" t="str">
        <f>IF(ISNUMBER(Media!V120)=TRUE,Media!V120,"")</f>
        <v/>
      </c>
      <c r="V195" s="19" t="str">
        <f>IF(ISNUMBER(Media!W120)=TRUE,Media!W120,"")</f>
        <v/>
      </c>
      <c r="W195" s="19" t="str">
        <f>IF(ISNUMBER(Media!X120)=TRUE,Media!X120,"")</f>
        <v/>
      </c>
      <c r="X195" s="19" t="str">
        <f>IF(ISNUMBER(Media!Y120)=TRUE,Media!Y120,"")</f>
        <v/>
      </c>
      <c r="Y195" s="19" t="str">
        <f>IF(ISNUMBER(Media!Z120)=TRUE,Media!Z120,"")</f>
        <v/>
      </c>
      <c r="Z195" s="19" t="str">
        <f>IF(ISNUMBER(Media!AA120)=TRUE,Media!AA120,"")</f>
        <v/>
      </c>
      <c r="AA195" s="19" t="str">
        <f>IF(ISNUMBER(Media!AH120)=TRUE,Media!AH120,"")</f>
        <v/>
      </c>
      <c r="AB195" s="19" t="str">
        <f>IF(ISNUMBER(Media!AI120)=TRUE,Media!AI120,"")</f>
        <v/>
      </c>
      <c r="AC195" s="19" t="str">
        <f>IF(ISNUMBER(Media!AJ120)=TRUE,Media!AJ120,"")</f>
        <v/>
      </c>
    </row>
    <row r="196" spans="2:29" x14ac:dyDescent="0.25">
      <c r="B196" s="19" t="s">
        <v>23</v>
      </c>
      <c r="C196" s="19" t="s">
        <v>141</v>
      </c>
      <c r="D196" s="19">
        <f t="shared" si="15"/>
        <v>0</v>
      </c>
      <c r="E196" s="19" t="str">
        <f>IF(ISNUMBER(Media!F121)=TRUE,Media!F121,"")</f>
        <v/>
      </c>
      <c r="F196" s="19" t="str">
        <f>IF(ISNUMBER(Media!G121)=TRUE,Media!G121,"")</f>
        <v/>
      </c>
      <c r="G196" s="19" t="str">
        <f>IF(ISNUMBER(Media!H121)=TRUE,Media!H121,"")</f>
        <v/>
      </c>
      <c r="H196" s="19" t="str">
        <f>IF(ISNUMBER(Media!I121)=TRUE,Media!I121,"")</f>
        <v/>
      </c>
      <c r="I196" s="19" t="str">
        <f>IF(ISNUMBER(Media!J121)=TRUE,Media!J121,"")</f>
        <v/>
      </c>
      <c r="J196" s="19" t="str">
        <f>IF(ISNUMBER(Media!K121)=TRUE,Media!K121,"")</f>
        <v/>
      </c>
      <c r="K196" s="19" t="str">
        <f>IF(ISNUMBER(Media!L121)=TRUE,Media!L121,"")</f>
        <v/>
      </c>
      <c r="L196" s="19" t="str">
        <f>IF(ISNUMBER(Media!M121)=TRUE,Media!M121,"")</f>
        <v/>
      </c>
      <c r="M196" s="19" t="str">
        <f>IF(ISNUMBER(Media!N121)=TRUE,Media!N121,"")</f>
        <v/>
      </c>
      <c r="N196" s="19" t="str">
        <f>IF(ISNUMBER(Media!O121)=TRUE,Media!O121,"")</f>
        <v/>
      </c>
      <c r="O196" s="19" t="str">
        <f>IF(ISNUMBER(Media!P121)=TRUE,Media!P121,"")</f>
        <v/>
      </c>
      <c r="P196" s="19" t="str">
        <f>IF(ISNUMBER(Media!Q121)=TRUE,Media!Q121,"")</f>
        <v/>
      </c>
      <c r="Q196" s="19" t="str">
        <f>IF(ISNUMBER(Media!R121)=TRUE,Media!R121,"")</f>
        <v/>
      </c>
      <c r="R196" s="19" t="str">
        <f>IF(ISNUMBER(Media!S121)=TRUE,Media!S121,"")</f>
        <v/>
      </c>
      <c r="S196" s="19" t="str">
        <f>IF(ISNUMBER(Media!T121)=TRUE,Media!T121,"")</f>
        <v/>
      </c>
      <c r="T196" s="19" t="str">
        <f>IF(ISNUMBER(Media!U121)=TRUE,Media!U121,"")</f>
        <v/>
      </c>
      <c r="U196" s="19" t="str">
        <f>IF(ISNUMBER(Media!V121)=TRUE,Media!V121,"")</f>
        <v/>
      </c>
      <c r="V196" s="19" t="str">
        <f>IF(ISNUMBER(Media!W121)=TRUE,Media!W121,"")</f>
        <v/>
      </c>
      <c r="W196" s="19" t="str">
        <f>IF(ISNUMBER(Media!X121)=TRUE,Media!X121,"")</f>
        <v/>
      </c>
      <c r="X196" s="19" t="str">
        <f>IF(ISNUMBER(Media!Y121)=TRUE,Media!Y121,"")</f>
        <v/>
      </c>
      <c r="Y196" s="19" t="str">
        <f>IF(ISNUMBER(Media!Z121)=TRUE,Media!Z121,"")</f>
        <v/>
      </c>
      <c r="Z196" s="19" t="str">
        <f>IF(ISNUMBER(Media!AA121)=TRUE,Media!AA121,"")</f>
        <v/>
      </c>
      <c r="AA196" s="19" t="str">
        <f>IF(ISNUMBER(Media!AH121)=TRUE,Media!AH121,"")</f>
        <v/>
      </c>
      <c r="AB196" s="19" t="str">
        <f>IF(ISNUMBER(Media!AI121)=TRUE,Media!AI121,"")</f>
        <v/>
      </c>
      <c r="AC196" s="19" t="str">
        <f>IF(ISNUMBER(Media!AJ121)=TRUE,Media!AJ121,"")</f>
        <v/>
      </c>
    </row>
    <row r="197" spans="2:29" x14ac:dyDescent="0.25">
      <c r="B197" s="19" t="s">
        <v>23</v>
      </c>
      <c r="C197" s="19" t="s">
        <v>142</v>
      </c>
      <c r="D197" s="19">
        <f t="shared" si="15"/>
        <v>0</v>
      </c>
      <c r="E197" s="19" t="str">
        <f>IF(ISNUMBER(Media!F122)=TRUE,Media!F122,"")</f>
        <v/>
      </c>
      <c r="F197" s="19" t="str">
        <f>IF(ISNUMBER(Media!G122)=TRUE,Media!G122,"")</f>
        <v/>
      </c>
      <c r="G197" s="19" t="str">
        <f>IF(ISNUMBER(Media!H122)=TRUE,Media!H122,"")</f>
        <v/>
      </c>
      <c r="H197" s="19" t="str">
        <f>IF(ISNUMBER(Media!I122)=TRUE,Media!I122,"")</f>
        <v/>
      </c>
      <c r="I197" s="19" t="str">
        <f>IF(ISNUMBER(Media!J122)=TRUE,Media!J122,"")</f>
        <v/>
      </c>
      <c r="J197" s="19" t="str">
        <f>IF(ISNUMBER(Media!K122)=TRUE,Media!K122,"")</f>
        <v/>
      </c>
      <c r="K197" s="19" t="str">
        <f>IF(ISNUMBER(Media!L122)=TRUE,Media!L122,"")</f>
        <v/>
      </c>
      <c r="L197" s="19" t="str">
        <f>IF(ISNUMBER(Media!M122)=TRUE,Media!M122,"")</f>
        <v/>
      </c>
      <c r="M197" s="19" t="str">
        <f>IF(ISNUMBER(Media!N122)=TRUE,Media!N122,"")</f>
        <v/>
      </c>
      <c r="N197" s="19" t="str">
        <f>IF(ISNUMBER(Media!O122)=TRUE,Media!O122,"")</f>
        <v/>
      </c>
      <c r="O197" s="19" t="str">
        <f>IF(ISNUMBER(Media!P122)=TRUE,Media!P122,"")</f>
        <v/>
      </c>
      <c r="P197" s="19" t="str">
        <f>IF(ISNUMBER(Media!Q122)=TRUE,Media!Q122,"")</f>
        <v/>
      </c>
      <c r="Q197" s="19" t="str">
        <f>IF(ISNUMBER(Media!R122)=TRUE,Media!R122,"")</f>
        <v/>
      </c>
      <c r="R197" s="19" t="str">
        <f>IF(ISNUMBER(Media!S122)=TRUE,Media!S122,"")</f>
        <v/>
      </c>
      <c r="S197" s="19" t="str">
        <f>IF(ISNUMBER(Media!T122)=TRUE,Media!T122,"")</f>
        <v/>
      </c>
      <c r="T197" s="19" t="str">
        <f>IF(ISNUMBER(Media!U122)=TRUE,Media!U122,"")</f>
        <v/>
      </c>
      <c r="U197" s="19" t="str">
        <f>IF(ISNUMBER(Media!V122)=TRUE,Media!V122,"")</f>
        <v/>
      </c>
      <c r="V197" s="19" t="str">
        <f>IF(ISNUMBER(Media!W122)=TRUE,Media!W122,"")</f>
        <v/>
      </c>
      <c r="W197" s="19" t="str">
        <f>IF(ISNUMBER(Media!X122)=TRUE,Media!X122,"")</f>
        <v/>
      </c>
      <c r="X197" s="19" t="str">
        <f>IF(ISNUMBER(Media!Y122)=TRUE,Media!Y122,"")</f>
        <v/>
      </c>
      <c r="Y197" s="19" t="str">
        <f>IF(ISNUMBER(Media!Z122)=TRUE,Media!Z122,"")</f>
        <v/>
      </c>
      <c r="Z197" s="19" t="str">
        <f>IF(ISNUMBER(Media!AA122)=TRUE,Media!AA122,"")</f>
        <v/>
      </c>
      <c r="AA197" s="19" t="str">
        <f>IF(ISNUMBER(Media!AH122)=TRUE,Media!AH122,"")</f>
        <v/>
      </c>
      <c r="AB197" s="19" t="str">
        <f>IF(ISNUMBER(Media!AI122)=TRUE,Media!AI122,"")</f>
        <v/>
      </c>
      <c r="AC197" s="19" t="str">
        <f>IF(ISNUMBER(Media!AJ122)=TRUE,Media!AJ122,"")</f>
        <v/>
      </c>
    </row>
    <row r="198" spans="2:29" x14ac:dyDescent="0.25">
      <c r="B198" s="19" t="s">
        <v>23</v>
      </c>
      <c r="C198" s="19" t="s">
        <v>335</v>
      </c>
      <c r="D198" s="19">
        <f t="shared" si="15"/>
        <v>0</v>
      </c>
      <c r="E198" s="19" t="str">
        <f>IF(ISNUMBER(Media!F125)=TRUE,Media!F125,"")</f>
        <v/>
      </c>
      <c r="F198" s="19" t="str">
        <f>IF(ISNUMBER(Media!G125)=TRUE,Media!G125,"")</f>
        <v/>
      </c>
      <c r="G198" s="19" t="str">
        <f>IF(ISNUMBER(Media!H125)=TRUE,Media!H125,"")</f>
        <v/>
      </c>
      <c r="H198" s="19" t="str">
        <f>IF(ISNUMBER(Media!I125)=TRUE,Media!I125,"")</f>
        <v/>
      </c>
      <c r="I198" s="19"/>
      <c r="J198" s="19"/>
      <c r="K198" s="19"/>
      <c r="L198" s="19"/>
      <c r="M198" s="19"/>
      <c r="N198" s="19"/>
      <c r="O198" s="19"/>
      <c r="P198" s="19"/>
      <c r="Q198" s="19"/>
      <c r="R198" s="19"/>
      <c r="S198" s="19"/>
      <c r="T198" s="19"/>
      <c r="U198" s="19"/>
      <c r="V198" s="19"/>
      <c r="W198" s="19"/>
      <c r="X198" s="19"/>
      <c r="Y198" s="19"/>
      <c r="Z198" s="19"/>
      <c r="AA198" s="19"/>
      <c r="AB198" s="19"/>
      <c r="AC198" s="19"/>
    </row>
    <row r="199" spans="2:29" x14ac:dyDescent="0.25">
      <c r="B199" s="19" t="s">
        <v>23</v>
      </c>
      <c r="C199" s="19" t="s">
        <v>336</v>
      </c>
      <c r="D199" s="19">
        <f t="shared" si="15"/>
        <v>0</v>
      </c>
      <c r="E199" s="19" t="str">
        <f>IF(ISNUMBER(Media!F126)=TRUE,Media!F126,"")</f>
        <v/>
      </c>
      <c r="F199" s="19" t="str">
        <f>IF(ISNUMBER(Media!G126)=TRUE,Media!G126,"")</f>
        <v/>
      </c>
      <c r="G199" s="19" t="str">
        <f>IF(ISNUMBER(Media!H126)=TRUE,Media!H126,"")</f>
        <v/>
      </c>
      <c r="H199" s="19" t="str">
        <f>IF(ISNUMBER(Media!I126)=TRUE,Media!I126,"")</f>
        <v/>
      </c>
      <c r="I199" s="19"/>
      <c r="J199" s="19"/>
      <c r="K199" s="19"/>
      <c r="L199" s="19"/>
      <c r="M199" s="19"/>
      <c r="N199" s="19"/>
      <c r="O199" s="19"/>
      <c r="P199" s="19"/>
      <c r="Q199" s="19"/>
      <c r="R199" s="19"/>
      <c r="S199" s="19"/>
      <c r="T199" s="19"/>
      <c r="U199" s="19"/>
      <c r="V199" s="19"/>
      <c r="W199" s="19"/>
      <c r="X199" s="19"/>
      <c r="Y199" s="19"/>
      <c r="Z199" s="19"/>
      <c r="AA199" s="19"/>
      <c r="AB199" s="19"/>
      <c r="AC199" s="19"/>
    </row>
    <row r="200" spans="2:29" x14ac:dyDescent="0.25">
      <c r="B200" s="19" t="s">
        <v>23</v>
      </c>
      <c r="C200" s="19" t="s">
        <v>337</v>
      </c>
      <c r="D200" s="19">
        <f t="shared" si="15"/>
        <v>0</v>
      </c>
      <c r="E200" s="19" t="str">
        <f>IF(ISNUMBER(Media!F127)=TRUE,Media!F127,"")</f>
        <v/>
      </c>
      <c r="F200" s="19" t="str">
        <f>IF(ISNUMBER(Media!G127)=TRUE,Media!G127,"")</f>
        <v/>
      </c>
      <c r="G200" s="19" t="str">
        <f>IF(ISNUMBER(Media!H127)=TRUE,Media!H127,"")</f>
        <v/>
      </c>
      <c r="H200" s="19" t="str">
        <f>IF(ISNUMBER(Media!I127)=TRUE,Media!I127,"")</f>
        <v/>
      </c>
      <c r="I200" s="19"/>
      <c r="J200" s="19"/>
      <c r="K200" s="19"/>
      <c r="L200" s="19"/>
      <c r="M200" s="19"/>
      <c r="N200" s="19"/>
      <c r="O200" s="19"/>
      <c r="P200" s="19"/>
      <c r="Q200" s="19"/>
      <c r="R200" s="19"/>
      <c r="S200" s="19"/>
      <c r="T200" s="19"/>
      <c r="U200" s="19"/>
      <c r="V200" s="19"/>
      <c r="W200" s="19"/>
      <c r="X200" s="19"/>
      <c r="Y200" s="19"/>
      <c r="Z200" s="19"/>
      <c r="AA200" s="19"/>
      <c r="AB200" s="19"/>
      <c r="AC200" s="19"/>
    </row>
    <row r="201" spans="2:29" x14ac:dyDescent="0.25">
      <c r="B201" s="19" t="s">
        <v>23</v>
      </c>
      <c r="C201" s="19" t="s">
        <v>338</v>
      </c>
      <c r="D201" s="19">
        <f t="shared" si="15"/>
        <v>0</v>
      </c>
      <c r="E201" s="19" t="str">
        <f>IF(ISNUMBER(Media!F128)=TRUE,Media!F128,"")</f>
        <v/>
      </c>
      <c r="F201" s="19" t="str">
        <f>IF(ISNUMBER(Media!G128)=TRUE,Media!G128,"")</f>
        <v/>
      </c>
      <c r="G201" s="19" t="str">
        <f>IF(ISNUMBER(Media!H128)=TRUE,Media!H128,"")</f>
        <v/>
      </c>
      <c r="H201" s="19" t="str">
        <f>IF(ISNUMBER(Media!I128)=TRUE,Media!I128,"")</f>
        <v/>
      </c>
      <c r="I201" s="19"/>
      <c r="J201" s="19"/>
      <c r="K201" s="19"/>
      <c r="L201" s="19"/>
      <c r="M201" s="19"/>
      <c r="N201" s="19"/>
      <c r="O201" s="19"/>
      <c r="P201" s="19"/>
      <c r="Q201" s="19"/>
      <c r="R201" s="19"/>
      <c r="S201" s="19"/>
      <c r="T201" s="19"/>
      <c r="U201" s="19"/>
      <c r="V201" s="19"/>
      <c r="W201" s="19"/>
      <c r="X201" s="19"/>
      <c r="Y201" s="19"/>
      <c r="Z201" s="19"/>
      <c r="AA201" s="19"/>
      <c r="AB201" s="19"/>
      <c r="AC201" s="19"/>
    </row>
    <row r="202" spans="2:29" x14ac:dyDescent="0.25">
      <c r="B202" s="19" t="s">
        <v>23</v>
      </c>
      <c r="C202" s="19" t="s">
        <v>339</v>
      </c>
      <c r="D202" s="19">
        <f t="shared" si="15"/>
        <v>0</v>
      </c>
      <c r="E202" s="19" t="str">
        <f>IF(ISNUMBER(Media!F129)=TRUE,Media!F129,"")</f>
        <v/>
      </c>
      <c r="F202" s="19" t="str">
        <f>IF(ISNUMBER(Media!G129)=TRUE,Media!G129,"")</f>
        <v/>
      </c>
      <c r="G202" s="19" t="str">
        <f>IF(ISNUMBER(Media!H129)=TRUE,Media!H129,"")</f>
        <v/>
      </c>
      <c r="H202" s="19" t="str">
        <f>IF(ISNUMBER(Media!I129)=TRUE,Media!I129,"")</f>
        <v/>
      </c>
      <c r="I202" s="19"/>
      <c r="J202" s="19"/>
      <c r="K202" s="19"/>
      <c r="L202" s="19"/>
      <c r="M202" s="19"/>
      <c r="N202" s="19"/>
      <c r="O202" s="19"/>
      <c r="P202" s="19"/>
      <c r="Q202" s="19"/>
      <c r="R202" s="19"/>
      <c r="S202" s="19"/>
      <c r="T202" s="19"/>
      <c r="U202" s="19"/>
      <c r="V202" s="19"/>
      <c r="W202" s="19"/>
      <c r="X202" s="19"/>
      <c r="Y202" s="19"/>
      <c r="Z202" s="19"/>
      <c r="AA202" s="19"/>
      <c r="AB202" s="19"/>
      <c r="AC202" s="19"/>
    </row>
    <row r="203" spans="2:29" x14ac:dyDescent="0.25">
      <c r="B203" s="19" t="s">
        <v>23</v>
      </c>
      <c r="C203" s="19" t="s">
        <v>340</v>
      </c>
      <c r="D203" s="19">
        <f t="shared" si="15"/>
        <v>0</v>
      </c>
      <c r="E203" s="19" t="str">
        <f>IF(ISNUMBER(Media!F130)=TRUE,Media!F130,"")</f>
        <v/>
      </c>
      <c r="F203" s="19" t="str">
        <f>IF(ISNUMBER(Media!G130)=TRUE,Media!G130,"")</f>
        <v/>
      </c>
      <c r="G203" s="19" t="str">
        <f>IF(ISNUMBER(Media!H130)=TRUE,Media!H130,"")</f>
        <v/>
      </c>
      <c r="H203" s="19" t="str">
        <f>IF(ISNUMBER(Media!I130)=TRUE,Media!I130,"")</f>
        <v/>
      </c>
      <c r="I203" s="19"/>
      <c r="J203" s="19"/>
      <c r="K203" s="19"/>
      <c r="L203" s="19"/>
      <c r="M203" s="19"/>
      <c r="N203" s="19"/>
      <c r="O203" s="19"/>
      <c r="P203" s="19"/>
      <c r="Q203" s="19"/>
      <c r="R203" s="19"/>
      <c r="S203" s="19"/>
      <c r="T203" s="19"/>
      <c r="U203" s="19"/>
      <c r="V203" s="19"/>
      <c r="W203" s="19"/>
      <c r="X203" s="19"/>
      <c r="Y203" s="19"/>
      <c r="Z203" s="19"/>
      <c r="AA203" s="19"/>
      <c r="AB203" s="19"/>
      <c r="AC203" s="19"/>
    </row>
    <row r="204" spans="2:29" x14ac:dyDescent="0.25">
      <c r="B204" s="19" t="s">
        <v>23</v>
      </c>
      <c r="C204" s="19" t="s">
        <v>341</v>
      </c>
      <c r="D204" s="19">
        <f t="shared" si="15"/>
        <v>0</v>
      </c>
      <c r="E204" s="19" t="str">
        <f>IF(ISNUMBER(Media!F131)=TRUE,Media!F131,"")</f>
        <v/>
      </c>
      <c r="F204" s="19" t="str">
        <f>IF(ISNUMBER(Media!G131)=TRUE,Media!G131,"")</f>
        <v/>
      </c>
      <c r="G204" s="19" t="str">
        <f>IF(ISNUMBER(Media!H131)=TRUE,Media!H131,"")</f>
        <v/>
      </c>
      <c r="H204" s="19" t="str">
        <f>IF(ISNUMBER(Media!I131)=TRUE,Media!I131,"")</f>
        <v/>
      </c>
      <c r="I204" s="19"/>
      <c r="J204" s="19"/>
      <c r="K204" s="19"/>
      <c r="L204" s="19"/>
      <c r="M204" s="19"/>
      <c r="N204" s="19"/>
      <c r="O204" s="19"/>
      <c r="P204" s="19"/>
      <c r="Q204" s="19"/>
      <c r="R204" s="19"/>
      <c r="S204" s="19"/>
      <c r="T204" s="19"/>
      <c r="U204" s="19"/>
      <c r="V204" s="19"/>
      <c r="W204" s="19"/>
      <c r="X204" s="19"/>
      <c r="Y204" s="19"/>
      <c r="Z204" s="19"/>
      <c r="AA204" s="19"/>
      <c r="AB204" s="19"/>
      <c r="AC204" s="19"/>
    </row>
    <row r="205" spans="2:29" x14ac:dyDescent="0.25">
      <c r="B205" s="19" t="s">
        <v>23</v>
      </c>
      <c r="C205" s="19" t="s">
        <v>342</v>
      </c>
      <c r="D205" s="19">
        <f t="shared" si="15"/>
        <v>0</v>
      </c>
      <c r="E205" s="19" t="str">
        <f>IF(ISNUMBER(Media!F132)=TRUE,Media!F132,"")</f>
        <v/>
      </c>
      <c r="F205" s="19" t="str">
        <f>IF(ISNUMBER(Media!G132)=TRUE,Media!G132,"")</f>
        <v/>
      </c>
      <c r="G205" s="19" t="str">
        <f>IF(ISNUMBER(Media!H132)=TRUE,Media!H132,"")</f>
        <v/>
      </c>
      <c r="H205" s="19" t="str">
        <f>IF(ISNUMBER(Media!I132)=TRUE,Media!I132,"")</f>
        <v/>
      </c>
      <c r="I205" s="19"/>
      <c r="J205" s="19"/>
      <c r="K205" s="19"/>
      <c r="L205" s="19"/>
      <c r="M205" s="19"/>
      <c r="N205" s="19"/>
      <c r="O205" s="19"/>
      <c r="P205" s="19"/>
      <c r="Q205" s="19"/>
      <c r="R205" s="19"/>
      <c r="S205" s="19"/>
      <c r="T205" s="19"/>
      <c r="U205" s="19"/>
      <c r="V205" s="19"/>
      <c r="W205" s="19"/>
      <c r="X205" s="19"/>
      <c r="Y205" s="19"/>
      <c r="Z205" s="19"/>
      <c r="AA205" s="19"/>
      <c r="AB205" s="19"/>
      <c r="AC205" s="19"/>
    </row>
    <row r="206" spans="2:29" x14ac:dyDescent="0.25">
      <c r="B206" s="19" t="s">
        <v>23</v>
      </c>
      <c r="C206" s="19" t="s">
        <v>343</v>
      </c>
      <c r="D206" s="19">
        <f t="shared" si="15"/>
        <v>0</v>
      </c>
      <c r="E206" s="19" t="str">
        <f>IF(ISNUMBER(Media!F133)=TRUE,Media!F133,"")</f>
        <v/>
      </c>
      <c r="F206" s="19" t="str">
        <f>IF(ISNUMBER(Media!G133)=TRUE,Media!G133,"")</f>
        <v/>
      </c>
      <c r="G206" s="19" t="str">
        <f>IF(ISNUMBER(Media!H133)=TRUE,Media!H133,"")</f>
        <v/>
      </c>
      <c r="H206" s="19" t="str">
        <f>IF(ISNUMBER(Media!I133)=TRUE,Media!I133,"")</f>
        <v/>
      </c>
      <c r="I206" s="19"/>
      <c r="J206" s="19"/>
      <c r="K206" s="19"/>
      <c r="L206" s="19"/>
      <c r="M206" s="19"/>
      <c r="N206" s="19"/>
      <c r="O206" s="19"/>
      <c r="P206" s="19"/>
      <c r="Q206" s="19"/>
      <c r="R206" s="19"/>
      <c r="S206" s="19"/>
      <c r="T206" s="19"/>
      <c r="U206" s="19"/>
      <c r="V206" s="19"/>
      <c r="W206" s="19"/>
      <c r="X206" s="19"/>
      <c r="Y206" s="19"/>
      <c r="Z206" s="19"/>
      <c r="AA206" s="19"/>
      <c r="AB206" s="19"/>
      <c r="AC206" s="19"/>
    </row>
    <row r="207" spans="2:29" x14ac:dyDescent="0.25">
      <c r="B207" s="19" t="s">
        <v>23</v>
      </c>
      <c r="C207" s="19" t="s">
        <v>138</v>
      </c>
      <c r="D207" s="19">
        <f t="shared" si="15"/>
        <v>1</v>
      </c>
      <c r="E207" s="19">
        <f>IF(ISNUMBER(Media!F135)=TRUE,Media!F135,"")</f>
        <v>1</v>
      </c>
      <c r="F207" s="19" t="str">
        <f>IF(ISNUMBER(Media!F136)=TRUE,Media!F136,"")</f>
        <v/>
      </c>
      <c r="G207" s="19" t="str">
        <f>IF(ISNUMBER(Media!F137)=TRUE,Media!F137,"")</f>
        <v/>
      </c>
      <c r="H207" s="19"/>
      <c r="I207" s="19"/>
      <c r="J207" s="19"/>
      <c r="K207" s="19"/>
      <c r="L207" s="19"/>
      <c r="M207" s="19"/>
      <c r="N207" s="19"/>
      <c r="O207" s="19"/>
      <c r="P207" s="19"/>
      <c r="Q207" s="19"/>
      <c r="R207" s="19"/>
      <c r="S207" s="19"/>
      <c r="T207" s="19"/>
      <c r="U207" s="19"/>
      <c r="V207" s="19"/>
      <c r="W207" s="19"/>
      <c r="X207" s="19"/>
      <c r="Y207" s="19"/>
      <c r="Z207" s="19"/>
      <c r="AA207" s="19"/>
      <c r="AB207" s="19"/>
      <c r="AC207" s="19"/>
    </row>
    <row r="208" spans="2:29" x14ac:dyDescent="0.25">
      <c r="B208" s="19" t="s">
        <v>24</v>
      </c>
      <c r="C208" s="19" t="s">
        <v>132</v>
      </c>
      <c r="D208" s="19">
        <f>IF(E208&gt;=1,1,0)</f>
        <v>0</v>
      </c>
      <c r="E208" s="19">
        <f>Other_NSource</f>
        <v>0</v>
      </c>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row>
    <row r="209" spans="2:29" x14ac:dyDescent="0.25">
      <c r="B209" s="19" t="s">
        <v>24</v>
      </c>
      <c r="C209" s="19" t="s">
        <v>139</v>
      </c>
      <c r="D209" s="19">
        <f t="shared" ref="D209:D217" si="16">COUNT(E209:AC209)</f>
        <v>1</v>
      </c>
      <c r="E209" s="19">
        <f>IF(ISNUMBER(Media!F140)=TRUE,Media!F140*365,"")</f>
        <v>0</v>
      </c>
      <c r="F209" s="19" t="str">
        <f>IF(ISNUMBER(Media!G140)=TRUE,Media!G140*365,"")</f>
        <v/>
      </c>
      <c r="G209" s="19" t="str">
        <f>IF(ISNUMBER(Media!H140)=TRUE,Media!H140*365,"")</f>
        <v/>
      </c>
      <c r="H209" s="19" t="str">
        <f>IF(ISNUMBER(Media!I140)=TRUE,Media!I140*365,"")</f>
        <v/>
      </c>
      <c r="I209" s="19" t="str">
        <f>IF(ISNUMBER(Media!J140)=TRUE,Media!J140*365,"")</f>
        <v/>
      </c>
      <c r="J209" s="19" t="str">
        <f>IF(ISNUMBER(Media!K140)=TRUE,Media!K140*365,"")</f>
        <v/>
      </c>
      <c r="K209" s="19" t="str">
        <f>IF(ISNUMBER(Media!L140)=TRUE,Media!L140*365,"")</f>
        <v/>
      </c>
      <c r="L209" s="19" t="str">
        <f>IF(ISNUMBER(Media!M140)=TRUE,Media!M140*365,"")</f>
        <v/>
      </c>
      <c r="M209" s="19" t="str">
        <f>IF(ISNUMBER(Media!N140)=TRUE,Media!N140*365,"")</f>
        <v/>
      </c>
      <c r="N209" s="19" t="str">
        <f>IF(ISNUMBER(Media!O140)=TRUE,Media!O140*365,"")</f>
        <v/>
      </c>
      <c r="O209" s="19" t="str">
        <f>IF(ISNUMBER(Media!P140)=TRUE,Media!P140*365,"")</f>
        <v/>
      </c>
      <c r="P209" s="19" t="str">
        <f>IF(ISNUMBER(Media!Q140)=TRUE,Media!Q140*365,"")</f>
        <v/>
      </c>
      <c r="Q209" s="19" t="str">
        <f>IF(ISNUMBER(Media!R140)=TRUE,Media!R140*365,"")</f>
        <v/>
      </c>
      <c r="R209" s="19" t="str">
        <f>IF(ISNUMBER(Media!S140)=TRUE,Media!S140*365,"")</f>
        <v/>
      </c>
      <c r="S209" s="19" t="str">
        <f>IF(ISNUMBER(Media!T140)=TRUE,Media!T140*365,"")</f>
        <v/>
      </c>
      <c r="T209" s="19" t="str">
        <f>IF(ISNUMBER(Media!U140)=TRUE,Media!U140*365,"")</f>
        <v/>
      </c>
      <c r="U209" s="19" t="str">
        <f>IF(ISNUMBER(Media!V140)=TRUE,Media!V140*365,"")</f>
        <v/>
      </c>
      <c r="V209" s="19" t="str">
        <f>IF(ISNUMBER(Media!W140)=TRUE,Media!W140*365,"")</f>
        <v/>
      </c>
      <c r="W209" s="19" t="str">
        <f>IF(ISNUMBER(Media!X140)=TRUE,Media!X140*365,"")</f>
        <v/>
      </c>
      <c r="X209" s="19" t="str">
        <f>IF(ISNUMBER(Media!Y140)=TRUE,Media!Y140*365,"")</f>
        <v/>
      </c>
      <c r="Y209" s="19" t="str">
        <f>IF(ISNUMBER(Media!Z140)=TRUE,Media!Z140*365,"")</f>
        <v/>
      </c>
      <c r="Z209" s="19" t="str">
        <f>IF(ISNUMBER(Media!AA140)=TRUE,Media!AA140*365,"")</f>
        <v/>
      </c>
      <c r="AA209" s="19" t="str">
        <f>IF(ISNUMBER(Media!AH140)=TRUE,Media!AH140*365,"")</f>
        <v/>
      </c>
      <c r="AB209" s="19" t="str">
        <f>IF(ISNUMBER(Media!AI140)=TRUE,Media!AI140*365,"")</f>
        <v/>
      </c>
      <c r="AC209" s="19" t="str">
        <f>IF(ISNUMBER(Media!AJ140)=TRUE,Media!AJ140*365,"")</f>
        <v/>
      </c>
    </row>
    <row r="210" spans="2:29" x14ac:dyDescent="0.25">
      <c r="B210" s="19" t="s">
        <v>24</v>
      </c>
      <c r="C210" s="19" t="s">
        <v>140</v>
      </c>
      <c r="D210" s="19">
        <f t="shared" si="16"/>
        <v>1</v>
      </c>
      <c r="E210" s="19">
        <f>IF(ISNUMBER(Media!F141)=TRUE,Media!F141,"")</f>
        <v>6.58174097664544</v>
      </c>
      <c r="F210" s="19" t="str">
        <f>IF(ISNUMBER(Media!G141)=TRUE,Media!G141,"")</f>
        <v/>
      </c>
      <c r="G210" s="19" t="str">
        <f>IF(ISNUMBER(Media!H141)=TRUE,Media!H141,"")</f>
        <v/>
      </c>
      <c r="H210" s="19" t="str">
        <f>IF(ISNUMBER(Media!I141)=TRUE,Media!I141,"")</f>
        <v/>
      </c>
      <c r="I210" s="19" t="str">
        <f>IF(ISNUMBER(Media!J141)=TRUE,Media!J141,"")</f>
        <v/>
      </c>
      <c r="J210" s="19" t="str">
        <f>IF(ISNUMBER(Media!K141)=TRUE,Media!K141,"")</f>
        <v/>
      </c>
      <c r="K210" s="19" t="str">
        <f>IF(ISNUMBER(Media!L141)=TRUE,Media!L141,"")</f>
        <v/>
      </c>
      <c r="L210" s="19" t="str">
        <f>IF(ISNUMBER(Media!M141)=TRUE,Media!M141,"")</f>
        <v/>
      </c>
      <c r="M210" s="19" t="str">
        <f>IF(ISNUMBER(Media!N141)=TRUE,Media!N141,"")</f>
        <v/>
      </c>
      <c r="N210" s="19" t="str">
        <f>IF(ISNUMBER(Media!O141)=TRUE,Media!O141,"")</f>
        <v/>
      </c>
      <c r="O210" s="19" t="str">
        <f>IF(ISNUMBER(Media!P141)=TRUE,Media!P141,"")</f>
        <v/>
      </c>
      <c r="P210" s="19" t="str">
        <f>IF(ISNUMBER(Media!Q141)=TRUE,Media!Q141,"")</f>
        <v/>
      </c>
      <c r="Q210" s="19" t="str">
        <f>IF(ISNUMBER(Media!R141)=TRUE,Media!R141,"")</f>
        <v/>
      </c>
      <c r="R210" s="19" t="str">
        <f>IF(ISNUMBER(Media!S141)=TRUE,Media!S141,"")</f>
        <v/>
      </c>
      <c r="S210" s="19" t="str">
        <f>IF(ISNUMBER(Media!T141)=TRUE,Media!T141,"")</f>
        <v/>
      </c>
      <c r="T210" s="19" t="str">
        <f>IF(ISNUMBER(Media!U141)=TRUE,Media!U141,"")</f>
        <v/>
      </c>
      <c r="U210" s="19" t="str">
        <f>IF(ISNUMBER(Media!V141)=TRUE,Media!V141,"")</f>
        <v/>
      </c>
      <c r="V210" s="19" t="str">
        <f>IF(ISNUMBER(Media!W141)=TRUE,Media!W141,"")</f>
        <v/>
      </c>
      <c r="W210" s="19" t="str">
        <f>IF(ISNUMBER(Media!X141)=TRUE,Media!X141,"")</f>
        <v/>
      </c>
      <c r="X210" s="19" t="str">
        <f>IF(ISNUMBER(Media!Y141)=TRUE,Media!Y141,"")</f>
        <v/>
      </c>
      <c r="Y210" s="19" t="str">
        <f>IF(ISNUMBER(Media!Z141)=TRUE,Media!Z141,"")</f>
        <v/>
      </c>
      <c r="Z210" s="19" t="str">
        <f>IF(ISNUMBER(Media!AA141)=TRUE,Media!AA141,"")</f>
        <v/>
      </c>
      <c r="AA210" s="19" t="str">
        <f>IF(ISNUMBER(Media!AH141)=TRUE,Media!AH141,"")</f>
        <v/>
      </c>
      <c r="AB210" s="19" t="str">
        <f>IF(ISNUMBER(Media!AI141)=TRUE,Media!AI141,"")</f>
        <v/>
      </c>
      <c r="AC210" s="19" t="str">
        <f>IF(ISNUMBER(Media!AJ141)=TRUE,Media!AJ141,"")</f>
        <v/>
      </c>
    </row>
    <row r="211" spans="2:29" x14ac:dyDescent="0.25">
      <c r="B211" s="19" t="s">
        <v>24</v>
      </c>
      <c r="C211" s="19" t="s">
        <v>141</v>
      </c>
      <c r="D211" s="19">
        <f t="shared" si="16"/>
        <v>0</v>
      </c>
      <c r="E211" s="19" t="str">
        <f>IF(ISNUMBER(Media!F142)=TRUE,Media!F142,"")</f>
        <v/>
      </c>
      <c r="F211" s="19" t="str">
        <f>IF(ISNUMBER(Media!G142)=TRUE,Media!G142,"")</f>
        <v/>
      </c>
      <c r="G211" s="19" t="str">
        <f>IF(ISNUMBER(Media!H142)=TRUE,Media!H142,"")</f>
        <v/>
      </c>
      <c r="H211" s="19" t="str">
        <f>IF(ISNUMBER(Media!I142)=TRUE,Media!I142,"")</f>
        <v/>
      </c>
      <c r="I211" s="19" t="str">
        <f>IF(ISNUMBER(Media!J142)=TRUE,Media!J142,"")</f>
        <v/>
      </c>
      <c r="J211" s="19" t="str">
        <f>IF(ISNUMBER(Media!K142)=TRUE,Media!K142,"")</f>
        <v/>
      </c>
      <c r="K211" s="19" t="str">
        <f>IF(ISNUMBER(Media!L142)=TRUE,Media!L142,"")</f>
        <v/>
      </c>
      <c r="L211" s="19" t="str">
        <f>IF(ISNUMBER(Media!M142)=TRUE,Media!M142,"")</f>
        <v/>
      </c>
      <c r="M211" s="19" t="str">
        <f>IF(ISNUMBER(Media!N142)=TRUE,Media!N142,"")</f>
        <v/>
      </c>
      <c r="N211" s="19" t="str">
        <f>IF(ISNUMBER(Media!O142)=TRUE,Media!O142,"")</f>
        <v/>
      </c>
      <c r="O211" s="19" t="str">
        <f>IF(ISNUMBER(Media!P142)=TRUE,Media!P142,"")</f>
        <v/>
      </c>
      <c r="P211" s="19" t="str">
        <f>IF(ISNUMBER(Media!Q142)=TRUE,Media!Q142,"")</f>
        <v/>
      </c>
      <c r="Q211" s="19" t="str">
        <f>IF(ISNUMBER(Media!R142)=TRUE,Media!R142,"")</f>
        <v/>
      </c>
      <c r="R211" s="19" t="str">
        <f>IF(ISNUMBER(Media!S142)=TRUE,Media!S142,"")</f>
        <v/>
      </c>
      <c r="S211" s="19" t="str">
        <f>IF(ISNUMBER(Media!T142)=TRUE,Media!T142,"")</f>
        <v/>
      </c>
      <c r="T211" s="19" t="str">
        <f>IF(ISNUMBER(Media!U142)=TRUE,Media!U142,"")</f>
        <v/>
      </c>
      <c r="U211" s="19" t="str">
        <f>IF(ISNUMBER(Media!V142)=TRUE,Media!V142,"")</f>
        <v/>
      </c>
      <c r="V211" s="19" t="str">
        <f>IF(ISNUMBER(Media!W142)=TRUE,Media!W142,"")</f>
        <v/>
      </c>
      <c r="W211" s="19" t="str">
        <f>IF(ISNUMBER(Media!X142)=TRUE,Media!X142,"")</f>
        <v/>
      </c>
      <c r="X211" s="19" t="str">
        <f>IF(ISNUMBER(Media!Y142)=TRUE,Media!Y142,"")</f>
        <v/>
      </c>
      <c r="Y211" s="19" t="str">
        <f>IF(ISNUMBER(Media!Z142)=TRUE,Media!Z142,"")</f>
        <v/>
      </c>
      <c r="Z211" s="19" t="str">
        <f>IF(ISNUMBER(Media!AA142)=TRUE,Media!AA142,"")</f>
        <v/>
      </c>
      <c r="AA211" s="19" t="str">
        <f>IF(ISNUMBER(Media!AH142)=TRUE,Media!AH142,"")</f>
        <v/>
      </c>
      <c r="AB211" s="19" t="str">
        <f>IF(ISNUMBER(Media!AI142)=TRUE,Media!AI142,"")</f>
        <v/>
      </c>
      <c r="AC211" s="19" t="str">
        <f>IF(ISNUMBER(Media!AJ142)=TRUE,Media!AJ142,"")</f>
        <v/>
      </c>
    </row>
    <row r="212" spans="2:29" x14ac:dyDescent="0.25">
      <c r="B212" s="19" t="s">
        <v>24</v>
      </c>
      <c r="C212" s="19" t="s">
        <v>142</v>
      </c>
      <c r="D212" s="19">
        <f t="shared" si="16"/>
        <v>0</v>
      </c>
      <c r="E212" s="19" t="str">
        <f>IF(ISNUMBER(Media!F143)=TRUE,Media!F143,"")</f>
        <v/>
      </c>
      <c r="F212" s="19" t="str">
        <f>IF(ISNUMBER(Media!G143)=TRUE,Media!G143,"")</f>
        <v/>
      </c>
      <c r="G212" s="19" t="str">
        <f>IF(ISNUMBER(Media!H143)=TRUE,Media!H143,"")</f>
        <v/>
      </c>
      <c r="H212" s="19" t="str">
        <f>IF(ISNUMBER(Media!I143)=TRUE,Media!I143,"")</f>
        <v/>
      </c>
      <c r="I212" s="19" t="str">
        <f>IF(ISNUMBER(Media!J143)=TRUE,Media!J143,"")</f>
        <v/>
      </c>
      <c r="J212" s="19" t="str">
        <f>IF(ISNUMBER(Media!K143)=TRUE,Media!K143,"")</f>
        <v/>
      </c>
      <c r="K212" s="19" t="str">
        <f>IF(ISNUMBER(Media!L143)=TRUE,Media!L143,"")</f>
        <v/>
      </c>
      <c r="L212" s="19" t="str">
        <f>IF(ISNUMBER(Media!M143)=TRUE,Media!M143,"")</f>
        <v/>
      </c>
      <c r="M212" s="19" t="str">
        <f>IF(ISNUMBER(Media!N143)=TRUE,Media!N143,"")</f>
        <v/>
      </c>
      <c r="N212" s="19" t="str">
        <f>IF(ISNUMBER(Media!O143)=TRUE,Media!O143,"")</f>
        <v/>
      </c>
      <c r="O212" s="19" t="str">
        <f>IF(ISNUMBER(Media!P143)=TRUE,Media!P143,"")</f>
        <v/>
      </c>
      <c r="P212" s="19" t="str">
        <f>IF(ISNUMBER(Media!Q143)=TRUE,Media!Q143,"")</f>
        <v/>
      </c>
      <c r="Q212" s="19" t="str">
        <f>IF(ISNUMBER(Media!R143)=TRUE,Media!R143,"")</f>
        <v/>
      </c>
      <c r="R212" s="19" t="str">
        <f>IF(ISNUMBER(Media!S143)=TRUE,Media!S143,"")</f>
        <v/>
      </c>
      <c r="S212" s="19" t="str">
        <f>IF(ISNUMBER(Media!T143)=TRUE,Media!T143,"")</f>
        <v/>
      </c>
      <c r="T212" s="19" t="str">
        <f>IF(ISNUMBER(Media!U143)=TRUE,Media!U143,"")</f>
        <v/>
      </c>
      <c r="U212" s="19" t="str">
        <f>IF(ISNUMBER(Media!V143)=TRUE,Media!V143,"")</f>
        <v/>
      </c>
      <c r="V212" s="19" t="str">
        <f>IF(ISNUMBER(Media!W143)=TRUE,Media!W143,"")</f>
        <v/>
      </c>
      <c r="W212" s="19" t="str">
        <f>IF(ISNUMBER(Media!X143)=TRUE,Media!X143,"")</f>
        <v/>
      </c>
      <c r="X212" s="19" t="str">
        <f>IF(ISNUMBER(Media!Y143)=TRUE,Media!Y143,"")</f>
        <v/>
      </c>
      <c r="Y212" s="19" t="str">
        <f>IF(ISNUMBER(Media!Z143)=TRUE,Media!Z143,"")</f>
        <v/>
      </c>
      <c r="Z212" s="19" t="str">
        <f>IF(ISNUMBER(Media!AA143)=TRUE,Media!AA143,"")</f>
        <v/>
      </c>
      <c r="AA212" s="19" t="str">
        <f>IF(ISNUMBER(Media!AH143)=TRUE,Media!AH143,"")</f>
        <v/>
      </c>
      <c r="AB212" s="19" t="str">
        <f>IF(ISNUMBER(Media!AI143)=TRUE,Media!AI143,"")</f>
        <v/>
      </c>
      <c r="AC212" s="19" t="str">
        <f>IF(ISNUMBER(Media!AJ143)=TRUE,Media!AJ143,"")</f>
        <v/>
      </c>
    </row>
    <row r="213" spans="2:29" x14ac:dyDescent="0.25">
      <c r="B213" s="19" t="s">
        <v>24</v>
      </c>
      <c r="C213" s="19" t="s">
        <v>335</v>
      </c>
      <c r="D213" s="19">
        <f t="shared" si="16"/>
        <v>0</v>
      </c>
      <c r="E213" s="19" t="str">
        <f>IF(ISNUMBER(Media!F146)=TRUE,Media!F146,"")</f>
        <v/>
      </c>
      <c r="F213" s="19" t="str">
        <f>IF(ISNUMBER(Media!G146)=TRUE,Media!G146,"")</f>
        <v/>
      </c>
      <c r="G213" s="19" t="str">
        <f>IF(ISNUMBER(Media!H146)=TRUE,Media!H146,"")</f>
        <v/>
      </c>
      <c r="H213" s="19" t="str">
        <f>IF(ISNUMBER(Media!I146)=TRUE,Media!I146,"")</f>
        <v/>
      </c>
      <c r="I213" s="19"/>
      <c r="J213" s="19"/>
      <c r="K213" s="19"/>
      <c r="L213" s="19"/>
      <c r="M213" s="19"/>
      <c r="N213" s="19"/>
      <c r="O213" s="19"/>
      <c r="P213" s="19"/>
      <c r="Q213" s="19"/>
      <c r="R213" s="19"/>
      <c r="S213" s="19"/>
      <c r="T213" s="19"/>
      <c r="U213" s="19"/>
      <c r="V213" s="19"/>
      <c r="W213" s="19"/>
      <c r="X213" s="19"/>
      <c r="Y213" s="19"/>
      <c r="Z213" s="19"/>
      <c r="AA213" s="19"/>
      <c r="AB213" s="19"/>
      <c r="AC213" s="19"/>
    </row>
    <row r="214" spans="2:29" x14ac:dyDescent="0.25">
      <c r="B214" s="19" t="s">
        <v>24</v>
      </c>
      <c r="C214" s="19" t="s">
        <v>336</v>
      </c>
      <c r="D214" s="19">
        <f t="shared" si="16"/>
        <v>0</v>
      </c>
      <c r="E214" s="19" t="str">
        <f>IF(ISNUMBER(Media!F147)=TRUE,Media!F147,"")</f>
        <v/>
      </c>
      <c r="F214" s="19" t="str">
        <f>IF(ISNUMBER(Media!G147)=TRUE,Media!G147,"")</f>
        <v/>
      </c>
      <c r="G214" s="19" t="str">
        <f>IF(ISNUMBER(Media!H147)=TRUE,Media!H147,"")</f>
        <v/>
      </c>
      <c r="H214" s="19" t="str">
        <f>IF(ISNUMBER(Media!I147)=TRUE,Media!I147,"")</f>
        <v/>
      </c>
      <c r="I214" s="19"/>
      <c r="J214" s="19"/>
      <c r="K214" s="19"/>
      <c r="L214" s="19"/>
      <c r="M214" s="19"/>
      <c r="N214" s="19"/>
      <c r="O214" s="19"/>
      <c r="P214" s="19"/>
      <c r="Q214" s="19"/>
      <c r="R214" s="19"/>
      <c r="S214" s="19"/>
      <c r="T214" s="19"/>
      <c r="U214" s="19"/>
      <c r="V214" s="19"/>
      <c r="W214" s="19"/>
      <c r="X214" s="19"/>
      <c r="Y214" s="19"/>
      <c r="Z214" s="19"/>
      <c r="AA214" s="19"/>
      <c r="AB214" s="19"/>
      <c r="AC214" s="19"/>
    </row>
    <row r="215" spans="2:29" x14ac:dyDescent="0.25">
      <c r="B215" s="19" t="s">
        <v>24</v>
      </c>
      <c r="C215" s="19" t="s">
        <v>337</v>
      </c>
      <c r="D215" s="19">
        <f t="shared" si="16"/>
        <v>0</v>
      </c>
      <c r="E215" s="19" t="str">
        <f>IF(ISNUMBER(Media!F148)=TRUE,Media!F148,"")</f>
        <v/>
      </c>
      <c r="F215" s="19" t="str">
        <f>IF(ISNUMBER(Media!G148)=TRUE,Media!G148,"")</f>
        <v/>
      </c>
      <c r="G215" s="19" t="str">
        <f>IF(ISNUMBER(Media!H148)=TRUE,Media!H148,"")</f>
        <v/>
      </c>
      <c r="H215" s="19" t="str">
        <f>IF(ISNUMBER(Media!I148)=TRUE,Media!I148,"")</f>
        <v/>
      </c>
      <c r="I215" s="19"/>
      <c r="J215" s="19"/>
      <c r="K215" s="19"/>
      <c r="L215" s="19"/>
      <c r="M215" s="19"/>
      <c r="N215" s="19"/>
      <c r="O215" s="19"/>
      <c r="P215" s="19"/>
      <c r="Q215" s="19"/>
      <c r="R215" s="19"/>
      <c r="S215" s="19"/>
      <c r="T215" s="19"/>
      <c r="U215" s="19"/>
      <c r="V215" s="19"/>
      <c r="W215" s="19"/>
      <c r="X215" s="19"/>
      <c r="Y215" s="19"/>
      <c r="Z215" s="19"/>
      <c r="AA215" s="19"/>
      <c r="AB215" s="19"/>
      <c r="AC215" s="19"/>
    </row>
    <row r="216" spans="2:29" x14ac:dyDescent="0.25">
      <c r="B216" s="19" t="s">
        <v>24</v>
      </c>
      <c r="C216" s="19" t="s">
        <v>338</v>
      </c>
      <c r="D216" s="19">
        <f t="shared" si="16"/>
        <v>0</v>
      </c>
      <c r="E216" s="19" t="str">
        <f>IF(ISNUMBER(Media!F149)=TRUE,Media!F149,"")</f>
        <v/>
      </c>
      <c r="F216" s="19" t="str">
        <f>IF(ISNUMBER(Media!G149)=TRUE,Media!G149,"")</f>
        <v/>
      </c>
      <c r="G216" s="19" t="str">
        <f>IF(ISNUMBER(Media!H149)=TRUE,Media!H149,"")</f>
        <v/>
      </c>
      <c r="H216" s="19" t="str">
        <f>IF(ISNUMBER(Media!I149)=TRUE,Media!I149,"")</f>
        <v/>
      </c>
      <c r="I216" s="19"/>
      <c r="J216" s="19"/>
      <c r="K216" s="19"/>
      <c r="L216" s="19"/>
      <c r="M216" s="19"/>
      <c r="N216" s="19"/>
      <c r="O216" s="19"/>
      <c r="P216" s="19"/>
      <c r="Q216" s="19"/>
      <c r="R216" s="19"/>
      <c r="S216" s="19"/>
      <c r="T216" s="19"/>
      <c r="U216" s="19"/>
      <c r="V216" s="19"/>
      <c r="W216" s="19"/>
      <c r="X216" s="19"/>
      <c r="Y216" s="19"/>
      <c r="Z216" s="19"/>
      <c r="AA216" s="19"/>
      <c r="AB216" s="19"/>
      <c r="AC216" s="19"/>
    </row>
    <row r="217" spans="2:29" x14ac:dyDescent="0.25">
      <c r="B217" s="19" t="s">
        <v>24</v>
      </c>
      <c r="C217" s="19" t="s">
        <v>339</v>
      </c>
      <c r="D217" s="19">
        <f t="shared" si="16"/>
        <v>0</v>
      </c>
      <c r="E217" s="19" t="str">
        <f>IF(ISNUMBER(Media!F150)=TRUE,Media!F150,"")</f>
        <v/>
      </c>
      <c r="F217" s="19" t="str">
        <f>IF(ISNUMBER(Media!G150)=TRUE,Media!G150,"")</f>
        <v/>
      </c>
      <c r="G217" s="19" t="str">
        <f>IF(ISNUMBER(Media!H150)=TRUE,Media!H150,"")</f>
        <v/>
      </c>
      <c r="H217" s="19" t="str">
        <f>IF(ISNUMBER(Media!I150)=TRUE,Media!I150,"")</f>
        <v/>
      </c>
      <c r="I217" s="19"/>
      <c r="J217" s="19"/>
      <c r="K217" s="19"/>
      <c r="L217" s="19"/>
      <c r="M217" s="19"/>
      <c r="N217" s="19"/>
      <c r="O217" s="19"/>
      <c r="P217" s="19"/>
      <c r="Q217" s="19"/>
      <c r="R217" s="19"/>
      <c r="S217" s="19"/>
      <c r="T217" s="19"/>
      <c r="U217" s="19"/>
      <c r="V217" s="19"/>
      <c r="W217" s="19"/>
      <c r="X217" s="19"/>
      <c r="Y217" s="19"/>
      <c r="Z217" s="19"/>
      <c r="AA217" s="19"/>
      <c r="AB217" s="19"/>
      <c r="AC217" s="19"/>
    </row>
    <row r="218" spans="2:29" x14ac:dyDescent="0.25">
      <c r="B218" s="19" t="s">
        <v>24</v>
      </c>
      <c r="C218" s="19" t="s">
        <v>340</v>
      </c>
      <c r="D218" s="19">
        <f>COUNT(E218:AC218)</f>
        <v>0</v>
      </c>
      <c r="E218" s="19" t="str">
        <f>IF(ISNUMBER(Media!F151)=TRUE,Media!F151,"")</f>
        <v/>
      </c>
      <c r="F218" s="19" t="str">
        <f>IF(ISNUMBER(Media!G151)=TRUE,Media!G151,"")</f>
        <v/>
      </c>
      <c r="G218" s="19" t="str">
        <f>IF(ISNUMBER(Media!H151)=TRUE,Media!H151,"")</f>
        <v/>
      </c>
      <c r="H218" s="19" t="str">
        <f>IF(ISNUMBER(Media!I151)=TRUE,Media!I151,"")</f>
        <v/>
      </c>
      <c r="I218" s="19"/>
      <c r="J218" s="19"/>
      <c r="K218" s="19"/>
      <c r="L218" s="19"/>
      <c r="M218" s="19"/>
      <c r="N218" s="19"/>
      <c r="O218" s="19"/>
      <c r="P218" s="19"/>
      <c r="Q218" s="19"/>
      <c r="R218" s="19"/>
      <c r="S218" s="19"/>
      <c r="T218" s="19"/>
      <c r="U218" s="19"/>
      <c r="V218" s="19"/>
      <c r="W218" s="19"/>
      <c r="X218" s="19"/>
      <c r="Y218" s="19"/>
      <c r="Z218" s="19"/>
      <c r="AA218" s="19"/>
      <c r="AB218" s="19"/>
      <c r="AC218" s="19"/>
    </row>
    <row r="219" spans="2:29" x14ac:dyDescent="0.25">
      <c r="B219" s="19" t="s">
        <v>24</v>
      </c>
      <c r="C219" s="19" t="s">
        <v>341</v>
      </c>
      <c r="D219" s="19">
        <f>COUNT(E219:AC219)</f>
        <v>0</v>
      </c>
      <c r="E219" s="19" t="str">
        <f>IF(ISNUMBER(Media!F152)=TRUE,Media!F152,"")</f>
        <v/>
      </c>
      <c r="F219" s="19" t="str">
        <f>IF(ISNUMBER(Media!G152)=TRUE,Media!G152,"")</f>
        <v/>
      </c>
      <c r="G219" s="19" t="str">
        <f>IF(ISNUMBER(Media!H152)=TRUE,Media!H152,"")</f>
        <v/>
      </c>
      <c r="H219" s="19" t="str">
        <f>IF(ISNUMBER(Media!I152)=TRUE,Media!I152,"")</f>
        <v/>
      </c>
      <c r="I219" s="19"/>
      <c r="J219" s="19"/>
      <c r="K219" s="19"/>
      <c r="L219" s="19"/>
      <c r="M219" s="19"/>
      <c r="N219" s="19"/>
      <c r="O219" s="19"/>
      <c r="P219" s="19"/>
      <c r="Q219" s="19"/>
      <c r="R219" s="19"/>
      <c r="S219" s="19"/>
      <c r="T219" s="19"/>
      <c r="U219" s="19"/>
      <c r="V219" s="19"/>
      <c r="W219" s="19"/>
      <c r="X219" s="19"/>
      <c r="Y219" s="19"/>
      <c r="Z219" s="19"/>
      <c r="AA219" s="19"/>
      <c r="AB219" s="19"/>
      <c r="AC219" s="19"/>
    </row>
    <row r="220" spans="2:29" x14ac:dyDescent="0.25">
      <c r="B220" s="19" t="s">
        <v>24</v>
      </c>
      <c r="C220" s="19" t="s">
        <v>342</v>
      </c>
      <c r="D220" s="19">
        <f>COUNT(E220:AC220)</f>
        <v>0</v>
      </c>
      <c r="E220" s="19" t="str">
        <f>IF(ISNUMBER(Media!F153)=TRUE,Media!F153,"")</f>
        <v/>
      </c>
      <c r="F220" s="19" t="str">
        <f>IF(ISNUMBER(Media!G153)=TRUE,Media!G153,"")</f>
        <v/>
      </c>
      <c r="G220" s="19" t="str">
        <f>IF(ISNUMBER(Media!H153)=TRUE,Media!H153,"")</f>
        <v/>
      </c>
      <c r="H220" s="19" t="str">
        <f>IF(ISNUMBER(Media!I153)=TRUE,Media!I153,"")</f>
        <v/>
      </c>
      <c r="I220" s="19"/>
      <c r="J220" s="19"/>
      <c r="K220" s="19"/>
      <c r="L220" s="19"/>
      <c r="M220" s="19"/>
      <c r="N220" s="19"/>
      <c r="O220" s="19"/>
      <c r="P220" s="19"/>
      <c r="Q220" s="19"/>
      <c r="R220" s="19"/>
      <c r="S220" s="19"/>
      <c r="T220" s="19"/>
      <c r="U220" s="19"/>
      <c r="V220" s="19"/>
      <c r="W220" s="19"/>
      <c r="X220" s="19"/>
      <c r="Y220" s="19"/>
      <c r="Z220" s="19"/>
      <c r="AA220" s="19"/>
      <c r="AB220" s="19"/>
      <c r="AC220" s="19"/>
    </row>
    <row r="221" spans="2:29" x14ac:dyDescent="0.25">
      <c r="B221" s="19" t="s">
        <v>24</v>
      </c>
      <c r="C221" s="19" t="s">
        <v>343</v>
      </c>
      <c r="D221" s="19">
        <f>COUNT(E221:AC221)</f>
        <v>0</v>
      </c>
      <c r="E221" s="19" t="str">
        <f>IF(ISNUMBER(Media!F154)=TRUE,Media!F154,"")</f>
        <v/>
      </c>
      <c r="F221" s="19" t="str">
        <f>IF(ISNUMBER(Media!G154)=TRUE,Media!G154,"")</f>
        <v/>
      </c>
      <c r="G221" s="19" t="str">
        <f>IF(ISNUMBER(Media!H154)=TRUE,Media!H154,"")</f>
        <v/>
      </c>
      <c r="H221" s="19" t="str">
        <f>IF(ISNUMBER(Media!I154)=TRUE,Media!I154,"")</f>
        <v/>
      </c>
      <c r="I221" s="19"/>
      <c r="J221" s="19"/>
      <c r="K221" s="19"/>
      <c r="L221" s="19"/>
      <c r="M221" s="19"/>
      <c r="N221" s="19"/>
      <c r="O221" s="19"/>
      <c r="P221" s="19"/>
      <c r="Q221" s="19"/>
      <c r="R221" s="19"/>
      <c r="S221" s="19"/>
      <c r="T221" s="19"/>
      <c r="U221" s="19"/>
      <c r="V221" s="19"/>
      <c r="W221" s="19"/>
      <c r="X221" s="19"/>
      <c r="Y221" s="19"/>
      <c r="Z221" s="19"/>
      <c r="AA221" s="19"/>
      <c r="AB221" s="19"/>
      <c r="AC221" s="19"/>
    </row>
    <row r="222" spans="2:29" x14ac:dyDescent="0.25">
      <c r="B222" s="19" t="s">
        <v>24</v>
      </c>
      <c r="C222" s="19" t="s">
        <v>138</v>
      </c>
      <c r="D222" s="19">
        <f>COUNT(E222:AC222)</f>
        <v>1</v>
      </c>
      <c r="E222" s="19">
        <f>IF(ISNUMBER(Media!F156)=TRUE,Media!F156,"")</f>
        <v>1</v>
      </c>
      <c r="F222" s="19" t="str">
        <f>IF(ISNUMBER(Media!F157)=TRUE,Media!F157,"")</f>
        <v/>
      </c>
      <c r="G222" s="19" t="str">
        <f>IF(ISNUMBER(Media!F158)=TRUE,Media!F158,"")</f>
        <v/>
      </c>
      <c r="H222" s="19"/>
      <c r="I222" s="19"/>
      <c r="J222" s="19"/>
      <c r="K222" s="19"/>
      <c r="L222" s="19"/>
      <c r="M222" s="19"/>
      <c r="N222" s="19"/>
      <c r="O222" s="19"/>
      <c r="P222" s="19"/>
      <c r="Q222" s="19"/>
      <c r="R222" s="19"/>
      <c r="S222" s="19"/>
      <c r="T222" s="19"/>
      <c r="U222" s="19"/>
      <c r="V222" s="19"/>
      <c r="W222" s="19"/>
      <c r="X222" s="19"/>
      <c r="Y222" s="19"/>
      <c r="Z222" s="19"/>
      <c r="AA222" s="19"/>
      <c r="AB222" s="19"/>
      <c r="AC222" s="19"/>
    </row>
    <row r="223" spans="2:29" x14ac:dyDescent="0.25">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row>
    <row r="224" spans="2:29" x14ac:dyDescent="0.25">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row>
    <row r="225" spans="2:29" x14ac:dyDescent="0.25">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row>
    <row r="226" spans="2:29" x14ac:dyDescent="0.25">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row>
    <row r="227" spans="2:29" x14ac:dyDescent="0.25">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row>
    <row r="228" spans="2:29" x14ac:dyDescent="0.25">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row>
    <row r="229" spans="2:29" x14ac:dyDescent="0.25">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row>
    <row r="230" spans="2:29" x14ac:dyDescent="0.25">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row>
    <row r="231" spans="2:29" x14ac:dyDescent="0.25">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row>
    <row r="232" spans="2:29" x14ac:dyDescent="0.25">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row>
    <row r="233" spans="2:29" x14ac:dyDescent="0.25">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row>
    <row r="234" spans="2:29" x14ac:dyDescent="0.25">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row>
    <row r="235" spans="2:29" x14ac:dyDescent="0.25">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row>
    <row r="236" spans="2:29" x14ac:dyDescent="0.25">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row>
    <row r="237" spans="2:29" x14ac:dyDescent="0.25">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row>
    <row r="238" spans="2:29" x14ac:dyDescent="0.25">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row>
    <row r="239" spans="2:29" x14ac:dyDescent="0.25">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row>
    <row r="240" spans="2:29" x14ac:dyDescent="0.25">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row>
    <row r="241" spans="2:29" x14ac:dyDescent="0.25">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row>
    <row r="242" spans="2:29" x14ac:dyDescent="0.25">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row>
    <row r="243" spans="2:29" x14ac:dyDescent="0.25">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row>
    <row r="244" spans="2:29" x14ac:dyDescent="0.25">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row>
    <row r="245" spans="2:29" x14ac:dyDescent="0.25">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row>
    <row r="246" spans="2:29" x14ac:dyDescent="0.25">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row>
    <row r="247" spans="2:29" x14ac:dyDescent="0.25">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row>
    <row r="248" spans="2:29" x14ac:dyDescent="0.25">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row>
    <row r="249" spans="2:29" x14ac:dyDescent="0.25">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row>
    <row r="250" spans="2:29" x14ac:dyDescent="0.25">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row>
    <row r="251" spans="2:29" x14ac:dyDescent="0.25">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row>
    <row r="252" spans="2:29" x14ac:dyDescent="0.25">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row>
    <row r="253" spans="2:29" x14ac:dyDescent="0.25">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row>
    <row r="254" spans="2:29" x14ac:dyDescent="0.25">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row>
    <row r="255" spans="2:29" x14ac:dyDescent="0.25">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row>
    <row r="256" spans="2:29" x14ac:dyDescent="0.25">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row>
    <row r="257" spans="2:29" x14ac:dyDescent="0.25">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row>
    <row r="258" spans="2:29" x14ac:dyDescent="0.25">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row>
    <row r="259" spans="2:29" x14ac:dyDescent="0.25">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row>
    <row r="260" spans="2:29" x14ac:dyDescent="0.25">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row>
    <row r="261" spans="2:29" x14ac:dyDescent="0.25">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row>
    <row r="262" spans="2:29" x14ac:dyDescent="0.25">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row>
    <row r="263" spans="2:29" x14ac:dyDescent="0.25">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row>
    <row r="264" spans="2:29" x14ac:dyDescent="0.25">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row>
    <row r="265" spans="2:29" x14ac:dyDescent="0.25">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row>
    <row r="266" spans="2:29" x14ac:dyDescent="0.25">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row>
    <row r="267" spans="2:29" x14ac:dyDescent="0.25">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row>
    <row r="268" spans="2:29" x14ac:dyDescent="0.25">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row>
    <row r="269" spans="2:29" x14ac:dyDescent="0.25">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row>
    <row r="270" spans="2:29" x14ac:dyDescent="0.25">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row>
    <row r="271" spans="2:29" x14ac:dyDescent="0.25">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row>
    <row r="272" spans="2:29" x14ac:dyDescent="0.25">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row>
    <row r="273" spans="2:29" x14ac:dyDescent="0.25">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row>
    <row r="274" spans="2:29" x14ac:dyDescent="0.25">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row>
    <row r="275" spans="2:29" x14ac:dyDescent="0.25">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row>
    <row r="276" spans="2:29" x14ac:dyDescent="0.25">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row>
    <row r="277" spans="2:29" x14ac:dyDescent="0.25">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row>
    <row r="278" spans="2:29" x14ac:dyDescent="0.25">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row>
    <row r="279" spans="2:29" x14ac:dyDescent="0.25">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row>
    <row r="280" spans="2:29" x14ac:dyDescent="0.25">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row>
    <row r="281" spans="2:29" x14ac:dyDescent="0.25">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row>
    <row r="282" spans="2:29" x14ac:dyDescent="0.25">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row>
    <row r="283" spans="2:29" x14ac:dyDescent="0.25">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row>
    <row r="284" spans="2:29" x14ac:dyDescent="0.25">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row>
    <row r="285" spans="2:29" x14ac:dyDescent="0.25">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row>
    <row r="286" spans="2:29" x14ac:dyDescent="0.25">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row>
    <row r="287" spans="2:29" x14ac:dyDescent="0.25">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row>
    <row r="288" spans="2:29" x14ac:dyDescent="0.25">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row>
    <row r="289" spans="2:29" x14ac:dyDescent="0.25">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row>
    <row r="290" spans="2:29" x14ac:dyDescent="0.25">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row>
    <row r="291" spans="2:29" x14ac:dyDescent="0.25">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row>
    <row r="292" spans="2:29" x14ac:dyDescent="0.25">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row>
    <row r="293" spans="2:29" x14ac:dyDescent="0.25">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row>
    <row r="294" spans="2:29" x14ac:dyDescent="0.25">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row>
    <row r="295" spans="2:29" x14ac:dyDescent="0.25">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row>
    <row r="296" spans="2:29" x14ac:dyDescent="0.25">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row>
    <row r="297" spans="2:29" x14ac:dyDescent="0.25">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row>
    <row r="298" spans="2:29" x14ac:dyDescent="0.25">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row>
    <row r="299" spans="2:29" x14ac:dyDescent="0.25">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row>
    <row r="300" spans="2:29" x14ac:dyDescent="0.25">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row>
    <row r="301" spans="2:29" x14ac:dyDescent="0.25">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row>
    <row r="302" spans="2:29" x14ac:dyDescent="0.25">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row>
    <row r="303" spans="2:29" x14ac:dyDescent="0.25">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row>
    <row r="304" spans="2:29" x14ac:dyDescent="0.25">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row>
    <row r="305" spans="2:29" x14ac:dyDescent="0.25">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row>
    <row r="306" spans="2:29" x14ac:dyDescent="0.25">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row>
    <row r="307" spans="2:29" x14ac:dyDescent="0.25">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row>
    <row r="308" spans="2:29" x14ac:dyDescent="0.25">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row>
    <row r="309" spans="2:29" x14ac:dyDescent="0.25">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row>
    <row r="310" spans="2:29" x14ac:dyDescent="0.25">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row>
    <row r="311" spans="2:29" x14ac:dyDescent="0.25">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row>
    <row r="312" spans="2:29" x14ac:dyDescent="0.25">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row>
    <row r="313" spans="2:29" x14ac:dyDescent="0.25">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row>
    <row r="314" spans="2:29" x14ac:dyDescent="0.25">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row>
    <row r="315" spans="2:29" x14ac:dyDescent="0.25">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row>
    <row r="316" spans="2:29" x14ac:dyDescent="0.25">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row>
    <row r="317" spans="2:29" x14ac:dyDescent="0.25">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row>
    <row r="318" spans="2:29" x14ac:dyDescent="0.25">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row>
    <row r="319" spans="2:29" x14ac:dyDescent="0.25">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row>
    <row r="320" spans="2:29" x14ac:dyDescent="0.25">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row>
    <row r="321" spans="2:29" x14ac:dyDescent="0.25">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row>
    <row r="322" spans="2:29" x14ac:dyDescent="0.25">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row>
    <row r="323" spans="2:29" x14ac:dyDescent="0.25">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row>
    <row r="324" spans="2:29" x14ac:dyDescent="0.25">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row>
    <row r="325" spans="2:29" x14ac:dyDescent="0.25">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row>
    <row r="326" spans="2:29" x14ac:dyDescent="0.25">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row>
    <row r="327" spans="2:29" x14ac:dyDescent="0.25">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row>
    <row r="328" spans="2:29" x14ac:dyDescent="0.25">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row>
    <row r="329" spans="2:29" x14ac:dyDescent="0.25">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row>
    <row r="330" spans="2:29" x14ac:dyDescent="0.25">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row>
    <row r="331" spans="2:29" x14ac:dyDescent="0.25">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row>
    <row r="332" spans="2:29" x14ac:dyDescent="0.25">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row>
    <row r="333" spans="2:29" x14ac:dyDescent="0.25">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row>
    <row r="334" spans="2:29" x14ac:dyDescent="0.25">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row>
    <row r="335" spans="2:29" x14ac:dyDescent="0.25">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row>
    <row r="336" spans="2:29" x14ac:dyDescent="0.25">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row>
    <row r="337" spans="2:29" x14ac:dyDescent="0.25">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row>
    <row r="338" spans="2:29" x14ac:dyDescent="0.25">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row>
    <row r="339" spans="2:29" x14ac:dyDescent="0.25">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row>
    <row r="340" spans="2:29" x14ac:dyDescent="0.25">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row>
    <row r="341" spans="2:29" x14ac:dyDescent="0.25">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row>
    <row r="342" spans="2:29" x14ac:dyDescent="0.25">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row>
    <row r="343" spans="2:29" x14ac:dyDescent="0.25">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row>
    <row r="344" spans="2:29" x14ac:dyDescent="0.25">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row>
    <row r="345" spans="2:29" x14ac:dyDescent="0.25">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row>
    <row r="346" spans="2:29" x14ac:dyDescent="0.25">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row>
    <row r="347" spans="2:29" x14ac:dyDescent="0.25">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row>
    <row r="348" spans="2:29" x14ac:dyDescent="0.25">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row>
    <row r="349" spans="2:29" x14ac:dyDescent="0.25">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row>
    <row r="350" spans="2:29" x14ac:dyDescent="0.25">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row>
    <row r="351" spans="2:29" x14ac:dyDescent="0.25">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row>
    <row r="352" spans="2:29" x14ac:dyDescent="0.25">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row>
    <row r="353" spans="2:29" x14ac:dyDescent="0.25">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row>
    <row r="354" spans="2:29" x14ac:dyDescent="0.25">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row>
    <row r="355" spans="2:29" x14ac:dyDescent="0.25">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row>
    <row r="356" spans="2:29" x14ac:dyDescent="0.25">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row>
    <row r="357" spans="2:29" x14ac:dyDescent="0.25">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row>
    <row r="358" spans="2:29" x14ac:dyDescent="0.25">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row>
    <row r="359" spans="2:29" x14ac:dyDescent="0.25">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row>
    <row r="360" spans="2:29" x14ac:dyDescent="0.25">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row>
    <row r="361" spans="2:29" x14ac:dyDescent="0.25">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row>
    <row r="362" spans="2:29" x14ac:dyDescent="0.25">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row>
    <row r="363" spans="2:29" x14ac:dyDescent="0.25">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row>
    <row r="364" spans="2:29" x14ac:dyDescent="0.25">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row>
    <row r="365" spans="2:29" x14ac:dyDescent="0.25">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row>
    <row r="366" spans="2:29" x14ac:dyDescent="0.25">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row>
    <row r="367" spans="2:29" x14ac:dyDescent="0.25">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row>
    <row r="368" spans="2:29" x14ac:dyDescent="0.25">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row>
    <row r="369" spans="2:29" x14ac:dyDescent="0.25">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row>
    <row r="370" spans="2:29" x14ac:dyDescent="0.25">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row>
    <row r="371" spans="2:29" x14ac:dyDescent="0.25">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row>
    <row r="372" spans="2:29" x14ac:dyDescent="0.25">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row>
    <row r="373" spans="2:29" x14ac:dyDescent="0.25">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row>
    <row r="374" spans="2:29" x14ac:dyDescent="0.25">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row>
    <row r="375" spans="2:29" x14ac:dyDescent="0.25">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row>
    <row r="376" spans="2:29" x14ac:dyDescent="0.25">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row>
    <row r="377" spans="2:29" x14ac:dyDescent="0.25">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row>
    <row r="378" spans="2:29" x14ac:dyDescent="0.25">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row>
    <row r="379" spans="2:29" x14ac:dyDescent="0.25">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row>
    <row r="380" spans="2:29" x14ac:dyDescent="0.25">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row>
    <row r="381" spans="2:29" x14ac:dyDescent="0.25">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row>
    <row r="382" spans="2:29" x14ac:dyDescent="0.25">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row>
    <row r="383" spans="2:29" x14ac:dyDescent="0.25">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row>
    <row r="384" spans="2:29" x14ac:dyDescent="0.25">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row>
    <row r="385" spans="2:29" x14ac:dyDescent="0.25">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row>
    <row r="386" spans="2:29" x14ac:dyDescent="0.25">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row>
    <row r="387" spans="2:29" x14ac:dyDescent="0.25">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row>
    <row r="388" spans="2:29" x14ac:dyDescent="0.25">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row>
    <row r="389" spans="2:29" x14ac:dyDescent="0.25">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row>
    <row r="390" spans="2:29" x14ac:dyDescent="0.25">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row>
    <row r="391" spans="2:29" x14ac:dyDescent="0.25">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row>
    <row r="392" spans="2:29" x14ac:dyDescent="0.25">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row>
    <row r="393" spans="2:29" x14ac:dyDescent="0.25">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row>
    <row r="394" spans="2:29" x14ac:dyDescent="0.25">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row>
    <row r="395" spans="2:29" x14ac:dyDescent="0.25">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row>
    <row r="396" spans="2:29" x14ac:dyDescent="0.25">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row>
    <row r="397" spans="2:29" x14ac:dyDescent="0.25">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row>
    <row r="398" spans="2:29" x14ac:dyDescent="0.25">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row>
    <row r="399" spans="2:29" x14ac:dyDescent="0.25">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row>
    <row r="400" spans="2:29" x14ac:dyDescent="0.25">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row>
    <row r="401" spans="2:29" x14ac:dyDescent="0.25">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row>
    <row r="402" spans="2:29" x14ac:dyDescent="0.25">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row>
    <row r="403" spans="2:29" x14ac:dyDescent="0.25">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row>
    <row r="404" spans="2:29" x14ac:dyDescent="0.25">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row>
    <row r="405" spans="2:29" x14ac:dyDescent="0.25">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row>
    <row r="406" spans="2:29" x14ac:dyDescent="0.25">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row>
    <row r="407" spans="2:29" x14ac:dyDescent="0.25">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row>
    <row r="408" spans="2:29" x14ac:dyDescent="0.25">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row>
    <row r="409" spans="2:29" x14ac:dyDescent="0.25">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row>
    <row r="410" spans="2:29" x14ac:dyDescent="0.25">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row>
    <row r="411" spans="2:29" x14ac:dyDescent="0.25">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row>
    <row r="412" spans="2:29" x14ac:dyDescent="0.25">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row>
    <row r="413" spans="2:29" x14ac:dyDescent="0.25">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row>
    <row r="414" spans="2:29" x14ac:dyDescent="0.25">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row>
    <row r="415" spans="2:29" x14ac:dyDescent="0.25">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row>
    <row r="416" spans="2:29" x14ac:dyDescent="0.25">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row>
    <row r="417" spans="2:29" x14ac:dyDescent="0.25">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row>
    <row r="418" spans="2:29" x14ac:dyDescent="0.25">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row>
    <row r="419" spans="2:29" x14ac:dyDescent="0.25">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row>
    <row r="420" spans="2:29" x14ac:dyDescent="0.25">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row>
    <row r="421" spans="2:29" x14ac:dyDescent="0.25">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row>
    <row r="422" spans="2:29" x14ac:dyDescent="0.25">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row>
    <row r="423" spans="2:29" x14ac:dyDescent="0.25">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row>
    <row r="424" spans="2:29" x14ac:dyDescent="0.25">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row>
    <row r="425" spans="2:29" x14ac:dyDescent="0.25">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row>
    <row r="426" spans="2:29" x14ac:dyDescent="0.25">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row>
    <row r="427" spans="2:29" x14ac:dyDescent="0.25">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row>
    <row r="428" spans="2:29" x14ac:dyDescent="0.25">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row>
    <row r="429" spans="2:29" x14ac:dyDescent="0.25">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row>
    <row r="430" spans="2:29" x14ac:dyDescent="0.25">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row>
    <row r="431" spans="2:29" x14ac:dyDescent="0.25">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row>
    <row r="432" spans="2:29" x14ac:dyDescent="0.25">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row>
    <row r="433" spans="2:29" x14ac:dyDescent="0.25">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row>
    <row r="434" spans="2:29" x14ac:dyDescent="0.25">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row>
    <row r="435" spans="2:29" x14ac:dyDescent="0.25">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row>
    <row r="436" spans="2:29" x14ac:dyDescent="0.25">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row>
    <row r="437" spans="2:29" x14ac:dyDescent="0.25">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row>
    <row r="438" spans="2:29" x14ac:dyDescent="0.25">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row>
    <row r="439" spans="2:29" x14ac:dyDescent="0.25">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row>
    <row r="440" spans="2:29" x14ac:dyDescent="0.25">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row>
    <row r="441" spans="2:29" x14ac:dyDescent="0.25">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row>
    <row r="442" spans="2:29" x14ac:dyDescent="0.25">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row>
    <row r="443" spans="2:29" x14ac:dyDescent="0.25">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row>
    <row r="444" spans="2:29" x14ac:dyDescent="0.25">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row>
    <row r="445" spans="2:29" x14ac:dyDescent="0.25">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row>
    <row r="446" spans="2:29" x14ac:dyDescent="0.25">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row>
    <row r="447" spans="2:29" x14ac:dyDescent="0.25">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row>
    <row r="448" spans="2:29" x14ac:dyDescent="0.25">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row>
    <row r="449" spans="2:29" x14ac:dyDescent="0.25">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row>
    <row r="450" spans="2:29" x14ac:dyDescent="0.25">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row>
    <row r="451" spans="2:29" x14ac:dyDescent="0.25">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row>
    <row r="452" spans="2:29" x14ac:dyDescent="0.25">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row>
    <row r="453" spans="2:29" x14ac:dyDescent="0.25">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row>
    <row r="454" spans="2:29" x14ac:dyDescent="0.25">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row>
    <row r="455" spans="2:29" x14ac:dyDescent="0.25">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row>
    <row r="456" spans="2:29" x14ac:dyDescent="0.25">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row>
    <row r="457" spans="2:29" x14ac:dyDescent="0.25">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row>
    <row r="458" spans="2:29" x14ac:dyDescent="0.25">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row>
    <row r="459" spans="2:29" x14ac:dyDescent="0.25">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row>
    <row r="460" spans="2:29" x14ac:dyDescent="0.25">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row>
    <row r="461" spans="2:29" x14ac:dyDescent="0.25">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row>
    <row r="462" spans="2:29" x14ac:dyDescent="0.25">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row>
    <row r="463" spans="2:29" x14ac:dyDescent="0.25">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row>
    <row r="464" spans="2:29" x14ac:dyDescent="0.25">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row>
    <row r="465" spans="2:29" x14ac:dyDescent="0.25">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row>
    <row r="466" spans="2:29" x14ac:dyDescent="0.25">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row>
    <row r="467" spans="2:29" x14ac:dyDescent="0.25">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row>
    <row r="468" spans="2:29" x14ac:dyDescent="0.25">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row>
    <row r="469" spans="2:29" x14ac:dyDescent="0.25">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row>
    <row r="470" spans="2:29" x14ac:dyDescent="0.25">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row>
    <row r="471" spans="2:29" x14ac:dyDescent="0.25">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row>
    <row r="472" spans="2:29" x14ac:dyDescent="0.25">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row>
    <row r="473" spans="2:29" x14ac:dyDescent="0.25">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row>
    <row r="474" spans="2:29" x14ac:dyDescent="0.25">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row>
    <row r="475" spans="2:29" x14ac:dyDescent="0.25">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row>
    <row r="476" spans="2:29" x14ac:dyDescent="0.25">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row>
    <row r="477" spans="2:29" x14ac:dyDescent="0.25">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row>
    <row r="478" spans="2:29" x14ac:dyDescent="0.25">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row>
    <row r="479" spans="2:29" x14ac:dyDescent="0.25">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row>
    <row r="480" spans="2:29" x14ac:dyDescent="0.25">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row>
    <row r="481" spans="2:29" x14ac:dyDescent="0.25">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row>
    <row r="482" spans="2:29" x14ac:dyDescent="0.25">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row>
    <row r="483" spans="2:29" x14ac:dyDescent="0.25">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row>
    <row r="484" spans="2:29" x14ac:dyDescent="0.25">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row>
    <row r="485" spans="2:29" x14ac:dyDescent="0.25">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row>
    <row r="486" spans="2:29" x14ac:dyDescent="0.25">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row>
    <row r="487" spans="2:29" x14ac:dyDescent="0.25">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row>
    <row r="488" spans="2:29" x14ac:dyDescent="0.25">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row>
    <row r="489" spans="2:29" x14ac:dyDescent="0.25">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row>
    <row r="490" spans="2:29" x14ac:dyDescent="0.25">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row>
    <row r="491" spans="2:29" x14ac:dyDescent="0.25">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row>
    <row r="492" spans="2:29" x14ac:dyDescent="0.25">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row>
    <row r="493" spans="2:29" x14ac:dyDescent="0.25">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row>
    <row r="494" spans="2:29" x14ac:dyDescent="0.25">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row>
    <row r="495" spans="2:29" x14ac:dyDescent="0.25">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row>
    <row r="496" spans="2:29" x14ac:dyDescent="0.25">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row>
    <row r="497" spans="2:29" x14ac:dyDescent="0.25">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row>
    <row r="498" spans="2:29" x14ac:dyDescent="0.25">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row>
    <row r="499" spans="2:29" x14ac:dyDescent="0.25">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row>
    <row r="500" spans="2:29" x14ac:dyDescent="0.25">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row>
    <row r="501" spans="2:29" x14ac:dyDescent="0.25">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row>
    <row r="502" spans="2:29" x14ac:dyDescent="0.25">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row>
    <row r="503" spans="2:29" x14ac:dyDescent="0.25">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row>
    <row r="504" spans="2:29" x14ac:dyDescent="0.25">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row>
    <row r="505" spans="2:29" x14ac:dyDescent="0.25">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row>
    <row r="506" spans="2:29" x14ac:dyDescent="0.25">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row>
    <row r="507" spans="2:29" x14ac:dyDescent="0.25">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row>
    <row r="508" spans="2:29" x14ac:dyDescent="0.25">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row>
    <row r="509" spans="2:29" x14ac:dyDescent="0.25">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row>
    <row r="510" spans="2:29" x14ac:dyDescent="0.25">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row>
    <row r="511" spans="2:29" x14ac:dyDescent="0.25">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row>
    <row r="512" spans="2:29" x14ac:dyDescent="0.25">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row>
    <row r="513" spans="2:29" x14ac:dyDescent="0.25">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row>
    <row r="514" spans="2:29" x14ac:dyDescent="0.25">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row>
    <row r="515" spans="2:29" x14ac:dyDescent="0.25">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row>
    <row r="516" spans="2:29" x14ac:dyDescent="0.25">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row>
    <row r="517" spans="2:29" x14ac:dyDescent="0.25">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row>
    <row r="518" spans="2:29" x14ac:dyDescent="0.25">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row>
    <row r="519" spans="2:29" x14ac:dyDescent="0.25">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row>
    <row r="520" spans="2:29" x14ac:dyDescent="0.25">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row>
    <row r="521" spans="2:29" x14ac:dyDescent="0.25">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row>
    <row r="522" spans="2:29" x14ac:dyDescent="0.25">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row>
    <row r="523" spans="2:29" x14ac:dyDescent="0.25">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row>
    <row r="524" spans="2:29" x14ac:dyDescent="0.25">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row>
    <row r="525" spans="2:29" x14ac:dyDescent="0.25">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row>
    <row r="526" spans="2:29" x14ac:dyDescent="0.25">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row>
    <row r="527" spans="2:29" x14ac:dyDescent="0.25">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row>
    <row r="528" spans="2:29" x14ac:dyDescent="0.25">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row>
    <row r="529" spans="2:29" x14ac:dyDescent="0.25">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row>
    <row r="530" spans="2:29" x14ac:dyDescent="0.25">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row>
    <row r="531" spans="2:29" x14ac:dyDescent="0.25">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row>
    <row r="532" spans="2:29" x14ac:dyDescent="0.25">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row>
    <row r="533" spans="2:29" x14ac:dyDescent="0.25">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row>
    <row r="534" spans="2:29" x14ac:dyDescent="0.25">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row>
    <row r="535" spans="2:29" x14ac:dyDescent="0.25">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row>
    <row r="536" spans="2:29" x14ac:dyDescent="0.25">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row>
    <row r="537" spans="2:29" x14ac:dyDescent="0.25">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row>
    <row r="538" spans="2:29" x14ac:dyDescent="0.25">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row>
    <row r="539" spans="2:29" x14ac:dyDescent="0.25">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row>
    <row r="540" spans="2:29" x14ac:dyDescent="0.25">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row>
    <row r="541" spans="2:29" x14ac:dyDescent="0.25">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row>
    <row r="542" spans="2:29" x14ac:dyDescent="0.25">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row>
    <row r="543" spans="2:29" x14ac:dyDescent="0.25">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row>
    <row r="544" spans="2:29" x14ac:dyDescent="0.25">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row>
    <row r="545" spans="2:29" x14ac:dyDescent="0.25">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row>
    <row r="546" spans="2:29" x14ac:dyDescent="0.25">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row>
    <row r="547" spans="2:29" x14ac:dyDescent="0.25">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row>
    <row r="548" spans="2:29" x14ac:dyDescent="0.25">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row>
    <row r="549" spans="2:29" x14ac:dyDescent="0.25">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row>
    <row r="550" spans="2:29" x14ac:dyDescent="0.25">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row>
    <row r="551" spans="2:29" x14ac:dyDescent="0.25">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row>
    <row r="552" spans="2:29" x14ac:dyDescent="0.25">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row>
    <row r="553" spans="2:29" x14ac:dyDescent="0.25">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row>
    <row r="554" spans="2:29" x14ac:dyDescent="0.25">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row>
    <row r="555" spans="2:29" x14ac:dyDescent="0.25">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row>
    <row r="556" spans="2:29" x14ac:dyDescent="0.25">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row>
    <row r="557" spans="2:29" x14ac:dyDescent="0.25">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row>
    <row r="558" spans="2:29" x14ac:dyDescent="0.25">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row>
    <row r="559" spans="2:29" x14ac:dyDescent="0.25">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row>
    <row r="560" spans="2:29" x14ac:dyDescent="0.25">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row>
    <row r="561" spans="2:29" x14ac:dyDescent="0.25">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row>
    <row r="562" spans="2:29" x14ac:dyDescent="0.25">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row>
    <row r="563" spans="2:29" x14ac:dyDescent="0.25">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row>
    <row r="564" spans="2:29" x14ac:dyDescent="0.25">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row>
    <row r="565" spans="2:29" x14ac:dyDescent="0.25">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row>
    <row r="566" spans="2:29" x14ac:dyDescent="0.25">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row>
    <row r="567" spans="2:29" x14ac:dyDescent="0.25">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row>
    <row r="568" spans="2:29" x14ac:dyDescent="0.25">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row>
    <row r="569" spans="2:29" x14ac:dyDescent="0.25">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row>
    <row r="570" spans="2:29" x14ac:dyDescent="0.25">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row>
    <row r="571" spans="2:29" x14ac:dyDescent="0.25">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row>
    <row r="572" spans="2:29" x14ac:dyDescent="0.25">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row>
    <row r="573" spans="2:29" x14ac:dyDescent="0.25">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row>
    <row r="574" spans="2:29" x14ac:dyDescent="0.25">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row>
    <row r="575" spans="2:29" x14ac:dyDescent="0.25">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row>
    <row r="576" spans="2:29" x14ac:dyDescent="0.25">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row>
    <row r="577" spans="2:29" x14ac:dyDescent="0.25">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row>
    <row r="578" spans="2:29" x14ac:dyDescent="0.25">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row>
    <row r="579" spans="2:29" x14ac:dyDescent="0.25">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row>
    <row r="580" spans="2:29" x14ac:dyDescent="0.25">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row>
    <row r="581" spans="2:29" x14ac:dyDescent="0.25">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row>
    <row r="582" spans="2:29" x14ac:dyDescent="0.25">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row>
    <row r="583" spans="2:29" x14ac:dyDescent="0.25">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row>
    <row r="584" spans="2:29" x14ac:dyDescent="0.25">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row>
    <row r="585" spans="2:29" x14ac:dyDescent="0.25">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row>
    <row r="586" spans="2:29" x14ac:dyDescent="0.25">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row>
    <row r="587" spans="2:29" x14ac:dyDescent="0.25">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row>
    <row r="588" spans="2:29" x14ac:dyDescent="0.25">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row>
    <row r="589" spans="2:29" x14ac:dyDescent="0.25">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row>
    <row r="590" spans="2:29" x14ac:dyDescent="0.25">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row>
    <row r="591" spans="2:29" x14ac:dyDescent="0.25">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row>
    <row r="592" spans="2:29" x14ac:dyDescent="0.25">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row>
    <row r="593" spans="2:29" x14ac:dyDescent="0.25">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row>
    <row r="594" spans="2:29" x14ac:dyDescent="0.25">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row>
    <row r="595" spans="2:29" x14ac:dyDescent="0.25">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row>
    <row r="596" spans="2:29" x14ac:dyDescent="0.25">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row>
    <row r="597" spans="2:29" x14ac:dyDescent="0.25">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row>
    <row r="598" spans="2:29" x14ac:dyDescent="0.25">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row>
    <row r="599" spans="2:29" x14ac:dyDescent="0.25">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row>
    <row r="600" spans="2:29" x14ac:dyDescent="0.25">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row>
    <row r="601" spans="2:29" x14ac:dyDescent="0.25">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row>
    <row r="602" spans="2:29" x14ac:dyDescent="0.25">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row>
    <row r="603" spans="2:29" x14ac:dyDescent="0.25">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row>
    <row r="604" spans="2:29" x14ac:dyDescent="0.25">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row>
    <row r="605" spans="2:29" x14ac:dyDescent="0.25">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row>
    <row r="606" spans="2:29" x14ac:dyDescent="0.25">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row>
    <row r="607" spans="2:29" x14ac:dyDescent="0.25">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row>
    <row r="608" spans="2:29" x14ac:dyDescent="0.25">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c r="AA608" s="19"/>
      <c r="AB608" s="19"/>
      <c r="AC608" s="19"/>
    </row>
    <row r="609" spans="2:29" x14ac:dyDescent="0.25">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c r="AA609" s="19"/>
      <c r="AB609" s="19"/>
      <c r="AC609" s="19"/>
    </row>
    <row r="610" spans="2:29" x14ac:dyDescent="0.25">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c r="AA610" s="19"/>
      <c r="AB610" s="19"/>
      <c r="AC610" s="19"/>
    </row>
    <row r="611" spans="2:29" x14ac:dyDescent="0.25">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c r="AA611" s="19"/>
      <c r="AB611" s="19"/>
      <c r="AC611" s="19"/>
    </row>
    <row r="612" spans="2:29" x14ac:dyDescent="0.25">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c r="AA612" s="19"/>
      <c r="AB612" s="19"/>
      <c r="AC612" s="19"/>
    </row>
    <row r="613" spans="2:29" x14ac:dyDescent="0.25">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c r="AA613" s="19"/>
      <c r="AB613" s="19"/>
      <c r="AC613" s="19"/>
    </row>
    <row r="614" spans="2:29" x14ac:dyDescent="0.25">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c r="AA614" s="19"/>
      <c r="AB614" s="19"/>
      <c r="AC614" s="19"/>
    </row>
    <row r="615" spans="2:29" x14ac:dyDescent="0.25">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c r="AA615" s="19"/>
      <c r="AB615" s="19"/>
      <c r="AC615" s="19"/>
    </row>
    <row r="616" spans="2:29" x14ac:dyDescent="0.25">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c r="AA616" s="19"/>
      <c r="AB616" s="19"/>
      <c r="AC616" s="19"/>
    </row>
    <row r="617" spans="2:29" x14ac:dyDescent="0.25">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c r="AA617" s="19"/>
      <c r="AB617" s="19"/>
      <c r="AC617" s="19"/>
    </row>
    <row r="618" spans="2:29" x14ac:dyDescent="0.25">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c r="AA618" s="19"/>
      <c r="AB618" s="19"/>
      <c r="AC618" s="19"/>
    </row>
    <row r="619" spans="2:29" x14ac:dyDescent="0.25">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c r="AA619" s="19"/>
      <c r="AB619" s="19"/>
      <c r="AC619" s="19"/>
    </row>
    <row r="620" spans="2:29" x14ac:dyDescent="0.25">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c r="AA620" s="19"/>
      <c r="AB620" s="19"/>
      <c r="AC620" s="19"/>
    </row>
    <row r="621" spans="2:29" x14ac:dyDescent="0.25">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c r="AA621" s="19"/>
      <c r="AB621" s="19"/>
      <c r="AC621" s="19"/>
    </row>
    <row r="622" spans="2:29" x14ac:dyDescent="0.25">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c r="AA622" s="19"/>
      <c r="AB622" s="19"/>
      <c r="AC622" s="19"/>
    </row>
    <row r="623" spans="2:29" x14ac:dyDescent="0.25">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c r="AA623" s="19"/>
      <c r="AB623" s="19"/>
      <c r="AC623" s="19"/>
    </row>
    <row r="624" spans="2:29" x14ac:dyDescent="0.25">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c r="AA624" s="19"/>
      <c r="AB624" s="19"/>
      <c r="AC624" s="19"/>
    </row>
    <row r="625" spans="2:29" x14ac:dyDescent="0.25">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c r="AA625" s="19"/>
      <c r="AB625" s="19"/>
      <c r="AC625" s="19"/>
    </row>
    <row r="626" spans="2:29" x14ac:dyDescent="0.25">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c r="AA626" s="19"/>
      <c r="AB626" s="19"/>
      <c r="AC626" s="19"/>
    </row>
    <row r="627" spans="2:29" x14ac:dyDescent="0.25">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c r="AA627" s="19"/>
      <c r="AB627" s="19"/>
      <c r="AC627" s="19"/>
    </row>
    <row r="628" spans="2:29" x14ac:dyDescent="0.25">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c r="AA628" s="19"/>
      <c r="AB628" s="19"/>
      <c r="AC628" s="19"/>
    </row>
    <row r="629" spans="2:29" x14ac:dyDescent="0.25">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c r="AA629" s="19"/>
      <c r="AB629" s="19"/>
      <c r="AC629" s="19"/>
    </row>
    <row r="630" spans="2:29" x14ac:dyDescent="0.25">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c r="AA630" s="19"/>
      <c r="AB630" s="19"/>
      <c r="AC630" s="19"/>
    </row>
    <row r="631" spans="2:29" x14ac:dyDescent="0.25">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c r="AA631" s="19"/>
      <c r="AB631" s="19"/>
      <c r="AC631" s="19"/>
    </row>
    <row r="632" spans="2:29" x14ac:dyDescent="0.25">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c r="AA632" s="19"/>
      <c r="AB632" s="19"/>
      <c r="AC632" s="19"/>
    </row>
    <row r="633" spans="2:29" x14ac:dyDescent="0.25">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c r="AA633" s="19"/>
      <c r="AB633" s="19"/>
      <c r="AC633" s="19"/>
    </row>
    <row r="634" spans="2:29" x14ac:dyDescent="0.25">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c r="AA634" s="19"/>
      <c r="AB634" s="19"/>
      <c r="AC634" s="19"/>
    </row>
    <row r="635" spans="2:29" x14ac:dyDescent="0.25">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c r="AA635" s="19"/>
      <c r="AB635" s="19"/>
      <c r="AC635" s="19"/>
    </row>
    <row r="636" spans="2:29" x14ac:dyDescent="0.25">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c r="AA636" s="19"/>
      <c r="AB636" s="19"/>
      <c r="AC636" s="19"/>
    </row>
    <row r="637" spans="2:29" x14ac:dyDescent="0.25">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c r="AA637" s="19"/>
      <c r="AB637" s="19"/>
      <c r="AC637" s="19"/>
    </row>
    <row r="638" spans="2:29" x14ac:dyDescent="0.25">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c r="AA638" s="19"/>
      <c r="AB638" s="19"/>
      <c r="AC638" s="19"/>
    </row>
    <row r="639" spans="2:29" x14ac:dyDescent="0.25">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c r="AA639" s="19"/>
      <c r="AB639" s="19"/>
      <c r="AC639" s="19"/>
    </row>
    <row r="640" spans="2:29" x14ac:dyDescent="0.25">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c r="AA640" s="19"/>
      <c r="AB640" s="19"/>
      <c r="AC640" s="19"/>
    </row>
    <row r="641" spans="2:29" x14ac:dyDescent="0.25">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c r="AA641" s="19"/>
      <c r="AB641" s="19"/>
      <c r="AC641" s="19"/>
    </row>
    <row r="642" spans="2:29" x14ac:dyDescent="0.25">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c r="AA642" s="19"/>
      <c r="AB642" s="19"/>
      <c r="AC642" s="19"/>
    </row>
    <row r="643" spans="2:29" x14ac:dyDescent="0.25">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c r="AA643" s="19"/>
      <c r="AB643" s="19"/>
      <c r="AC643" s="19"/>
    </row>
    <row r="644" spans="2:29" x14ac:dyDescent="0.25">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c r="AA644" s="19"/>
      <c r="AB644" s="19"/>
      <c r="AC644" s="19"/>
    </row>
    <row r="645" spans="2:29" x14ac:dyDescent="0.25">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c r="AA645" s="19"/>
      <c r="AB645" s="19"/>
      <c r="AC645" s="19"/>
    </row>
    <row r="646" spans="2:29" x14ac:dyDescent="0.25">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c r="AA646" s="19"/>
      <c r="AB646" s="19"/>
      <c r="AC646" s="19"/>
    </row>
    <row r="647" spans="2:29" x14ac:dyDescent="0.25">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c r="AA647" s="19"/>
      <c r="AB647" s="19"/>
      <c r="AC647" s="19"/>
    </row>
    <row r="648" spans="2:29" x14ac:dyDescent="0.25">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c r="AA648" s="19"/>
      <c r="AB648" s="19"/>
      <c r="AC648" s="19"/>
    </row>
    <row r="649" spans="2:29" x14ac:dyDescent="0.25">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c r="AA649" s="19"/>
      <c r="AB649" s="19"/>
      <c r="AC649" s="19"/>
    </row>
    <row r="650" spans="2:29" x14ac:dyDescent="0.25">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c r="AA650" s="19"/>
      <c r="AB650" s="19"/>
      <c r="AC650" s="19"/>
    </row>
    <row r="651" spans="2:29" x14ac:dyDescent="0.25">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c r="AA651" s="19"/>
      <c r="AB651" s="19"/>
      <c r="AC651" s="19"/>
    </row>
    <row r="652" spans="2:29" x14ac:dyDescent="0.25">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c r="AA652" s="19"/>
      <c r="AB652" s="19"/>
      <c r="AC652" s="19"/>
    </row>
    <row r="653" spans="2:29" x14ac:dyDescent="0.25">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c r="AA653" s="19"/>
      <c r="AB653" s="19"/>
      <c r="AC653" s="19"/>
    </row>
    <row r="654" spans="2:29" x14ac:dyDescent="0.25">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c r="AA654" s="19"/>
      <c r="AB654" s="19"/>
      <c r="AC654" s="19"/>
    </row>
    <row r="655" spans="2:29" x14ac:dyDescent="0.25">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c r="AA655" s="19"/>
      <c r="AB655" s="19"/>
      <c r="AC655" s="19"/>
    </row>
    <row r="656" spans="2:29" x14ac:dyDescent="0.25">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c r="AA656" s="19"/>
      <c r="AB656" s="19"/>
      <c r="AC656" s="19"/>
    </row>
    <row r="657" spans="2:29" x14ac:dyDescent="0.25">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c r="AA657" s="19"/>
      <c r="AB657" s="19"/>
      <c r="AC657" s="19"/>
    </row>
    <row r="658" spans="2:29" x14ac:dyDescent="0.25">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c r="AA658" s="19"/>
      <c r="AB658" s="19"/>
      <c r="AC658" s="19"/>
    </row>
    <row r="659" spans="2:29" x14ac:dyDescent="0.25">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c r="AA659" s="19"/>
      <c r="AB659" s="19"/>
      <c r="AC659" s="19"/>
    </row>
    <row r="660" spans="2:29" x14ac:dyDescent="0.25">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c r="AA660" s="19"/>
      <c r="AB660" s="19"/>
      <c r="AC660" s="19"/>
    </row>
    <row r="661" spans="2:29" x14ac:dyDescent="0.25">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c r="AA661" s="19"/>
      <c r="AB661" s="19"/>
      <c r="AC661" s="19"/>
    </row>
    <row r="662" spans="2:29" x14ac:dyDescent="0.25">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c r="AA662" s="19"/>
      <c r="AB662" s="19"/>
      <c r="AC662" s="19"/>
    </row>
    <row r="663" spans="2:29" x14ac:dyDescent="0.25">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c r="AA663" s="19"/>
      <c r="AB663" s="19"/>
      <c r="AC663" s="19"/>
    </row>
    <row r="664" spans="2:29" x14ac:dyDescent="0.25">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c r="AA664" s="19"/>
      <c r="AB664" s="19"/>
      <c r="AC664" s="19"/>
    </row>
    <row r="665" spans="2:29" x14ac:dyDescent="0.25">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c r="AA665" s="19"/>
      <c r="AB665" s="19"/>
      <c r="AC665" s="19"/>
    </row>
    <row r="666" spans="2:29" x14ac:dyDescent="0.25">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c r="AA666" s="19"/>
      <c r="AB666" s="19"/>
      <c r="AC666" s="19"/>
    </row>
    <row r="667" spans="2:29" x14ac:dyDescent="0.25">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c r="AA667" s="19"/>
      <c r="AB667" s="19"/>
      <c r="AC667" s="19"/>
    </row>
    <row r="668" spans="2:29" x14ac:dyDescent="0.25">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c r="AA668" s="19"/>
      <c r="AB668" s="19"/>
      <c r="AC668" s="19"/>
    </row>
    <row r="669" spans="2:29" x14ac:dyDescent="0.25">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c r="AA669" s="19"/>
      <c r="AB669" s="19"/>
      <c r="AC669" s="19"/>
    </row>
    <row r="670" spans="2:29" x14ac:dyDescent="0.25">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c r="AA670" s="19"/>
      <c r="AB670" s="19"/>
      <c r="AC670" s="19"/>
    </row>
    <row r="671" spans="2:29" x14ac:dyDescent="0.25">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c r="AA671" s="19"/>
      <c r="AB671" s="19"/>
      <c r="AC671" s="19"/>
    </row>
    <row r="672" spans="2:29" x14ac:dyDescent="0.25">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c r="AA672" s="19"/>
      <c r="AB672" s="19"/>
      <c r="AC672" s="19"/>
    </row>
    <row r="673" spans="2:29" x14ac:dyDescent="0.25">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c r="AA673" s="19"/>
      <c r="AB673" s="19"/>
      <c r="AC673" s="19"/>
    </row>
    <row r="674" spans="2:29" x14ac:dyDescent="0.25">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c r="AA674" s="19"/>
      <c r="AB674" s="19"/>
      <c r="AC674" s="19"/>
    </row>
    <row r="675" spans="2:29" x14ac:dyDescent="0.25">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c r="AA675" s="19"/>
      <c r="AB675" s="19"/>
      <c r="AC675" s="19"/>
    </row>
    <row r="676" spans="2:29" x14ac:dyDescent="0.25">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c r="AA676" s="19"/>
      <c r="AB676" s="19"/>
      <c r="AC676" s="19"/>
    </row>
    <row r="677" spans="2:29" x14ac:dyDescent="0.25">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c r="AA677" s="19"/>
      <c r="AB677" s="19"/>
      <c r="AC677" s="19"/>
    </row>
    <row r="678" spans="2:29" x14ac:dyDescent="0.25">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c r="AA678" s="19"/>
      <c r="AB678" s="19"/>
      <c r="AC678" s="19"/>
    </row>
    <row r="679" spans="2:29" x14ac:dyDescent="0.25">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c r="AA679" s="19"/>
      <c r="AB679" s="19"/>
      <c r="AC679" s="19"/>
    </row>
    <row r="680" spans="2:29" x14ac:dyDescent="0.25">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c r="AA680" s="19"/>
      <c r="AB680" s="19"/>
      <c r="AC680" s="19"/>
    </row>
    <row r="681" spans="2:29" x14ac:dyDescent="0.25">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c r="AA681" s="19"/>
      <c r="AB681" s="19"/>
      <c r="AC681" s="19"/>
    </row>
    <row r="682" spans="2:29" x14ac:dyDescent="0.25">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c r="AA682" s="19"/>
      <c r="AB682" s="19"/>
      <c r="AC682" s="19"/>
    </row>
    <row r="683" spans="2:29" x14ac:dyDescent="0.25">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c r="AA683" s="19"/>
      <c r="AB683" s="19"/>
      <c r="AC683" s="19"/>
    </row>
    <row r="684" spans="2:29" x14ac:dyDescent="0.25">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c r="AA684" s="19"/>
      <c r="AB684" s="19"/>
      <c r="AC684" s="19"/>
    </row>
    <row r="685" spans="2:29" x14ac:dyDescent="0.25">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c r="AA685" s="19"/>
      <c r="AB685" s="19"/>
      <c r="AC685" s="19"/>
    </row>
    <row r="686" spans="2:29" x14ac:dyDescent="0.25">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c r="AA686" s="19"/>
      <c r="AB686" s="19"/>
      <c r="AC686" s="19"/>
    </row>
    <row r="687" spans="2:29" x14ac:dyDescent="0.25">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c r="AA687" s="19"/>
      <c r="AB687" s="19"/>
      <c r="AC687" s="19"/>
    </row>
    <row r="688" spans="2:29" x14ac:dyDescent="0.25">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c r="AA688" s="19"/>
      <c r="AB688" s="19"/>
      <c r="AC688" s="19"/>
    </row>
    <row r="689" spans="2:29" x14ac:dyDescent="0.25">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c r="AA689" s="19"/>
      <c r="AB689" s="19"/>
      <c r="AC689" s="19"/>
    </row>
    <row r="690" spans="2:29" x14ac:dyDescent="0.25">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c r="AA690" s="19"/>
      <c r="AB690" s="19"/>
      <c r="AC690" s="19"/>
    </row>
    <row r="691" spans="2:29" x14ac:dyDescent="0.25">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c r="AA691" s="19"/>
      <c r="AB691" s="19"/>
      <c r="AC691" s="19"/>
    </row>
    <row r="692" spans="2:29" x14ac:dyDescent="0.25">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c r="AA692" s="19"/>
      <c r="AB692" s="19"/>
      <c r="AC692" s="19"/>
    </row>
    <row r="693" spans="2:29" x14ac:dyDescent="0.25">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c r="AA693" s="19"/>
      <c r="AB693" s="19"/>
      <c r="AC693" s="19"/>
    </row>
    <row r="694" spans="2:29" x14ac:dyDescent="0.25">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c r="AA694" s="19"/>
      <c r="AB694" s="19"/>
      <c r="AC694" s="19"/>
    </row>
    <row r="695" spans="2:29" x14ac:dyDescent="0.25">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c r="AA695" s="19"/>
      <c r="AB695" s="19"/>
      <c r="AC695" s="19"/>
    </row>
    <row r="696" spans="2:29" x14ac:dyDescent="0.25">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c r="AA696" s="19"/>
      <c r="AB696" s="19"/>
      <c r="AC696" s="19"/>
    </row>
    <row r="697" spans="2:29" x14ac:dyDescent="0.25">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c r="AA697" s="19"/>
      <c r="AB697" s="19"/>
      <c r="AC697" s="19"/>
    </row>
    <row r="698" spans="2:29" x14ac:dyDescent="0.25">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c r="AA698" s="19"/>
      <c r="AB698" s="19"/>
      <c r="AC698" s="19"/>
    </row>
    <row r="699" spans="2:29" x14ac:dyDescent="0.25">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c r="AA699" s="19"/>
      <c r="AB699" s="19"/>
      <c r="AC699" s="19"/>
    </row>
    <row r="700" spans="2:29" x14ac:dyDescent="0.25">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c r="AA700" s="19"/>
      <c r="AB700" s="19"/>
      <c r="AC700" s="19"/>
    </row>
    <row r="701" spans="2:29" x14ac:dyDescent="0.25">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c r="AA701" s="19"/>
      <c r="AB701" s="19"/>
      <c r="AC701" s="19"/>
    </row>
    <row r="702" spans="2:29" x14ac:dyDescent="0.25">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c r="AA702" s="19"/>
      <c r="AB702" s="19"/>
      <c r="AC702" s="19"/>
    </row>
    <row r="703" spans="2:29" x14ac:dyDescent="0.25">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c r="AA703" s="19"/>
      <c r="AB703" s="19"/>
      <c r="AC703" s="19"/>
    </row>
    <row r="704" spans="2:29" x14ac:dyDescent="0.25">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c r="AA704" s="19"/>
      <c r="AB704" s="19"/>
      <c r="AC704" s="19"/>
    </row>
    <row r="705" spans="2:29" x14ac:dyDescent="0.25">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c r="AA705" s="19"/>
      <c r="AB705" s="19"/>
      <c r="AC705" s="19"/>
    </row>
    <row r="706" spans="2:29" x14ac:dyDescent="0.25">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c r="AA706" s="19"/>
      <c r="AB706" s="19"/>
      <c r="AC706" s="19"/>
    </row>
    <row r="707" spans="2:29" x14ac:dyDescent="0.25">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c r="AA707" s="19"/>
      <c r="AB707" s="19"/>
      <c r="AC707" s="19"/>
    </row>
    <row r="708" spans="2:29" x14ac:dyDescent="0.25">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c r="AA708" s="19"/>
      <c r="AB708" s="19"/>
      <c r="AC708" s="19"/>
    </row>
    <row r="709" spans="2:29" x14ac:dyDescent="0.25">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c r="AA709" s="19"/>
      <c r="AB709" s="19"/>
      <c r="AC709" s="19"/>
    </row>
    <row r="710" spans="2:29" x14ac:dyDescent="0.25">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c r="AA710" s="19"/>
      <c r="AB710" s="19"/>
      <c r="AC710" s="19"/>
    </row>
    <row r="711" spans="2:29" x14ac:dyDescent="0.25">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c r="AA711" s="19"/>
      <c r="AB711" s="19"/>
      <c r="AC711" s="19"/>
    </row>
    <row r="712" spans="2:29" x14ac:dyDescent="0.25">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c r="AA712" s="19"/>
      <c r="AB712" s="19"/>
      <c r="AC712" s="19"/>
    </row>
    <row r="713" spans="2:29" x14ac:dyDescent="0.25">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c r="AA713" s="19"/>
      <c r="AB713" s="19"/>
      <c r="AC713" s="19"/>
    </row>
    <row r="714" spans="2:29" x14ac:dyDescent="0.25">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c r="AA714" s="19"/>
      <c r="AB714" s="19"/>
      <c r="AC714" s="19"/>
    </row>
    <row r="715" spans="2:29" x14ac:dyDescent="0.25">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c r="AA715" s="19"/>
      <c r="AB715" s="19"/>
      <c r="AC715" s="19"/>
    </row>
    <row r="716" spans="2:29" x14ac:dyDescent="0.25">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c r="AA716" s="19"/>
      <c r="AB716" s="19"/>
      <c r="AC716" s="19"/>
    </row>
    <row r="717" spans="2:29" x14ac:dyDescent="0.25">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c r="AA717" s="19"/>
      <c r="AB717" s="19"/>
      <c r="AC717" s="19"/>
    </row>
    <row r="718" spans="2:29" x14ac:dyDescent="0.25">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c r="AA718" s="19"/>
      <c r="AB718" s="19"/>
      <c r="AC718" s="19"/>
    </row>
    <row r="719" spans="2:29" x14ac:dyDescent="0.25">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c r="AA719" s="19"/>
      <c r="AB719" s="19"/>
      <c r="AC719" s="19"/>
    </row>
    <row r="720" spans="2:29" x14ac:dyDescent="0.25">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c r="AA720" s="19"/>
      <c r="AB720" s="19"/>
      <c r="AC720" s="19"/>
    </row>
    <row r="721" spans="2:29" x14ac:dyDescent="0.25">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c r="AA721" s="19"/>
      <c r="AB721" s="19"/>
      <c r="AC721" s="19"/>
    </row>
    <row r="722" spans="2:29" x14ac:dyDescent="0.25">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c r="AA722" s="19"/>
      <c r="AB722" s="19"/>
      <c r="AC722" s="19"/>
    </row>
    <row r="723" spans="2:29" x14ac:dyDescent="0.25">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c r="AA723" s="19"/>
      <c r="AB723" s="19"/>
      <c r="AC723" s="19"/>
    </row>
    <row r="724" spans="2:29" x14ac:dyDescent="0.25">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c r="AA724" s="19"/>
      <c r="AB724" s="19"/>
      <c r="AC724" s="19"/>
    </row>
    <row r="725" spans="2:29" x14ac:dyDescent="0.25">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c r="AA725" s="19"/>
      <c r="AB725" s="19"/>
      <c r="AC725" s="19"/>
    </row>
    <row r="726" spans="2:29" x14ac:dyDescent="0.25">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c r="AA726" s="19"/>
      <c r="AB726" s="19"/>
      <c r="AC726" s="19"/>
    </row>
    <row r="727" spans="2:29" x14ac:dyDescent="0.25">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c r="AA727" s="19"/>
      <c r="AB727" s="19"/>
      <c r="AC727" s="19"/>
    </row>
    <row r="728" spans="2:29" x14ac:dyDescent="0.25">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c r="AA728" s="19"/>
      <c r="AB728" s="19"/>
      <c r="AC728" s="19"/>
    </row>
    <row r="729" spans="2:29" x14ac:dyDescent="0.25">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c r="AA729" s="19"/>
      <c r="AB729" s="19"/>
      <c r="AC729" s="19"/>
    </row>
    <row r="730" spans="2:29" x14ac:dyDescent="0.25">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c r="AA730" s="19"/>
      <c r="AB730" s="19"/>
      <c r="AC730" s="19"/>
    </row>
    <row r="731" spans="2:29" x14ac:dyDescent="0.25">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c r="AA731" s="19"/>
      <c r="AB731" s="19"/>
      <c r="AC731" s="19"/>
    </row>
    <row r="732" spans="2:29" x14ac:dyDescent="0.25">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c r="AA732" s="19"/>
      <c r="AB732" s="19"/>
      <c r="AC732" s="19"/>
    </row>
    <row r="733" spans="2:29" x14ac:dyDescent="0.25">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c r="AA733" s="19"/>
      <c r="AB733" s="19"/>
      <c r="AC733" s="19"/>
    </row>
    <row r="734" spans="2:29" x14ac:dyDescent="0.25">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c r="AA734" s="19"/>
      <c r="AB734" s="19"/>
      <c r="AC734" s="19"/>
    </row>
    <row r="735" spans="2:29" x14ac:dyDescent="0.25">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c r="AA735" s="19"/>
      <c r="AB735" s="19"/>
      <c r="AC735" s="19"/>
    </row>
    <row r="736" spans="2:29" x14ac:dyDescent="0.25">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c r="AA736" s="19"/>
      <c r="AB736" s="19"/>
      <c r="AC736" s="19"/>
    </row>
    <row r="737" spans="2:29" x14ac:dyDescent="0.25">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c r="AA737" s="19"/>
      <c r="AB737" s="19"/>
      <c r="AC737" s="19"/>
    </row>
    <row r="738" spans="2:29" x14ac:dyDescent="0.25">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c r="AA738" s="19"/>
      <c r="AB738" s="19"/>
      <c r="AC738" s="19"/>
    </row>
    <row r="739" spans="2:29" x14ac:dyDescent="0.25">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c r="AA739" s="19"/>
      <c r="AB739" s="19"/>
      <c r="AC739" s="19"/>
    </row>
    <row r="740" spans="2:29" x14ac:dyDescent="0.25">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c r="AA740" s="19"/>
      <c r="AB740" s="19"/>
      <c r="AC740" s="19"/>
    </row>
    <row r="741" spans="2:29" x14ac:dyDescent="0.25">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c r="AA741" s="19"/>
      <c r="AB741" s="19"/>
      <c r="AC741" s="19"/>
    </row>
    <row r="742" spans="2:29" x14ac:dyDescent="0.25">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c r="AA742" s="19"/>
      <c r="AB742" s="19"/>
      <c r="AC742" s="19"/>
    </row>
    <row r="743" spans="2:29" x14ac:dyDescent="0.25">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c r="AA743" s="19"/>
      <c r="AB743" s="19"/>
      <c r="AC743" s="19"/>
    </row>
    <row r="744" spans="2:29" x14ac:dyDescent="0.25">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c r="AA744" s="19"/>
      <c r="AB744" s="19"/>
      <c r="AC744" s="19"/>
    </row>
    <row r="745" spans="2:29" x14ac:dyDescent="0.25">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c r="AA745" s="19"/>
      <c r="AB745" s="19"/>
      <c r="AC745" s="19"/>
    </row>
    <row r="746" spans="2:29" x14ac:dyDescent="0.25">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c r="AA746" s="19"/>
      <c r="AB746" s="19"/>
      <c r="AC746" s="19"/>
    </row>
    <row r="747" spans="2:29" x14ac:dyDescent="0.25">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c r="AA747" s="19"/>
      <c r="AB747" s="19"/>
      <c r="AC747" s="19"/>
    </row>
    <row r="748" spans="2:29" x14ac:dyDescent="0.25">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c r="AA748" s="19"/>
      <c r="AB748" s="19"/>
      <c r="AC748" s="19"/>
    </row>
    <row r="749" spans="2:29" x14ac:dyDescent="0.25">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c r="AA749" s="19"/>
      <c r="AB749" s="19"/>
      <c r="AC749" s="19"/>
    </row>
    <row r="750" spans="2:29" x14ac:dyDescent="0.25">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c r="AA750" s="19"/>
      <c r="AB750" s="19"/>
      <c r="AC750" s="19"/>
    </row>
    <row r="751" spans="2:29" x14ac:dyDescent="0.25">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c r="AA751" s="19"/>
      <c r="AB751" s="19"/>
      <c r="AC751" s="19"/>
    </row>
    <row r="752" spans="2:29" x14ac:dyDescent="0.25">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c r="AA752" s="19"/>
      <c r="AB752" s="19"/>
      <c r="AC752" s="19"/>
    </row>
    <row r="753" spans="2:29" x14ac:dyDescent="0.25">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c r="AA753" s="19"/>
      <c r="AB753" s="19"/>
      <c r="AC753" s="19"/>
    </row>
    <row r="754" spans="2:29" x14ac:dyDescent="0.25">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c r="AA754" s="19"/>
      <c r="AB754" s="19"/>
      <c r="AC754" s="19"/>
    </row>
    <row r="755" spans="2:29" x14ac:dyDescent="0.25">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c r="AA755" s="19"/>
      <c r="AB755" s="19"/>
      <c r="AC755" s="19"/>
    </row>
    <row r="756" spans="2:29" x14ac:dyDescent="0.25">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c r="AA756" s="19"/>
      <c r="AB756" s="19"/>
      <c r="AC756" s="19"/>
    </row>
    <row r="757" spans="2:29" x14ac:dyDescent="0.25">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c r="AA757" s="19"/>
      <c r="AB757" s="19"/>
      <c r="AC757" s="19"/>
    </row>
    <row r="758" spans="2:29" x14ac:dyDescent="0.25">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c r="AA758" s="19"/>
      <c r="AB758" s="19"/>
      <c r="AC758" s="19"/>
    </row>
    <row r="759" spans="2:29" x14ac:dyDescent="0.25">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c r="AA759" s="19"/>
      <c r="AB759" s="19"/>
      <c r="AC759" s="19"/>
    </row>
    <row r="760" spans="2:29" x14ac:dyDescent="0.25">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c r="AA760" s="19"/>
      <c r="AB760" s="19"/>
      <c r="AC760" s="19"/>
    </row>
    <row r="761" spans="2:29" x14ac:dyDescent="0.25">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c r="AA761" s="19"/>
      <c r="AB761" s="19"/>
      <c r="AC761" s="19"/>
    </row>
    <row r="762" spans="2:29" x14ac:dyDescent="0.25">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c r="AA762" s="19"/>
      <c r="AB762" s="19"/>
      <c r="AC762" s="19"/>
    </row>
    <row r="763" spans="2:29" x14ac:dyDescent="0.25">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c r="AA763" s="19"/>
      <c r="AB763" s="19"/>
      <c r="AC763" s="19"/>
    </row>
    <row r="764" spans="2:29" x14ac:dyDescent="0.25">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c r="AA764" s="19"/>
      <c r="AB764" s="19"/>
      <c r="AC764" s="19"/>
    </row>
    <row r="765" spans="2:29" x14ac:dyDescent="0.25">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c r="AA765" s="19"/>
      <c r="AB765" s="19"/>
      <c r="AC765" s="19"/>
    </row>
    <row r="766" spans="2:29" x14ac:dyDescent="0.25">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c r="AA766" s="19"/>
      <c r="AB766" s="19"/>
      <c r="AC766" s="19"/>
    </row>
    <row r="767" spans="2:29" x14ac:dyDescent="0.25">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c r="AA767" s="19"/>
      <c r="AB767" s="19"/>
      <c r="AC767" s="19"/>
    </row>
    <row r="768" spans="2:29" x14ac:dyDescent="0.25">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c r="AA768" s="19"/>
      <c r="AB768" s="19"/>
      <c r="AC768" s="19"/>
    </row>
    <row r="769" spans="2:29" x14ac:dyDescent="0.25">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c r="AA769" s="19"/>
      <c r="AB769" s="19"/>
      <c r="AC769" s="19"/>
    </row>
    <row r="770" spans="2:29" x14ac:dyDescent="0.25">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c r="AA770" s="19"/>
      <c r="AB770" s="19"/>
      <c r="AC770" s="19"/>
    </row>
    <row r="771" spans="2:29" x14ac:dyDescent="0.25">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c r="AA771" s="19"/>
      <c r="AB771" s="19"/>
      <c r="AC771" s="19"/>
    </row>
    <row r="772" spans="2:29" x14ac:dyDescent="0.25">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c r="AA772" s="19"/>
      <c r="AB772" s="19"/>
      <c r="AC772" s="19"/>
    </row>
    <row r="773" spans="2:29" x14ac:dyDescent="0.25">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c r="AA773" s="19"/>
      <c r="AB773" s="19"/>
      <c r="AC773" s="19"/>
    </row>
    <row r="774" spans="2:29" x14ac:dyDescent="0.25">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c r="AA774" s="19"/>
      <c r="AB774" s="19"/>
      <c r="AC774" s="19"/>
    </row>
    <row r="775" spans="2:29" x14ac:dyDescent="0.25">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c r="AA775" s="19"/>
      <c r="AB775" s="19"/>
      <c r="AC775" s="19"/>
    </row>
    <row r="776" spans="2:29" x14ac:dyDescent="0.25">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c r="AA776" s="19"/>
      <c r="AB776" s="19"/>
      <c r="AC776" s="19"/>
    </row>
    <row r="777" spans="2:29" x14ac:dyDescent="0.25">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c r="AA777" s="19"/>
      <c r="AB777" s="19"/>
      <c r="AC777" s="19"/>
    </row>
    <row r="778" spans="2:29" x14ac:dyDescent="0.25">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c r="AA778" s="19"/>
      <c r="AB778" s="19"/>
      <c r="AC778" s="19"/>
    </row>
    <row r="779" spans="2:29" x14ac:dyDescent="0.25">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c r="AA779" s="19"/>
      <c r="AB779" s="19"/>
      <c r="AC779" s="19"/>
    </row>
    <row r="780" spans="2:29" x14ac:dyDescent="0.25">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c r="AA780" s="19"/>
      <c r="AB780" s="19"/>
      <c r="AC780" s="19"/>
    </row>
    <row r="781" spans="2:29" x14ac:dyDescent="0.25">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c r="AA781" s="19"/>
      <c r="AB781" s="19"/>
      <c r="AC781" s="19"/>
    </row>
    <row r="782" spans="2:29" x14ac:dyDescent="0.25">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c r="AA782" s="19"/>
      <c r="AB782" s="19"/>
      <c r="AC782" s="19"/>
    </row>
    <row r="783" spans="2:29" x14ac:dyDescent="0.25">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c r="AA783" s="19"/>
      <c r="AB783" s="19"/>
      <c r="AC783" s="19"/>
    </row>
    <row r="784" spans="2:29" x14ac:dyDescent="0.25">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c r="AA784" s="19"/>
      <c r="AB784" s="19"/>
      <c r="AC784" s="19"/>
    </row>
    <row r="785" spans="2:29" x14ac:dyDescent="0.25">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c r="AA785" s="19"/>
      <c r="AB785" s="19"/>
      <c r="AC785" s="19"/>
    </row>
    <row r="786" spans="2:29" x14ac:dyDescent="0.25">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c r="AA786" s="19"/>
      <c r="AB786" s="19"/>
      <c r="AC786" s="19"/>
    </row>
    <row r="787" spans="2:29" x14ac:dyDescent="0.25">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c r="AA787" s="19"/>
      <c r="AB787" s="19"/>
      <c r="AC787" s="19"/>
    </row>
    <row r="788" spans="2:29" x14ac:dyDescent="0.25">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c r="AA788" s="19"/>
      <c r="AB788" s="19"/>
      <c r="AC788" s="19"/>
    </row>
    <row r="789" spans="2:29" x14ac:dyDescent="0.25">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c r="AA789" s="19"/>
      <c r="AB789" s="19"/>
      <c r="AC789" s="19"/>
    </row>
    <row r="790" spans="2:29" x14ac:dyDescent="0.25">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c r="AA790" s="19"/>
      <c r="AB790" s="19"/>
      <c r="AC790" s="19"/>
    </row>
    <row r="791" spans="2:29" x14ac:dyDescent="0.25">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c r="AA791" s="19"/>
      <c r="AB791" s="19"/>
      <c r="AC791" s="19"/>
    </row>
    <row r="792" spans="2:29" x14ac:dyDescent="0.25">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c r="AA792" s="19"/>
      <c r="AB792" s="19"/>
      <c r="AC792" s="19"/>
    </row>
    <row r="793" spans="2:29" x14ac:dyDescent="0.25">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c r="AA793" s="19"/>
      <c r="AB793" s="19"/>
      <c r="AC793" s="19"/>
    </row>
    <row r="794" spans="2:29" x14ac:dyDescent="0.25">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c r="AA794" s="19"/>
      <c r="AB794" s="19"/>
      <c r="AC794" s="19"/>
    </row>
    <row r="795" spans="2:29" x14ac:dyDescent="0.25">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c r="AA795" s="19"/>
      <c r="AB795" s="19"/>
      <c r="AC795" s="19"/>
    </row>
    <row r="796" spans="2:29" x14ac:dyDescent="0.25">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c r="AA796" s="19"/>
      <c r="AB796" s="19"/>
      <c r="AC796" s="19"/>
    </row>
    <row r="797" spans="2:29" x14ac:dyDescent="0.25">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c r="AA797" s="19"/>
      <c r="AB797" s="19"/>
      <c r="AC797" s="19"/>
    </row>
    <row r="798" spans="2:29" x14ac:dyDescent="0.25">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c r="AA798" s="19"/>
      <c r="AB798" s="19"/>
      <c r="AC798" s="19"/>
    </row>
    <row r="799" spans="2:29" x14ac:dyDescent="0.25">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c r="AA799" s="19"/>
      <c r="AB799" s="19"/>
      <c r="AC799" s="19"/>
    </row>
    <row r="800" spans="2:29" x14ac:dyDescent="0.25">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c r="AA800" s="19"/>
      <c r="AB800" s="19"/>
      <c r="AC800" s="19"/>
    </row>
    <row r="801" spans="2:29" x14ac:dyDescent="0.25">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c r="AA801" s="19"/>
      <c r="AB801" s="19"/>
      <c r="AC801" s="19"/>
    </row>
    <row r="802" spans="2:29" x14ac:dyDescent="0.25">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c r="AA802" s="19"/>
      <c r="AB802" s="19"/>
      <c r="AC802" s="19"/>
    </row>
    <row r="803" spans="2:29" x14ac:dyDescent="0.25">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c r="AA803" s="19"/>
      <c r="AB803" s="19"/>
      <c r="AC803" s="19"/>
    </row>
    <row r="804" spans="2:29" x14ac:dyDescent="0.25">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c r="AA804" s="19"/>
      <c r="AB804" s="19"/>
      <c r="AC804" s="19"/>
    </row>
    <row r="805" spans="2:29" x14ac:dyDescent="0.25">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c r="AA805" s="19"/>
      <c r="AB805" s="19"/>
      <c r="AC805" s="19"/>
    </row>
    <row r="806" spans="2:29" x14ac:dyDescent="0.25">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c r="AA806" s="19"/>
      <c r="AB806" s="19"/>
      <c r="AC806" s="19"/>
    </row>
    <row r="807" spans="2:29" x14ac:dyDescent="0.25">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c r="AA807" s="19"/>
      <c r="AB807" s="19"/>
      <c r="AC807" s="19"/>
    </row>
    <row r="808" spans="2:29" x14ac:dyDescent="0.25">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c r="AA808" s="19"/>
      <c r="AB808" s="19"/>
      <c r="AC808" s="19"/>
    </row>
    <row r="809" spans="2:29" x14ac:dyDescent="0.25">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c r="AA809" s="19"/>
      <c r="AB809" s="19"/>
      <c r="AC809" s="19"/>
    </row>
    <row r="810" spans="2:29" x14ac:dyDescent="0.25">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c r="AA810" s="19"/>
      <c r="AB810" s="19"/>
      <c r="AC810" s="19"/>
    </row>
    <row r="811" spans="2:29" x14ac:dyDescent="0.25">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c r="AA811" s="19"/>
      <c r="AB811" s="19"/>
      <c r="AC811" s="19"/>
    </row>
    <row r="812" spans="2:29" x14ac:dyDescent="0.25">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c r="AA812" s="19"/>
      <c r="AB812" s="19"/>
      <c r="AC812" s="19"/>
    </row>
    <row r="813" spans="2:29" x14ac:dyDescent="0.25">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c r="AA813" s="19"/>
      <c r="AB813" s="19"/>
      <c r="AC813" s="19"/>
    </row>
    <row r="814" spans="2:29" x14ac:dyDescent="0.25">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c r="AA814" s="19"/>
      <c r="AB814" s="19"/>
      <c r="AC814" s="19"/>
    </row>
    <row r="815" spans="2:29" x14ac:dyDescent="0.25">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c r="AA815" s="19"/>
      <c r="AB815" s="19"/>
      <c r="AC815" s="19"/>
    </row>
    <row r="816" spans="2:29" x14ac:dyDescent="0.25">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c r="AA816" s="19"/>
      <c r="AB816" s="19"/>
      <c r="AC816" s="19"/>
    </row>
    <row r="817" spans="2:29" x14ac:dyDescent="0.25">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c r="AA817" s="19"/>
      <c r="AB817" s="19"/>
      <c r="AC817" s="19"/>
    </row>
    <row r="818" spans="2:29" x14ac:dyDescent="0.25">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c r="AA818" s="19"/>
      <c r="AB818" s="19"/>
      <c r="AC818" s="19"/>
    </row>
    <row r="819" spans="2:29" x14ac:dyDescent="0.25">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c r="AA819" s="19"/>
      <c r="AB819" s="19"/>
      <c r="AC819" s="19"/>
    </row>
    <row r="820" spans="2:29" x14ac:dyDescent="0.25">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c r="AA820" s="19"/>
      <c r="AB820" s="19"/>
      <c r="AC820" s="19"/>
    </row>
    <row r="821" spans="2:29" x14ac:dyDescent="0.25">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c r="AA821" s="19"/>
      <c r="AB821" s="19"/>
      <c r="AC821" s="19"/>
    </row>
    <row r="822" spans="2:29" x14ac:dyDescent="0.25">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c r="AA822" s="19"/>
      <c r="AB822" s="19"/>
      <c r="AC822" s="19"/>
    </row>
    <row r="823" spans="2:29" x14ac:dyDescent="0.25">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c r="AA823" s="19"/>
      <c r="AB823" s="19"/>
      <c r="AC823" s="19"/>
    </row>
    <row r="824" spans="2:29" x14ac:dyDescent="0.25">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c r="AA824" s="19"/>
      <c r="AB824" s="19"/>
      <c r="AC824" s="19"/>
    </row>
    <row r="825" spans="2:29" x14ac:dyDescent="0.25">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c r="AA825" s="19"/>
      <c r="AB825" s="19"/>
      <c r="AC825" s="19"/>
    </row>
    <row r="826" spans="2:29" x14ac:dyDescent="0.25">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c r="AA826" s="19"/>
      <c r="AB826" s="19"/>
      <c r="AC826" s="19"/>
    </row>
    <row r="827" spans="2:29" x14ac:dyDescent="0.25">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c r="AA827" s="19"/>
      <c r="AB827" s="19"/>
      <c r="AC827" s="19"/>
    </row>
    <row r="828" spans="2:29" x14ac:dyDescent="0.25">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c r="AA828" s="19"/>
      <c r="AB828" s="19"/>
      <c r="AC828" s="19"/>
    </row>
    <row r="829" spans="2:29" x14ac:dyDescent="0.25">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c r="AA829" s="19"/>
      <c r="AB829" s="19"/>
      <c r="AC829" s="19"/>
    </row>
    <row r="830" spans="2:29" x14ac:dyDescent="0.25">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c r="AA830" s="19"/>
      <c r="AB830" s="19"/>
      <c r="AC830" s="19"/>
    </row>
    <row r="831" spans="2:29" x14ac:dyDescent="0.25">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c r="AA831" s="19"/>
      <c r="AB831" s="19"/>
      <c r="AC831" s="19"/>
    </row>
    <row r="832" spans="2:29" x14ac:dyDescent="0.25">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c r="AA832" s="19"/>
      <c r="AB832" s="19"/>
      <c r="AC832" s="19"/>
    </row>
    <row r="833" spans="2:29" x14ac:dyDescent="0.25">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c r="AA833" s="19"/>
      <c r="AB833" s="19"/>
      <c r="AC833" s="19"/>
    </row>
    <row r="834" spans="2:29" x14ac:dyDescent="0.25">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c r="AA834" s="19"/>
      <c r="AB834" s="19"/>
      <c r="AC834" s="19"/>
    </row>
    <row r="835" spans="2:29" x14ac:dyDescent="0.25">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c r="AA835" s="19"/>
      <c r="AB835" s="19"/>
      <c r="AC835" s="19"/>
    </row>
    <row r="836" spans="2:29" x14ac:dyDescent="0.25">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c r="AA836" s="19"/>
      <c r="AB836" s="19"/>
      <c r="AC836" s="19"/>
    </row>
    <row r="837" spans="2:29" x14ac:dyDescent="0.25">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c r="AA837" s="19"/>
      <c r="AB837" s="19"/>
      <c r="AC837" s="19"/>
    </row>
    <row r="838" spans="2:29" x14ac:dyDescent="0.25">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c r="AA838" s="19"/>
      <c r="AB838" s="19"/>
      <c r="AC838" s="19"/>
    </row>
    <row r="839" spans="2:29" x14ac:dyDescent="0.25">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c r="AA839" s="19"/>
      <c r="AB839" s="19"/>
      <c r="AC839" s="19"/>
    </row>
    <row r="840" spans="2:29" x14ac:dyDescent="0.25">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c r="AA840" s="19"/>
      <c r="AB840" s="19"/>
      <c r="AC840" s="19"/>
    </row>
    <row r="841" spans="2:29" x14ac:dyDescent="0.25">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c r="AA841" s="19"/>
      <c r="AB841" s="19"/>
      <c r="AC841" s="19"/>
    </row>
    <row r="842" spans="2:29" x14ac:dyDescent="0.25">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c r="AA842" s="19"/>
      <c r="AB842" s="19"/>
      <c r="AC842" s="19"/>
    </row>
    <row r="843" spans="2:29" x14ac:dyDescent="0.25">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c r="AA843" s="19"/>
      <c r="AB843" s="19"/>
      <c r="AC843" s="19"/>
    </row>
    <row r="844" spans="2:29" x14ac:dyDescent="0.25">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c r="AA844" s="19"/>
      <c r="AB844" s="19"/>
      <c r="AC844" s="19"/>
    </row>
    <row r="845" spans="2:29" x14ac:dyDescent="0.25">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c r="AA845" s="19"/>
      <c r="AB845" s="19"/>
      <c r="AC845" s="19"/>
    </row>
    <row r="846" spans="2:29" x14ac:dyDescent="0.25">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c r="AA846" s="19"/>
      <c r="AB846" s="19"/>
      <c r="AC846" s="19"/>
    </row>
    <row r="847" spans="2:29" x14ac:dyDescent="0.25">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c r="AA847" s="19"/>
      <c r="AB847" s="19"/>
      <c r="AC847" s="19"/>
    </row>
    <row r="848" spans="2:29" x14ac:dyDescent="0.25">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c r="AA848" s="19"/>
      <c r="AB848" s="19"/>
      <c r="AC848" s="19"/>
    </row>
    <row r="849" spans="2:29" x14ac:dyDescent="0.25">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c r="AA849" s="19"/>
      <c r="AB849" s="19"/>
      <c r="AC849" s="19"/>
    </row>
    <row r="850" spans="2:29" x14ac:dyDescent="0.25">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c r="AA850" s="19"/>
      <c r="AB850" s="19"/>
      <c r="AC850" s="19"/>
    </row>
    <row r="851" spans="2:29" x14ac:dyDescent="0.25">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c r="AA851" s="19"/>
      <c r="AB851" s="19"/>
      <c r="AC851" s="19"/>
    </row>
    <row r="852" spans="2:29" x14ac:dyDescent="0.25">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c r="AA852" s="19"/>
      <c r="AB852" s="19"/>
      <c r="AC852" s="19"/>
    </row>
    <row r="853" spans="2:29" x14ac:dyDescent="0.25">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c r="AA853" s="19"/>
      <c r="AB853" s="19"/>
      <c r="AC853" s="19"/>
    </row>
    <row r="854" spans="2:29" x14ac:dyDescent="0.25">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c r="AA854" s="19"/>
      <c r="AB854" s="19"/>
      <c r="AC854" s="19"/>
    </row>
    <row r="855" spans="2:29" x14ac:dyDescent="0.25">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c r="AA855" s="19"/>
      <c r="AB855" s="19"/>
      <c r="AC855" s="19"/>
    </row>
    <row r="856" spans="2:29" x14ac:dyDescent="0.25">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c r="AA856" s="19"/>
      <c r="AB856" s="19"/>
      <c r="AC856" s="19"/>
    </row>
    <row r="857" spans="2:29" x14ac:dyDescent="0.25">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c r="AA857" s="19"/>
      <c r="AB857" s="19"/>
      <c r="AC857" s="19"/>
    </row>
    <row r="858" spans="2:29" x14ac:dyDescent="0.25">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c r="AA858" s="19"/>
      <c r="AB858" s="19"/>
      <c r="AC858" s="19"/>
    </row>
    <row r="859" spans="2:29" x14ac:dyDescent="0.25">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c r="AA859" s="19"/>
      <c r="AB859" s="19"/>
      <c r="AC859" s="19"/>
    </row>
    <row r="860" spans="2:29" x14ac:dyDescent="0.25">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c r="AA860" s="19"/>
      <c r="AB860" s="19"/>
      <c r="AC860" s="19"/>
    </row>
    <row r="861" spans="2:29" x14ac:dyDescent="0.25">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c r="AA861" s="19"/>
      <c r="AB861" s="19"/>
      <c r="AC861" s="19"/>
    </row>
    <row r="862" spans="2:29" x14ac:dyDescent="0.25">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c r="AA862" s="19"/>
      <c r="AB862" s="19"/>
      <c r="AC862" s="19"/>
    </row>
    <row r="863" spans="2:29" x14ac:dyDescent="0.25">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c r="AA863" s="19"/>
      <c r="AB863" s="19"/>
      <c r="AC863" s="19"/>
    </row>
    <row r="864" spans="2:29" x14ac:dyDescent="0.25">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c r="AA864" s="19"/>
      <c r="AB864" s="19"/>
      <c r="AC864" s="19"/>
    </row>
    <row r="865" spans="2:29" x14ac:dyDescent="0.25">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c r="AA865" s="19"/>
      <c r="AB865" s="19"/>
      <c r="AC865" s="19"/>
    </row>
    <row r="866" spans="2:29" x14ac:dyDescent="0.25">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c r="AA866" s="19"/>
      <c r="AB866" s="19"/>
      <c r="AC866" s="19"/>
    </row>
    <row r="867" spans="2:29" x14ac:dyDescent="0.25">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c r="AA867" s="19"/>
      <c r="AB867" s="19"/>
      <c r="AC867" s="19"/>
    </row>
    <row r="868" spans="2:29" x14ac:dyDescent="0.25">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c r="AA868" s="19"/>
      <c r="AB868" s="19"/>
      <c r="AC868" s="19"/>
    </row>
    <row r="869" spans="2:29" x14ac:dyDescent="0.25">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c r="AA869" s="19"/>
      <c r="AB869" s="19"/>
      <c r="AC869" s="19"/>
    </row>
    <row r="870" spans="2:29" x14ac:dyDescent="0.25">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c r="AA870" s="19"/>
      <c r="AB870" s="19"/>
      <c r="AC870" s="19"/>
    </row>
    <row r="871" spans="2:29" x14ac:dyDescent="0.25">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c r="AA871" s="19"/>
      <c r="AB871" s="19"/>
      <c r="AC871" s="19"/>
    </row>
    <row r="872" spans="2:29" x14ac:dyDescent="0.25">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c r="AA872" s="19"/>
      <c r="AB872" s="19"/>
      <c r="AC872" s="19"/>
    </row>
    <row r="873" spans="2:29" x14ac:dyDescent="0.25">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c r="AA873" s="19"/>
      <c r="AB873" s="19"/>
      <c r="AC873" s="19"/>
    </row>
    <row r="874" spans="2:29" x14ac:dyDescent="0.25">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c r="AA874" s="19"/>
      <c r="AB874" s="19"/>
      <c r="AC874" s="19"/>
    </row>
    <row r="875" spans="2:29" x14ac:dyDescent="0.25">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c r="AA875" s="19"/>
      <c r="AB875" s="19"/>
      <c r="AC875" s="19"/>
    </row>
    <row r="876" spans="2:29" x14ac:dyDescent="0.25">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c r="AA876" s="19"/>
      <c r="AB876" s="19"/>
      <c r="AC876" s="19"/>
    </row>
    <row r="877" spans="2:29" x14ac:dyDescent="0.25">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c r="AA877" s="19"/>
      <c r="AB877" s="19"/>
      <c r="AC877" s="19"/>
    </row>
    <row r="878" spans="2:29" x14ac:dyDescent="0.25">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c r="AA878" s="19"/>
      <c r="AB878" s="19"/>
      <c r="AC878" s="19"/>
    </row>
    <row r="879" spans="2:29" x14ac:dyDescent="0.25">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c r="AA879" s="19"/>
      <c r="AB879" s="19"/>
      <c r="AC879" s="19"/>
    </row>
    <row r="880" spans="2:29" x14ac:dyDescent="0.25">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c r="AA880" s="19"/>
      <c r="AB880" s="19"/>
      <c r="AC880" s="19"/>
    </row>
    <row r="881" spans="2:29" x14ac:dyDescent="0.25">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c r="AA881" s="19"/>
      <c r="AB881" s="19"/>
      <c r="AC881" s="19"/>
    </row>
    <row r="882" spans="2:29" x14ac:dyDescent="0.25">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c r="AA882" s="19"/>
      <c r="AB882" s="19"/>
      <c r="AC882" s="19"/>
    </row>
    <row r="883" spans="2:29" x14ac:dyDescent="0.25">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c r="AA883" s="19"/>
      <c r="AB883" s="19"/>
      <c r="AC883" s="19"/>
    </row>
    <row r="884" spans="2:29" x14ac:dyDescent="0.25">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c r="AA884" s="19"/>
      <c r="AB884" s="19"/>
      <c r="AC884" s="19"/>
    </row>
    <row r="885" spans="2:29" x14ac:dyDescent="0.25">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c r="AA885" s="19"/>
      <c r="AB885" s="19"/>
      <c r="AC885" s="19"/>
    </row>
    <row r="886" spans="2:29" x14ac:dyDescent="0.25">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c r="AA886" s="19"/>
      <c r="AB886" s="19"/>
      <c r="AC886" s="19"/>
    </row>
    <row r="887" spans="2:29" x14ac:dyDescent="0.25">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c r="AA887" s="19"/>
      <c r="AB887" s="19"/>
      <c r="AC887" s="19"/>
    </row>
    <row r="888" spans="2:29" x14ac:dyDescent="0.25">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c r="AA888" s="19"/>
      <c r="AB888" s="19"/>
      <c r="AC888" s="19"/>
    </row>
    <row r="889" spans="2:29" x14ac:dyDescent="0.25">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c r="AA889" s="19"/>
      <c r="AB889" s="19"/>
      <c r="AC889" s="19"/>
    </row>
    <row r="890" spans="2:29" x14ac:dyDescent="0.25">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c r="AA890" s="19"/>
      <c r="AB890" s="19"/>
      <c r="AC890" s="19"/>
    </row>
    <row r="891" spans="2:29" x14ac:dyDescent="0.25">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c r="AA891" s="19"/>
      <c r="AB891" s="19"/>
      <c r="AC891" s="19"/>
    </row>
    <row r="892" spans="2:29" x14ac:dyDescent="0.25">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c r="AA892" s="19"/>
      <c r="AB892" s="19"/>
      <c r="AC892" s="19"/>
    </row>
    <row r="893" spans="2:29" x14ac:dyDescent="0.25">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c r="AA893" s="19"/>
      <c r="AB893" s="19"/>
      <c r="AC893" s="19"/>
    </row>
    <row r="894" spans="2:29" x14ac:dyDescent="0.25">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c r="AA894" s="19"/>
      <c r="AB894" s="19"/>
      <c r="AC894" s="19"/>
    </row>
    <row r="895" spans="2:29" x14ac:dyDescent="0.25">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c r="AA895" s="19"/>
      <c r="AB895" s="19"/>
      <c r="AC895" s="19"/>
    </row>
    <row r="896" spans="2:29" x14ac:dyDescent="0.25">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c r="AA896" s="19"/>
      <c r="AB896" s="19"/>
      <c r="AC896" s="19"/>
    </row>
    <row r="897" spans="2:29" x14ac:dyDescent="0.25">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c r="AA897" s="19"/>
      <c r="AB897" s="19"/>
      <c r="AC897" s="19"/>
    </row>
    <row r="898" spans="2:29" x14ac:dyDescent="0.25">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c r="AA898" s="19"/>
      <c r="AB898" s="19"/>
      <c r="AC898" s="19"/>
    </row>
    <row r="899" spans="2:29" x14ac:dyDescent="0.25">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c r="AA899" s="19"/>
      <c r="AB899" s="19"/>
      <c r="AC899" s="19"/>
    </row>
    <row r="900" spans="2:29" x14ac:dyDescent="0.25">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c r="AA900" s="19"/>
      <c r="AB900" s="19"/>
      <c r="AC900" s="19"/>
    </row>
    <row r="901" spans="2:29" x14ac:dyDescent="0.25">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c r="AA901" s="19"/>
      <c r="AB901" s="19"/>
      <c r="AC901" s="19"/>
    </row>
    <row r="902" spans="2:29" x14ac:dyDescent="0.25">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c r="AA902" s="19"/>
      <c r="AB902" s="19"/>
      <c r="AC902" s="19"/>
    </row>
    <row r="903" spans="2:29" x14ac:dyDescent="0.25">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c r="AA903" s="19"/>
      <c r="AB903" s="19"/>
      <c r="AC903" s="19"/>
    </row>
    <row r="904" spans="2:29" x14ac:dyDescent="0.25">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c r="AA904" s="19"/>
      <c r="AB904" s="19"/>
      <c r="AC904" s="19"/>
    </row>
    <row r="905" spans="2:29" x14ac:dyDescent="0.25">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c r="AA905" s="19"/>
      <c r="AB905" s="19"/>
      <c r="AC905" s="19"/>
    </row>
    <row r="906" spans="2:29" x14ac:dyDescent="0.25">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c r="AA906" s="19"/>
      <c r="AB906" s="19"/>
      <c r="AC906" s="19"/>
    </row>
    <row r="907" spans="2:29" x14ac:dyDescent="0.25">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c r="AA907" s="19"/>
      <c r="AB907" s="19"/>
      <c r="AC907" s="19"/>
    </row>
    <row r="908" spans="2:29" x14ac:dyDescent="0.25">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c r="AA908" s="19"/>
      <c r="AB908" s="19"/>
      <c r="AC908" s="19"/>
    </row>
    <row r="909" spans="2:29" x14ac:dyDescent="0.25">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c r="AA909" s="19"/>
      <c r="AB909" s="19"/>
      <c r="AC909" s="19"/>
    </row>
    <row r="910" spans="2:29" x14ac:dyDescent="0.25">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c r="AA910" s="19"/>
      <c r="AB910" s="19"/>
      <c r="AC910" s="19"/>
    </row>
    <row r="911" spans="2:29" x14ac:dyDescent="0.25">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c r="AA911" s="19"/>
      <c r="AB911" s="19"/>
      <c r="AC911" s="19"/>
    </row>
    <row r="912" spans="2:29" x14ac:dyDescent="0.25">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c r="AA912" s="19"/>
      <c r="AB912" s="19"/>
      <c r="AC912" s="19"/>
    </row>
    <row r="913" spans="2:29" x14ac:dyDescent="0.25">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c r="AA913" s="19"/>
      <c r="AB913" s="19"/>
      <c r="AC913" s="19"/>
    </row>
    <row r="914" spans="2:29" x14ac:dyDescent="0.25">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c r="AA914" s="19"/>
      <c r="AB914" s="19"/>
      <c r="AC914" s="19"/>
    </row>
    <row r="915" spans="2:29" x14ac:dyDescent="0.25">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c r="AA915" s="19"/>
      <c r="AB915" s="19"/>
      <c r="AC915" s="19"/>
    </row>
    <row r="916" spans="2:29" x14ac:dyDescent="0.25">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c r="AA916" s="19"/>
      <c r="AB916" s="19"/>
      <c r="AC916" s="19"/>
    </row>
    <row r="917" spans="2:29" x14ac:dyDescent="0.25">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c r="AA917" s="19"/>
      <c r="AB917" s="19"/>
      <c r="AC917" s="19"/>
    </row>
    <row r="918" spans="2:29" x14ac:dyDescent="0.25">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c r="AA918" s="19"/>
      <c r="AB918" s="19"/>
      <c r="AC918" s="19"/>
    </row>
    <row r="919" spans="2:29" x14ac:dyDescent="0.25">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c r="AA919" s="19"/>
      <c r="AB919" s="19"/>
      <c r="AC919" s="19"/>
    </row>
    <row r="920" spans="2:29" x14ac:dyDescent="0.25">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c r="AA920" s="19"/>
      <c r="AB920" s="19"/>
      <c r="AC920" s="19"/>
    </row>
    <row r="921" spans="2:29" x14ac:dyDescent="0.25">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c r="AA921" s="19"/>
      <c r="AB921" s="19"/>
      <c r="AC921" s="19"/>
    </row>
    <row r="922" spans="2:29" x14ac:dyDescent="0.25">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c r="AA922" s="19"/>
      <c r="AB922" s="19"/>
      <c r="AC922" s="19"/>
    </row>
    <row r="923" spans="2:29" x14ac:dyDescent="0.25">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c r="AA923" s="19"/>
      <c r="AB923" s="19"/>
      <c r="AC923" s="19"/>
    </row>
    <row r="924" spans="2:29" x14ac:dyDescent="0.25">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c r="AA924" s="19"/>
      <c r="AB924" s="19"/>
      <c r="AC924" s="19"/>
    </row>
    <row r="925" spans="2:29" x14ac:dyDescent="0.25">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c r="AA925" s="19"/>
      <c r="AB925" s="19"/>
      <c r="AC925" s="19"/>
    </row>
    <row r="926" spans="2:29" x14ac:dyDescent="0.25">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c r="AA926" s="19"/>
      <c r="AB926" s="19"/>
      <c r="AC926" s="19"/>
    </row>
    <row r="927" spans="2:29" x14ac:dyDescent="0.25">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c r="AA927" s="19"/>
      <c r="AB927" s="19"/>
      <c r="AC927" s="19"/>
    </row>
    <row r="928" spans="2:29" x14ac:dyDescent="0.25">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c r="AA928" s="19"/>
      <c r="AB928" s="19"/>
      <c r="AC928" s="19"/>
    </row>
    <row r="929" spans="2:29" x14ac:dyDescent="0.25">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c r="AA929" s="19"/>
      <c r="AB929" s="19"/>
      <c r="AC929" s="19"/>
    </row>
    <row r="930" spans="2:29" x14ac:dyDescent="0.25">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c r="AA930" s="19"/>
      <c r="AB930" s="19"/>
      <c r="AC930" s="19"/>
    </row>
    <row r="931" spans="2:29" x14ac:dyDescent="0.25">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c r="AA931" s="19"/>
      <c r="AB931" s="19"/>
      <c r="AC931" s="19"/>
    </row>
    <row r="932" spans="2:29" x14ac:dyDescent="0.25">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c r="AA932" s="19"/>
      <c r="AB932" s="19"/>
      <c r="AC932" s="19"/>
    </row>
    <row r="933" spans="2:29" x14ac:dyDescent="0.25">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c r="AA933" s="19"/>
      <c r="AB933" s="19"/>
      <c r="AC933" s="19"/>
    </row>
    <row r="934" spans="2:29" x14ac:dyDescent="0.25">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c r="AA934" s="19"/>
      <c r="AB934" s="19"/>
      <c r="AC934" s="19"/>
    </row>
    <row r="935" spans="2:29" x14ac:dyDescent="0.25">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c r="AA935" s="19"/>
      <c r="AB935" s="19"/>
      <c r="AC935" s="19"/>
    </row>
    <row r="936" spans="2:29" x14ac:dyDescent="0.25">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c r="AA936" s="19"/>
      <c r="AB936" s="19"/>
      <c r="AC936" s="19"/>
    </row>
    <row r="937" spans="2:29" x14ac:dyDescent="0.25">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c r="AA937" s="19"/>
      <c r="AB937" s="19"/>
      <c r="AC937" s="19"/>
    </row>
    <row r="938" spans="2:29" x14ac:dyDescent="0.25">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c r="AA938" s="19"/>
      <c r="AB938" s="19"/>
      <c r="AC938" s="19"/>
    </row>
    <row r="939" spans="2:29" x14ac:dyDescent="0.25">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c r="AA939" s="19"/>
      <c r="AB939" s="19"/>
      <c r="AC939" s="19"/>
    </row>
    <row r="940" spans="2:29" x14ac:dyDescent="0.25">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c r="AA940" s="19"/>
      <c r="AB940" s="19"/>
      <c r="AC940" s="19"/>
    </row>
    <row r="941" spans="2:29" x14ac:dyDescent="0.25">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c r="AA941" s="19"/>
      <c r="AB941" s="19"/>
      <c r="AC941" s="19"/>
    </row>
    <row r="942" spans="2:29" x14ac:dyDescent="0.25">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c r="AA942" s="19"/>
      <c r="AB942" s="19"/>
      <c r="AC942" s="19"/>
    </row>
    <row r="943" spans="2:29" x14ac:dyDescent="0.25">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c r="AA943" s="19"/>
      <c r="AB943" s="19"/>
      <c r="AC943" s="19"/>
    </row>
    <row r="944" spans="2:29" x14ac:dyDescent="0.25">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c r="AA944" s="19"/>
      <c r="AB944" s="19"/>
      <c r="AC944" s="19"/>
    </row>
    <row r="945" spans="2:29" x14ac:dyDescent="0.25">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c r="AA945" s="19"/>
      <c r="AB945" s="19"/>
      <c r="AC945" s="19"/>
    </row>
    <row r="946" spans="2:29" x14ac:dyDescent="0.25">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c r="AA946" s="19"/>
      <c r="AB946" s="19"/>
      <c r="AC946" s="19"/>
    </row>
    <row r="947" spans="2:29" x14ac:dyDescent="0.25">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c r="AA947" s="19"/>
      <c r="AB947" s="19"/>
      <c r="AC947" s="19"/>
    </row>
    <row r="948" spans="2:29" x14ac:dyDescent="0.25">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c r="AA948" s="19"/>
      <c r="AB948" s="19"/>
      <c r="AC948" s="19"/>
    </row>
    <row r="949" spans="2:29" x14ac:dyDescent="0.25">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c r="AA949" s="19"/>
      <c r="AB949" s="19"/>
      <c r="AC949" s="19"/>
    </row>
    <row r="950" spans="2:29" x14ac:dyDescent="0.25">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c r="AA950" s="19"/>
      <c r="AB950" s="19"/>
      <c r="AC950" s="19"/>
    </row>
    <row r="951" spans="2:29" x14ac:dyDescent="0.25">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c r="AA951" s="19"/>
      <c r="AB951" s="19"/>
      <c r="AC951" s="19"/>
    </row>
    <row r="952" spans="2:29" x14ac:dyDescent="0.25">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c r="AA952" s="19"/>
      <c r="AB952" s="19"/>
      <c r="AC952" s="19"/>
    </row>
    <row r="953" spans="2:29" x14ac:dyDescent="0.25">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c r="AA953" s="19"/>
      <c r="AB953" s="19"/>
      <c r="AC953" s="19"/>
    </row>
    <row r="954" spans="2:29" x14ac:dyDescent="0.25">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c r="AA954" s="19"/>
      <c r="AB954" s="19"/>
      <c r="AC954" s="19"/>
    </row>
    <row r="955" spans="2:29" x14ac:dyDescent="0.25">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c r="AA955" s="19"/>
      <c r="AB955" s="19"/>
      <c r="AC955" s="19"/>
    </row>
    <row r="956" spans="2:29" x14ac:dyDescent="0.25">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c r="AA956" s="19"/>
      <c r="AB956" s="19"/>
      <c r="AC956" s="19"/>
    </row>
    <row r="957" spans="2:29" x14ac:dyDescent="0.25">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c r="AA957" s="19"/>
      <c r="AB957" s="19"/>
      <c r="AC957" s="19"/>
    </row>
    <row r="958" spans="2:29" x14ac:dyDescent="0.25">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c r="AA958" s="19"/>
      <c r="AB958" s="19"/>
      <c r="AC958" s="19"/>
    </row>
    <row r="959" spans="2:29" x14ac:dyDescent="0.25">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c r="AA959" s="19"/>
      <c r="AB959" s="19"/>
      <c r="AC959" s="19"/>
    </row>
    <row r="960" spans="2:29" x14ac:dyDescent="0.25">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c r="AA960" s="19"/>
      <c r="AB960" s="19"/>
      <c r="AC960" s="19"/>
    </row>
    <row r="961" spans="2:29" x14ac:dyDescent="0.25">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c r="AA961" s="19"/>
      <c r="AB961" s="19"/>
      <c r="AC961" s="19"/>
    </row>
    <row r="962" spans="2:29" x14ac:dyDescent="0.25">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c r="AA962" s="19"/>
      <c r="AB962" s="19"/>
      <c r="AC962" s="19"/>
    </row>
    <row r="963" spans="2:29" x14ac:dyDescent="0.25">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c r="AA963" s="19"/>
      <c r="AB963" s="19"/>
      <c r="AC963" s="19"/>
    </row>
    <row r="964" spans="2:29" x14ac:dyDescent="0.25">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c r="AA964" s="19"/>
      <c r="AB964" s="19"/>
      <c r="AC964" s="19"/>
    </row>
    <row r="965" spans="2:29" x14ac:dyDescent="0.25">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c r="AA965" s="19"/>
      <c r="AB965" s="19"/>
      <c r="AC965" s="19"/>
    </row>
    <row r="966" spans="2:29" x14ac:dyDescent="0.25">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c r="AA966" s="19"/>
      <c r="AB966" s="19"/>
      <c r="AC966" s="19"/>
    </row>
    <row r="967" spans="2:29" x14ac:dyDescent="0.25">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c r="AA967" s="19"/>
      <c r="AB967" s="19"/>
      <c r="AC967" s="19"/>
    </row>
    <row r="968" spans="2:29" x14ac:dyDescent="0.25">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c r="AA968" s="19"/>
      <c r="AB968" s="19"/>
      <c r="AC968" s="19"/>
    </row>
    <row r="969" spans="2:29" x14ac:dyDescent="0.25">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c r="AA969" s="19"/>
      <c r="AB969" s="19"/>
      <c r="AC969" s="19"/>
    </row>
    <row r="970" spans="2:29" x14ac:dyDescent="0.25">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c r="AA970" s="19"/>
      <c r="AB970" s="19"/>
      <c r="AC970" s="19"/>
    </row>
    <row r="971" spans="2:29" x14ac:dyDescent="0.25">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c r="AA971" s="19"/>
      <c r="AB971" s="19"/>
      <c r="AC971" s="19"/>
    </row>
    <row r="972" spans="2:29" x14ac:dyDescent="0.25">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c r="AA972" s="19"/>
      <c r="AB972" s="19"/>
      <c r="AC972" s="19"/>
    </row>
    <row r="973" spans="2:29" x14ac:dyDescent="0.25">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c r="AA973" s="19"/>
      <c r="AB973" s="19"/>
      <c r="AC973" s="19"/>
    </row>
    <row r="974" spans="2:29" x14ac:dyDescent="0.25">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c r="AA974" s="19"/>
      <c r="AB974" s="19"/>
      <c r="AC974" s="19"/>
    </row>
    <row r="975" spans="2:29" x14ac:dyDescent="0.25">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c r="AA975" s="19"/>
      <c r="AB975" s="19"/>
      <c r="AC975" s="19"/>
    </row>
    <row r="976" spans="2:29" x14ac:dyDescent="0.25">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c r="AA976" s="19"/>
      <c r="AB976" s="19"/>
      <c r="AC976" s="19"/>
    </row>
    <row r="977" spans="2:29" x14ac:dyDescent="0.25">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c r="AA977" s="19"/>
      <c r="AB977" s="19"/>
      <c r="AC977" s="19"/>
    </row>
    <row r="978" spans="2:29" x14ac:dyDescent="0.25">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c r="AA978" s="19"/>
      <c r="AB978" s="19"/>
      <c r="AC978" s="19"/>
    </row>
    <row r="979" spans="2:29" x14ac:dyDescent="0.25">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c r="AA979" s="19"/>
      <c r="AB979" s="19"/>
      <c r="AC979" s="19"/>
    </row>
    <row r="980" spans="2:29" x14ac:dyDescent="0.25">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c r="AA980" s="19"/>
      <c r="AB980" s="19"/>
      <c r="AC980" s="19"/>
    </row>
    <row r="981" spans="2:29" x14ac:dyDescent="0.25">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c r="AA981" s="19"/>
      <c r="AB981" s="19"/>
      <c r="AC981" s="19"/>
    </row>
    <row r="982" spans="2:29" x14ac:dyDescent="0.25">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c r="AA982" s="19"/>
      <c r="AB982" s="19"/>
      <c r="AC982" s="19"/>
    </row>
    <row r="983" spans="2:29" x14ac:dyDescent="0.25">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c r="AA983" s="19"/>
      <c r="AB983" s="19"/>
      <c r="AC983" s="19"/>
    </row>
    <row r="984" spans="2:29" x14ac:dyDescent="0.25">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c r="AA984" s="19"/>
      <c r="AB984" s="19"/>
      <c r="AC984" s="19"/>
    </row>
    <row r="985" spans="2:29" x14ac:dyDescent="0.25">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c r="AA985" s="19"/>
      <c r="AB985" s="19"/>
      <c r="AC985" s="19"/>
    </row>
    <row r="986" spans="2:29" x14ac:dyDescent="0.25">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c r="AA986" s="19"/>
      <c r="AB986" s="19"/>
      <c r="AC986" s="19"/>
    </row>
    <row r="987" spans="2:29" x14ac:dyDescent="0.25">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c r="AA987" s="19"/>
      <c r="AB987" s="19"/>
      <c r="AC987" s="19"/>
    </row>
    <row r="988" spans="2:29" x14ac:dyDescent="0.25">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c r="AA988" s="19"/>
      <c r="AB988" s="19"/>
      <c r="AC988" s="19"/>
    </row>
    <row r="989" spans="2:29" x14ac:dyDescent="0.25">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c r="AA989" s="19"/>
      <c r="AB989" s="19"/>
      <c r="AC989" s="19"/>
    </row>
    <row r="990" spans="2:29" x14ac:dyDescent="0.25">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c r="AA990" s="19"/>
      <c r="AB990" s="19"/>
      <c r="AC990" s="19"/>
    </row>
    <row r="991" spans="2:29" x14ac:dyDescent="0.25">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c r="AA991" s="19"/>
      <c r="AB991" s="19"/>
      <c r="AC991" s="19"/>
    </row>
    <row r="992" spans="2:29" x14ac:dyDescent="0.25">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c r="AA992" s="19"/>
      <c r="AB992" s="19"/>
      <c r="AC992" s="19"/>
    </row>
    <row r="993" spans="2:29" x14ac:dyDescent="0.25">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c r="AA993" s="19"/>
      <c r="AB993" s="19"/>
      <c r="AC993" s="19"/>
    </row>
    <row r="994" spans="2:29" x14ac:dyDescent="0.25">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c r="AA994" s="19"/>
      <c r="AB994" s="19"/>
      <c r="AC994" s="19"/>
    </row>
    <row r="995" spans="2:29" x14ac:dyDescent="0.25">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c r="AA995" s="19"/>
      <c r="AB995" s="19"/>
      <c r="AC995" s="19"/>
    </row>
    <row r="996" spans="2:29" x14ac:dyDescent="0.25">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c r="AA996" s="19"/>
      <c r="AB996" s="19"/>
      <c r="AC996" s="19"/>
    </row>
    <row r="997" spans="2:29" x14ac:dyDescent="0.25">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c r="AA997" s="19"/>
      <c r="AB997" s="19"/>
      <c r="AC997" s="19"/>
    </row>
    <row r="998" spans="2:29" x14ac:dyDescent="0.25">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c r="AA998" s="19"/>
      <c r="AB998" s="19"/>
      <c r="AC998" s="19"/>
    </row>
    <row r="999" spans="2:29" x14ac:dyDescent="0.25">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c r="AA999" s="19"/>
      <c r="AB999" s="19"/>
      <c r="AC999" s="19"/>
    </row>
    <row r="1000" spans="2:29" x14ac:dyDescent="0.25">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c r="AA1000" s="19"/>
      <c r="AB1000" s="19"/>
      <c r="AC1000" s="19"/>
    </row>
    <row r="1001" spans="2:29" x14ac:dyDescent="0.25">
      <c r="B1001" s="19"/>
      <c r="C1001" s="19"/>
      <c r="D1001" s="19"/>
      <c r="E1001" s="19"/>
      <c r="F1001" s="19"/>
      <c r="G1001" s="19"/>
      <c r="H1001" s="19"/>
      <c r="I1001" s="19"/>
      <c r="J1001" s="19"/>
      <c r="K1001" s="19"/>
      <c r="L1001" s="19"/>
      <c r="M1001" s="19"/>
      <c r="N1001" s="19"/>
      <c r="O1001" s="19"/>
      <c r="P1001" s="19"/>
      <c r="Q1001" s="19"/>
      <c r="R1001" s="19"/>
      <c r="S1001" s="19"/>
      <c r="T1001" s="19"/>
      <c r="U1001" s="19"/>
      <c r="V1001" s="19"/>
      <c r="W1001" s="19"/>
      <c r="X1001" s="19"/>
      <c r="Y1001" s="19"/>
      <c r="Z1001" s="19"/>
      <c r="AA1001" s="19"/>
      <c r="AB1001" s="19"/>
      <c r="AC1001" s="19"/>
    </row>
    <row r="1002" spans="2:29" x14ac:dyDescent="0.25">
      <c r="B1002" s="19"/>
      <c r="C1002" s="19"/>
      <c r="D1002" s="19"/>
      <c r="E1002" s="19"/>
      <c r="F1002" s="19"/>
      <c r="G1002" s="19"/>
      <c r="H1002" s="19"/>
      <c r="I1002" s="19"/>
      <c r="J1002" s="19"/>
      <c r="K1002" s="19"/>
      <c r="L1002" s="19"/>
      <c r="M1002" s="19"/>
      <c r="N1002" s="19"/>
      <c r="O1002" s="19"/>
      <c r="P1002" s="19"/>
      <c r="Q1002" s="19"/>
      <c r="R1002" s="19"/>
      <c r="S1002" s="19"/>
      <c r="T1002" s="19"/>
      <c r="U1002" s="19"/>
      <c r="V1002" s="19"/>
      <c r="W1002" s="19"/>
      <c r="X1002" s="19"/>
      <c r="Y1002" s="19"/>
      <c r="Z1002" s="19"/>
      <c r="AA1002" s="19"/>
      <c r="AB1002" s="19"/>
      <c r="AC1002" s="19"/>
    </row>
    <row r="1003" spans="2:29" x14ac:dyDescent="0.25">
      <c r="B1003" s="19"/>
      <c r="C1003" s="19"/>
      <c r="D1003" s="19"/>
      <c r="E1003" s="19"/>
      <c r="F1003" s="19"/>
      <c r="G1003" s="19"/>
      <c r="H1003" s="19"/>
      <c r="I1003" s="19"/>
      <c r="J1003" s="19"/>
      <c r="K1003" s="19"/>
      <c r="L1003" s="19"/>
      <c r="M1003" s="19"/>
      <c r="N1003" s="19"/>
      <c r="O1003" s="19"/>
      <c r="P1003" s="19"/>
      <c r="Q1003" s="19"/>
      <c r="R1003" s="19"/>
      <c r="S1003" s="19"/>
      <c r="T1003" s="19"/>
      <c r="U1003" s="19"/>
      <c r="V1003" s="19"/>
      <c r="W1003" s="19"/>
      <c r="X1003" s="19"/>
      <c r="Y1003" s="19"/>
      <c r="Z1003" s="19"/>
      <c r="AA1003" s="19"/>
      <c r="AB1003" s="19"/>
      <c r="AC1003" s="19"/>
    </row>
    <row r="1004" spans="2:29" x14ac:dyDescent="0.25">
      <c r="B1004" s="19"/>
      <c r="C1004" s="19"/>
      <c r="D1004" s="19"/>
      <c r="E1004" s="19"/>
      <c r="F1004" s="19"/>
      <c r="G1004" s="19"/>
      <c r="H1004" s="19"/>
      <c r="I1004" s="19"/>
      <c r="J1004" s="19"/>
      <c r="K1004" s="19"/>
      <c r="L1004" s="19"/>
      <c r="M1004" s="19"/>
      <c r="N1004" s="19"/>
      <c r="O1004" s="19"/>
      <c r="P1004" s="19"/>
      <c r="Q1004" s="19"/>
      <c r="R1004" s="19"/>
      <c r="S1004" s="19"/>
      <c r="T1004" s="19"/>
      <c r="U1004" s="19"/>
      <c r="V1004" s="19"/>
      <c r="W1004" s="19"/>
      <c r="X1004" s="19"/>
      <c r="Y1004" s="19"/>
      <c r="Z1004" s="19"/>
      <c r="AA1004" s="19"/>
      <c r="AB1004" s="19"/>
      <c r="AC1004" s="19"/>
    </row>
    <row r="1005" spans="2:29" x14ac:dyDescent="0.25">
      <c r="B1005" s="19"/>
      <c r="C1005" s="19"/>
      <c r="D1005" s="19"/>
      <c r="E1005" s="19"/>
      <c r="F1005" s="19"/>
      <c r="G1005" s="19"/>
      <c r="H1005" s="19"/>
      <c r="I1005" s="19"/>
      <c r="J1005" s="19"/>
      <c r="K1005" s="19"/>
      <c r="L1005" s="19"/>
      <c r="M1005" s="19"/>
      <c r="N1005" s="19"/>
      <c r="O1005" s="19"/>
      <c r="P1005" s="19"/>
      <c r="Q1005" s="19"/>
      <c r="R1005" s="19"/>
      <c r="S1005" s="19"/>
      <c r="T1005" s="19"/>
      <c r="U1005" s="19"/>
      <c r="V1005" s="19"/>
      <c r="W1005" s="19"/>
      <c r="X1005" s="19"/>
      <c r="Y1005" s="19"/>
      <c r="Z1005" s="19"/>
      <c r="AA1005" s="19"/>
      <c r="AB1005" s="19"/>
      <c r="AC1005" s="19"/>
    </row>
    <row r="1006" spans="2:29" x14ac:dyDescent="0.25">
      <c r="B1006" s="19"/>
      <c r="C1006" s="19"/>
      <c r="D1006" s="19"/>
      <c r="E1006" s="19"/>
      <c r="F1006" s="19"/>
      <c r="G1006" s="19"/>
      <c r="H1006" s="19"/>
      <c r="I1006" s="19"/>
      <c r="J1006" s="19"/>
      <c r="K1006" s="19"/>
      <c r="L1006" s="19"/>
      <c r="M1006" s="19"/>
      <c r="N1006" s="19"/>
      <c r="O1006" s="19"/>
      <c r="P1006" s="19"/>
      <c r="Q1006" s="19"/>
      <c r="R1006" s="19"/>
      <c r="S1006" s="19"/>
      <c r="T1006" s="19"/>
      <c r="U1006" s="19"/>
      <c r="V1006" s="19"/>
      <c r="W1006" s="19"/>
      <c r="X1006" s="19"/>
      <c r="Y1006" s="19"/>
      <c r="Z1006" s="19"/>
      <c r="AA1006" s="19"/>
      <c r="AB1006" s="19"/>
      <c r="AC1006" s="19"/>
    </row>
    <row r="1007" spans="2:29" x14ac:dyDescent="0.25">
      <c r="B1007" s="19"/>
      <c r="C1007" s="19"/>
      <c r="D1007" s="19"/>
      <c r="E1007" s="19"/>
      <c r="F1007" s="19"/>
      <c r="G1007" s="19"/>
      <c r="H1007" s="19"/>
      <c r="I1007" s="19"/>
      <c r="J1007" s="19"/>
      <c r="K1007" s="19"/>
      <c r="L1007" s="19"/>
      <c r="M1007" s="19"/>
      <c r="N1007" s="19"/>
      <c r="O1007" s="19"/>
      <c r="P1007" s="19"/>
      <c r="Q1007" s="19"/>
      <c r="R1007" s="19"/>
      <c r="S1007" s="19"/>
      <c r="T1007" s="19"/>
      <c r="U1007" s="19"/>
      <c r="V1007" s="19"/>
      <c r="W1007" s="19"/>
      <c r="X1007" s="19"/>
      <c r="Y1007" s="19"/>
      <c r="Z1007" s="19"/>
      <c r="AA1007" s="19"/>
      <c r="AB1007" s="19"/>
      <c r="AC1007" s="19"/>
    </row>
    <row r="1008" spans="2:29" x14ac:dyDescent="0.25">
      <c r="B1008" s="19"/>
      <c r="C1008" s="19"/>
      <c r="D1008" s="19"/>
      <c r="E1008" s="19"/>
      <c r="F1008" s="19"/>
      <c r="G1008" s="19"/>
      <c r="H1008" s="19"/>
      <c r="I1008" s="19"/>
      <c r="J1008" s="19"/>
      <c r="K1008" s="19"/>
      <c r="L1008" s="19"/>
      <c r="M1008" s="19"/>
      <c r="N1008" s="19"/>
      <c r="O1008" s="19"/>
      <c r="P1008" s="19"/>
      <c r="Q1008" s="19"/>
      <c r="R1008" s="19"/>
      <c r="S1008" s="19"/>
      <c r="T1008" s="19"/>
      <c r="U1008" s="19"/>
      <c r="V1008" s="19"/>
      <c r="W1008" s="19"/>
      <c r="X1008" s="19"/>
      <c r="Y1008" s="19"/>
      <c r="Z1008" s="19"/>
      <c r="AA1008" s="19"/>
      <c r="AB1008" s="19"/>
      <c r="AC1008" s="19"/>
    </row>
    <row r="1009" spans="2:29" x14ac:dyDescent="0.25">
      <c r="B1009" s="19"/>
      <c r="C1009" s="19"/>
      <c r="D1009" s="19"/>
      <c r="E1009" s="19"/>
      <c r="F1009" s="19"/>
      <c r="G1009" s="19"/>
      <c r="H1009" s="19"/>
      <c r="I1009" s="19"/>
      <c r="J1009" s="19"/>
      <c r="K1009" s="19"/>
      <c r="L1009" s="19"/>
      <c r="M1009" s="19"/>
      <c r="N1009" s="19"/>
      <c r="O1009" s="19"/>
      <c r="P1009" s="19"/>
      <c r="Q1009" s="19"/>
      <c r="R1009" s="19"/>
      <c r="S1009" s="19"/>
      <c r="T1009" s="19"/>
      <c r="U1009" s="19"/>
      <c r="V1009" s="19"/>
      <c r="W1009" s="19"/>
      <c r="X1009" s="19"/>
      <c r="Y1009" s="19"/>
      <c r="Z1009" s="19"/>
      <c r="AA1009" s="19"/>
      <c r="AB1009" s="19"/>
      <c r="AC1009" s="19"/>
    </row>
    <row r="1010" spans="2:29" x14ac:dyDescent="0.25">
      <c r="B1010" s="19"/>
      <c r="C1010" s="19"/>
      <c r="D1010" s="19"/>
      <c r="E1010" s="19"/>
      <c r="F1010" s="19"/>
      <c r="G1010" s="19"/>
      <c r="H1010" s="19"/>
      <c r="I1010" s="19"/>
      <c r="J1010" s="19"/>
      <c r="K1010" s="19"/>
      <c r="L1010" s="19"/>
      <c r="M1010" s="19"/>
      <c r="N1010" s="19"/>
      <c r="O1010" s="19"/>
      <c r="P1010" s="19"/>
      <c r="Q1010" s="19"/>
      <c r="R1010" s="19"/>
      <c r="S1010" s="19"/>
      <c r="T1010" s="19"/>
      <c r="U1010" s="19"/>
      <c r="V1010" s="19"/>
      <c r="W1010" s="19"/>
      <c r="X1010" s="19"/>
      <c r="Y1010" s="19"/>
      <c r="Z1010" s="19"/>
      <c r="AA1010" s="19"/>
      <c r="AB1010" s="19"/>
      <c r="AC1010" s="19"/>
    </row>
    <row r="1011" spans="2:29" x14ac:dyDescent="0.25">
      <c r="B1011" s="19"/>
      <c r="C1011" s="19"/>
      <c r="D1011" s="19"/>
      <c r="E1011" s="19"/>
      <c r="F1011" s="19"/>
      <c r="G1011" s="19"/>
      <c r="H1011" s="19"/>
      <c r="I1011" s="19"/>
      <c r="J1011" s="19"/>
      <c r="K1011" s="19"/>
      <c r="L1011" s="19"/>
      <c r="M1011" s="19"/>
      <c r="N1011" s="19"/>
      <c r="O1011" s="19"/>
      <c r="P1011" s="19"/>
      <c r="Q1011" s="19"/>
      <c r="R1011" s="19"/>
      <c r="S1011" s="19"/>
      <c r="T1011" s="19"/>
      <c r="U1011" s="19"/>
      <c r="V1011" s="19"/>
      <c r="W1011" s="19"/>
      <c r="X1011" s="19"/>
      <c r="Y1011" s="19"/>
      <c r="Z1011" s="19"/>
      <c r="AA1011" s="19"/>
      <c r="AB1011" s="19"/>
      <c r="AC1011" s="19"/>
    </row>
    <row r="1012" spans="2:29" x14ac:dyDescent="0.25">
      <c r="B1012" s="19"/>
      <c r="C1012" s="19"/>
      <c r="D1012" s="19"/>
      <c r="E1012" s="19"/>
      <c r="F1012" s="19"/>
      <c r="G1012" s="19"/>
      <c r="H1012" s="19"/>
      <c r="I1012" s="19"/>
      <c r="J1012" s="19"/>
      <c r="K1012" s="19"/>
      <c r="L1012" s="19"/>
      <c r="M1012" s="19"/>
      <c r="N1012" s="19"/>
      <c r="O1012" s="19"/>
      <c r="P1012" s="19"/>
      <c r="Q1012" s="19"/>
      <c r="R1012" s="19"/>
      <c r="S1012" s="19"/>
      <c r="T1012" s="19"/>
      <c r="U1012" s="19"/>
      <c r="V1012" s="19"/>
      <c r="W1012" s="19"/>
      <c r="X1012" s="19"/>
      <c r="Y1012" s="19"/>
      <c r="Z1012" s="19"/>
      <c r="AA1012" s="19"/>
      <c r="AB1012" s="19"/>
      <c r="AC1012" s="19"/>
    </row>
    <row r="1013" spans="2:29" x14ac:dyDescent="0.25">
      <c r="B1013" s="19"/>
      <c r="C1013" s="19"/>
      <c r="D1013" s="19"/>
      <c r="E1013" s="19"/>
      <c r="F1013" s="19"/>
      <c r="G1013" s="19"/>
      <c r="H1013" s="19"/>
      <c r="I1013" s="19"/>
      <c r="J1013" s="19"/>
      <c r="K1013" s="19"/>
      <c r="L1013" s="19"/>
      <c r="M1013" s="19"/>
      <c r="N1013" s="19"/>
      <c r="O1013" s="19"/>
      <c r="P1013" s="19"/>
      <c r="Q1013" s="19"/>
      <c r="R1013" s="19"/>
      <c r="S1013" s="19"/>
      <c r="T1013" s="19"/>
      <c r="U1013" s="19"/>
      <c r="V1013" s="19"/>
      <c r="W1013" s="19"/>
      <c r="X1013" s="19"/>
      <c r="Y1013" s="19"/>
      <c r="Z1013" s="19"/>
      <c r="AA1013" s="19"/>
      <c r="AB1013" s="19"/>
      <c r="AC1013" s="19"/>
    </row>
    <row r="1014" spans="2:29" x14ac:dyDescent="0.25">
      <c r="B1014" s="19"/>
      <c r="C1014" s="19"/>
      <c r="D1014" s="19"/>
      <c r="E1014" s="19"/>
      <c r="F1014" s="19"/>
      <c r="G1014" s="19"/>
      <c r="H1014" s="19"/>
      <c r="I1014" s="19"/>
      <c r="J1014" s="19"/>
      <c r="K1014" s="19"/>
      <c r="L1014" s="19"/>
      <c r="M1014" s="19"/>
      <c r="N1014" s="19"/>
      <c r="O1014" s="19"/>
      <c r="P1014" s="19"/>
      <c r="Q1014" s="19"/>
      <c r="R1014" s="19"/>
      <c r="S1014" s="19"/>
      <c r="T1014" s="19"/>
      <c r="U1014" s="19"/>
      <c r="V1014" s="19"/>
      <c r="W1014" s="19"/>
      <c r="X1014" s="19"/>
      <c r="Y1014" s="19"/>
      <c r="Z1014" s="19"/>
      <c r="AA1014" s="19"/>
      <c r="AB1014" s="19"/>
      <c r="AC1014" s="19"/>
    </row>
    <row r="1015" spans="2:29" x14ac:dyDescent="0.25">
      <c r="B1015" s="19"/>
      <c r="C1015" s="19"/>
      <c r="D1015" s="19"/>
      <c r="E1015" s="19"/>
      <c r="F1015" s="19"/>
      <c r="G1015" s="19"/>
      <c r="H1015" s="19"/>
      <c r="I1015" s="19"/>
      <c r="J1015" s="19"/>
      <c r="K1015" s="19"/>
      <c r="L1015" s="19"/>
      <c r="M1015" s="19"/>
      <c r="N1015" s="19"/>
      <c r="O1015" s="19"/>
      <c r="P1015" s="19"/>
      <c r="Q1015" s="19"/>
      <c r="R1015" s="19"/>
      <c r="S1015" s="19"/>
      <c r="T1015" s="19"/>
      <c r="U1015" s="19"/>
      <c r="V1015" s="19"/>
      <c r="W1015" s="19"/>
      <c r="X1015" s="19"/>
      <c r="Y1015" s="19"/>
      <c r="Z1015" s="19"/>
      <c r="AA1015" s="19"/>
      <c r="AB1015" s="19"/>
      <c r="AC1015" s="19"/>
    </row>
    <row r="1016" spans="2:29" x14ac:dyDescent="0.25">
      <c r="B1016" s="19"/>
      <c r="C1016" s="19"/>
      <c r="D1016" s="19"/>
      <c r="E1016" s="19"/>
      <c r="F1016" s="19"/>
      <c r="G1016" s="19"/>
      <c r="H1016" s="19"/>
      <c r="I1016" s="19"/>
      <c r="J1016" s="19"/>
      <c r="K1016" s="19"/>
      <c r="L1016" s="19"/>
      <c r="M1016" s="19"/>
      <c r="N1016" s="19"/>
      <c r="O1016" s="19"/>
      <c r="P1016" s="19"/>
      <c r="Q1016" s="19"/>
      <c r="R1016" s="19"/>
      <c r="S1016" s="19"/>
      <c r="T1016" s="19"/>
      <c r="U1016" s="19"/>
      <c r="V1016" s="19"/>
      <c r="W1016" s="19"/>
      <c r="X1016" s="19"/>
      <c r="Y1016" s="19"/>
      <c r="Z1016" s="19"/>
      <c r="AA1016" s="19"/>
      <c r="AB1016" s="19"/>
      <c r="AC1016" s="19"/>
    </row>
    <row r="1017" spans="2:29" x14ac:dyDescent="0.25">
      <c r="B1017" s="19"/>
      <c r="C1017" s="19"/>
      <c r="D1017" s="19"/>
      <c r="E1017" s="19"/>
      <c r="F1017" s="19"/>
      <c r="G1017" s="19"/>
      <c r="H1017" s="19"/>
      <c r="I1017" s="19"/>
      <c r="J1017" s="19"/>
      <c r="K1017" s="19"/>
      <c r="L1017" s="19"/>
      <c r="M1017" s="19"/>
      <c r="N1017" s="19"/>
      <c r="O1017" s="19"/>
      <c r="P1017" s="19"/>
      <c r="Q1017" s="19"/>
      <c r="R1017" s="19"/>
      <c r="S1017" s="19"/>
      <c r="T1017" s="19"/>
      <c r="U1017" s="19"/>
      <c r="V1017" s="19"/>
      <c r="W1017" s="19"/>
      <c r="X1017" s="19"/>
      <c r="Y1017" s="19"/>
      <c r="Z1017" s="19"/>
      <c r="AA1017" s="19"/>
      <c r="AB1017" s="19"/>
      <c r="AC1017" s="19"/>
    </row>
    <row r="1018" spans="2:29" x14ac:dyDescent="0.25">
      <c r="B1018" s="19"/>
      <c r="C1018" s="19"/>
      <c r="D1018" s="19"/>
      <c r="E1018" s="19"/>
      <c r="F1018" s="19"/>
      <c r="G1018" s="19"/>
      <c r="H1018" s="19"/>
      <c r="I1018" s="19"/>
      <c r="J1018" s="19"/>
      <c r="K1018" s="19"/>
      <c r="L1018" s="19"/>
      <c r="M1018" s="19"/>
      <c r="N1018" s="19"/>
      <c r="O1018" s="19"/>
      <c r="P1018" s="19"/>
      <c r="Q1018" s="19"/>
      <c r="R1018" s="19"/>
      <c r="S1018" s="19"/>
      <c r="T1018" s="19"/>
      <c r="U1018" s="19"/>
      <c r="V1018" s="19"/>
      <c r="W1018" s="19"/>
      <c r="X1018" s="19"/>
      <c r="Y1018" s="19"/>
      <c r="Z1018" s="19"/>
      <c r="AA1018" s="19"/>
      <c r="AB1018" s="19"/>
      <c r="AC1018" s="19"/>
    </row>
    <row r="1019" spans="2:29" x14ac:dyDescent="0.25">
      <c r="B1019" s="19"/>
      <c r="C1019" s="19"/>
      <c r="D1019" s="19"/>
      <c r="E1019" s="19"/>
      <c r="F1019" s="19"/>
      <c r="G1019" s="19"/>
      <c r="H1019" s="19"/>
      <c r="I1019" s="19"/>
      <c r="J1019" s="19"/>
      <c r="K1019" s="19"/>
      <c r="L1019" s="19"/>
      <c r="M1019" s="19"/>
      <c r="N1019" s="19"/>
      <c r="O1019" s="19"/>
      <c r="P1019" s="19"/>
      <c r="Q1019" s="19"/>
      <c r="R1019" s="19"/>
      <c r="S1019" s="19"/>
      <c r="T1019" s="19"/>
      <c r="U1019" s="19"/>
      <c r="V1019" s="19"/>
      <c r="W1019" s="19"/>
      <c r="X1019" s="19"/>
      <c r="Y1019" s="19"/>
      <c r="Z1019" s="19"/>
      <c r="AA1019" s="19"/>
      <c r="AB1019" s="19"/>
      <c r="AC1019" s="19"/>
    </row>
    <row r="1020" spans="2:29" x14ac:dyDescent="0.25">
      <c r="B1020" s="19"/>
      <c r="C1020" s="19"/>
      <c r="D1020" s="19"/>
      <c r="E1020" s="19"/>
      <c r="F1020" s="19"/>
      <c r="G1020" s="19"/>
      <c r="H1020" s="19"/>
      <c r="I1020" s="19"/>
      <c r="J1020" s="19"/>
      <c r="K1020" s="19"/>
      <c r="L1020" s="19"/>
      <c r="M1020" s="19"/>
      <c r="N1020" s="19"/>
      <c r="O1020" s="19"/>
      <c r="P1020" s="19"/>
      <c r="Q1020" s="19"/>
      <c r="R1020" s="19"/>
      <c r="S1020" s="19"/>
      <c r="T1020" s="19"/>
      <c r="U1020" s="19"/>
      <c r="V1020" s="19"/>
      <c r="W1020" s="19"/>
      <c r="X1020" s="19"/>
      <c r="Y1020" s="19"/>
      <c r="Z1020" s="19"/>
      <c r="AA1020" s="19"/>
      <c r="AB1020" s="19"/>
      <c r="AC1020" s="19"/>
    </row>
    <row r="1021" spans="2:29" x14ac:dyDescent="0.25">
      <c r="B1021" s="19"/>
      <c r="C1021" s="19"/>
      <c r="D1021" s="19"/>
      <c r="E1021" s="19"/>
      <c r="F1021" s="19"/>
      <c r="G1021" s="19"/>
      <c r="H1021" s="19"/>
      <c r="I1021" s="19"/>
      <c r="J1021" s="19"/>
      <c r="K1021" s="19"/>
      <c r="L1021" s="19"/>
      <c r="M1021" s="19"/>
      <c r="N1021" s="19"/>
      <c r="O1021" s="19"/>
      <c r="P1021" s="19"/>
      <c r="Q1021" s="19"/>
      <c r="R1021" s="19"/>
      <c r="S1021" s="19"/>
      <c r="T1021" s="19"/>
      <c r="U1021" s="19"/>
      <c r="V1021" s="19"/>
      <c r="W1021" s="19"/>
      <c r="X1021" s="19"/>
      <c r="Y1021" s="19"/>
      <c r="Z1021" s="19"/>
      <c r="AA1021" s="19"/>
      <c r="AB1021" s="19"/>
      <c r="AC1021" s="19"/>
    </row>
    <row r="1022" spans="2:29" x14ac:dyDescent="0.25">
      <c r="B1022" s="19"/>
      <c r="C1022" s="19"/>
      <c r="D1022" s="19"/>
      <c r="E1022" s="19"/>
      <c r="F1022" s="19"/>
      <c r="G1022" s="19"/>
      <c r="H1022" s="19"/>
      <c r="I1022" s="19"/>
      <c r="J1022" s="19"/>
      <c r="K1022" s="19"/>
      <c r="L1022" s="19"/>
      <c r="M1022" s="19"/>
      <c r="N1022" s="19"/>
      <c r="O1022" s="19"/>
      <c r="P1022" s="19"/>
      <c r="Q1022" s="19"/>
      <c r="R1022" s="19"/>
      <c r="S1022" s="19"/>
      <c r="T1022" s="19"/>
      <c r="U1022" s="19"/>
      <c r="V1022" s="19"/>
      <c r="W1022" s="19"/>
      <c r="X1022" s="19"/>
      <c r="Y1022" s="19"/>
      <c r="Z1022" s="19"/>
      <c r="AA1022" s="19"/>
      <c r="AB1022" s="19"/>
      <c r="AC1022" s="19"/>
    </row>
    <row r="1023" spans="2:29" x14ac:dyDescent="0.25">
      <c r="B1023" s="19"/>
      <c r="C1023" s="19"/>
      <c r="D1023" s="19"/>
      <c r="E1023" s="19"/>
      <c r="F1023" s="19"/>
      <c r="G1023" s="19"/>
      <c r="H1023" s="19"/>
      <c r="I1023" s="19"/>
      <c r="J1023" s="19"/>
      <c r="K1023" s="19"/>
      <c r="L1023" s="19"/>
      <c r="M1023" s="19"/>
      <c r="N1023" s="19"/>
      <c r="O1023" s="19"/>
      <c r="P1023" s="19"/>
      <c r="Q1023" s="19"/>
      <c r="R1023" s="19"/>
      <c r="S1023" s="19"/>
      <c r="T1023" s="19"/>
      <c r="U1023" s="19"/>
      <c r="V1023" s="19"/>
      <c r="W1023" s="19"/>
      <c r="X1023" s="19"/>
      <c r="Y1023" s="19"/>
      <c r="Z1023" s="19"/>
      <c r="AA1023" s="19"/>
      <c r="AB1023" s="19"/>
      <c r="AC1023" s="19"/>
    </row>
    <row r="1024" spans="2:29" x14ac:dyDescent="0.25">
      <c r="B1024" s="19"/>
      <c r="C1024" s="19"/>
      <c r="D1024" s="19"/>
      <c r="E1024" s="19"/>
      <c r="F1024" s="19"/>
      <c r="G1024" s="19"/>
      <c r="H1024" s="19"/>
      <c r="I1024" s="19"/>
      <c r="J1024" s="19"/>
      <c r="K1024" s="19"/>
      <c r="L1024" s="19"/>
      <c r="M1024" s="19"/>
      <c r="N1024" s="19"/>
      <c r="O1024" s="19"/>
      <c r="P1024" s="19"/>
      <c r="Q1024" s="19"/>
      <c r="R1024" s="19"/>
      <c r="S1024" s="19"/>
      <c r="T1024" s="19"/>
      <c r="U1024" s="19"/>
      <c r="V1024" s="19"/>
      <c r="W1024" s="19"/>
      <c r="X1024" s="19"/>
      <c r="Y1024" s="19"/>
      <c r="Z1024" s="19"/>
      <c r="AA1024" s="19"/>
      <c r="AB1024" s="19"/>
      <c r="AC1024" s="19"/>
    </row>
    <row r="1025" spans="2:29" x14ac:dyDescent="0.25">
      <c r="B1025" s="19"/>
      <c r="C1025" s="19"/>
      <c r="D1025" s="19"/>
      <c r="E1025" s="19"/>
      <c r="F1025" s="19"/>
      <c r="G1025" s="19"/>
      <c r="H1025" s="19"/>
      <c r="I1025" s="19"/>
      <c r="J1025" s="19"/>
      <c r="K1025" s="19"/>
      <c r="L1025" s="19"/>
      <c r="M1025" s="19"/>
      <c r="N1025" s="19"/>
      <c r="O1025" s="19"/>
      <c r="P1025" s="19"/>
      <c r="Q1025" s="19"/>
      <c r="R1025" s="19"/>
      <c r="S1025" s="19"/>
      <c r="T1025" s="19"/>
      <c r="U1025" s="19"/>
      <c r="V1025" s="19"/>
      <c r="W1025" s="19"/>
      <c r="X1025" s="19"/>
      <c r="Y1025" s="19"/>
      <c r="Z1025" s="19"/>
      <c r="AA1025" s="19"/>
      <c r="AB1025" s="19"/>
      <c r="AC1025" s="19"/>
    </row>
    <row r="1026" spans="2:29" x14ac:dyDescent="0.25">
      <c r="B1026" s="19"/>
      <c r="C1026" s="19"/>
      <c r="D1026" s="19"/>
      <c r="E1026" s="19"/>
      <c r="F1026" s="19"/>
      <c r="G1026" s="19"/>
      <c r="H1026" s="19"/>
      <c r="I1026" s="19"/>
      <c r="J1026" s="19"/>
      <c r="K1026" s="19"/>
      <c r="L1026" s="19"/>
      <c r="M1026" s="19"/>
      <c r="N1026" s="19"/>
      <c r="O1026" s="19"/>
      <c r="P1026" s="19"/>
      <c r="Q1026" s="19"/>
      <c r="R1026" s="19"/>
      <c r="S1026" s="19"/>
      <c r="T1026" s="19"/>
      <c r="U1026" s="19"/>
      <c r="V1026" s="19"/>
      <c r="W1026" s="19"/>
      <c r="X1026" s="19"/>
      <c r="Y1026" s="19"/>
      <c r="Z1026" s="19"/>
      <c r="AA1026" s="19"/>
      <c r="AB1026" s="19"/>
      <c r="AC1026" s="19"/>
    </row>
    <row r="1027" spans="2:29" x14ac:dyDescent="0.25">
      <c r="B1027" s="19"/>
      <c r="C1027" s="19"/>
      <c r="D1027" s="19"/>
      <c r="E1027" s="19"/>
      <c r="F1027" s="19"/>
      <c r="G1027" s="19"/>
      <c r="H1027" s="19"/>
      <c r="I1027" s="19"/>
      <c r="J1027" s="19"/>
      <c r="K1027" s="19"/>
      <c r="L1027" s="19"/>
      <c r="M1027" s="19"/>
      <c r="N1027" s="19"/>
      <c r="O1027" s="19"/>
      <c r="P1027" s="19"/>
      <c r="Q1027" s="19"/>
      <c r="R1027" s="19"/>
      <c r="S1027" s="19"/>
      <c r="T1027" s="19"/>
      <c r="U1027" s="19"/>
      <c r="V1027" s="19"/>
      <c r="W1027" s="19"/>
      <c r="X1027" s="19"/>
      <c r="Y1027" s="19"/>
      <c r="Z1027" s="19"/>
      <c r="AA1027" s="19"/>
      <c r="AB1027" s="19"/>
      <c r="AC1027" s="19"/>
    </row>
    <row r="1028" spans="2:29" x14ac:dyDescent="0.25">
      <c r="B1028" s="19"/>
      <c r="C1028" s="19"/>
      <c r="D1028" s="19"/>
      <c r="E1028" s="19"/>
      <c r="F1028" s="19"/>
      <c r="G1028" s="19"/>
      <c r="H1028" s="19"/>
      <c r="I1028" s="19"/>
      <c r="J1028" s="19"/>
      <c r="K1028" s="19"/>
      <c r="L1028" s="19"/>
      <c r="M1028" s="19"/>
      <c r="N1028" s="19"/>
      <c r="O1028" s="19"/>
      <c r="P1028" s="19"/>
      <c r="Q1028" s="19"/>
      <c r="R1028" s="19"/>
      <c r="S1028" s="19"/>
      <c r="T1028" s="19"/>
      <c r="U1028" s="19"/>
      <c r="V1028" s="19"/>
      <c r="W1028" s="19"/>
      <c r="X1028" s="19"/>
      <c r="Y1028" s="19"/>
      <c r="Z1028" s="19"/>
      <c r="AA1028" s="19"/>
      <c r="AB1028" s="19"/>
      <c r="AC1028" s="19"/>
    </row>
    <row r="1029" spans="2:29" x14ac:dyDescent="0.25">
      <c r="B1029" s="19"/>
      <c r="C1029" s="19"/>
      <c r="D1029" s="19"/>
      <c r="E1029" s="19"/>
      <c r="F1029" s="19"/>
      <c r="G1029" s="19"/>
      <c r="H1029" s="19"/>
      <c r="I1029" s="19"/>
      <c r="J1029" s="19"/>
      <c r="K1029" s="19"/>
      <c r="L1029" s="19"/>
      <c r="M1029" s="19"/>
      <c r="N1029" s="19"/>
      <c r="O1029" s="19"/>
      <c r="P1029" s="19"/>
      <c r="Q1029" s="19"/>
      <c r="R1029" s="19"/>
      <c r="S1029" s="19"/>
      <c r="T1029" s="19"/>
      <c r="U1029" s="19"/>
      <c r="V1029" s="19"/>
      <c r="W1029" s="19"/>
      <c r="X1029" s="19"/>
      <c r="Y1029" s="19"/>
      <c r="Z1029" s="19"/>
      <c r="AA1029" s="19"/>
      <c r="AB1029" s="19"/>
      <c r="AC1029" s="19"/>
    </row>
    <row r="1030" spans="2:29" x14ac:dyDescent="0.25">
      <c r="B1030" s="19"/>
      <c r="C1030" s="19"/>
      <c r="D1030" s="19"/>
      <c r="E1030" s="19"/>
      <c r="F1030" s="19"/>
      <c r="G1030" s="19"/>
      <c r="H1030" s="19"/>
      <c r="I1030" s="19"/>
      <c r="J1030" s="19"/>
      <c r="K1030" s="19"/>
      <c r="L1030" s="19"/>
      <c r="M1030" s="19"/>
      <c r="N1030" s="19"/>
      <c r="O1030" s="19"/>
      <c r="P1030" s="19"/>
      <c r="Q1030" s="19"/>
      <c r="R1030" s="19"/>
      <c r="S1030" s="19"/>
      <c r="T1030" s="19"/>
      <c r="U1030" s="19"/>
      <c r="V1030" s="19"/>
      <c r="W1030" s="19"/>
      <c r="X1030" s="19"/>
      <c r="Y1030" s="19"/>
      <c r="Z1030" s="19"/>
      <c r="AA1030" s="19"/>
      <c r="AB1030" s="19"/>
      <c r="AC1030" s="19"/>
    </row>
    <row r="1031" spans="2:29" x14ac:dyDescent="0.25">
      <c r="B1031" s="19"/>
      <c r="C1031" s="19"/>
      <c r="D1031" s="19"/>
      <c r="E1031" s="19"/>
      <c r="F1031" s="19"/>
      <c r="G1031" s="19"/>
      <c r="H1031" s="19"/>
      <c r="I1031" s="19"/>
      <c r="J1031" s="19"/>
      <c r="K1031" s="19"/>
      <c r="L1031" s="19"/>
      <c r="M1031" s="19"/>
      <c r="N1031" s="19"/>
      <c r="O1031" s="19"/>
      <c r="P1031" s="19"/>
      <c r="Q1031" s="19"/>
      <c r="R1031" s="19"/>
      <c r="S1031" s="19"/>
      <c r="T1031" s="19"/>
      <c r="U1031" s="19"/>
      <c r="V1031" s="19"/>
      <c r="W1031" s="19"/>
      <c r="X1031" s="19"/>
      <c r="Y1031" s="19"/>
      <c r="Z1031" s="19"/>
      <c r="AA1031" s="19"/>
      <c r="AB1031" s="19"/>
      <c r="AC1031" s="19"/>
    </row>
    <row r="1032" spans="2:29" x14ac:dyDescent="0.25">
      <c r="B1032" s="19"/>
      <c r="C1032" s="19"/>
      <c r="D1032" s="19"/>
      <c r="E1032" s="19"/>
      <c r="F1032" s="19"/>
      <c r="G1032" s="19"/>
      <c r="H1032" s="19"/>
      <c r="I1032" s="19"/>
      <c r="J1032" s="19"/>
      <c r="K1032" s="19"/>
      <c r="L1032" s="19"/>
      <c r="M1032" s="19"/>
      <c r="N1032" s="19"/>
      <c r="O1032" s="19"/>
      <c r="P1032" s="19"/>
      <c r="Q1032" s="19"/>
      <c r="R1032" s="19"/>
      <c r="S1032" s="19"/>
      <c r="T1032" s="19"/>
      <c r="U1032" s="19"/>
      <c r="V1032" s="19"/>
      <c r="W1032" s="19"/>
      <c r="X1032" s="19"/>
      <c r="Y1032" s="19"/>
      <c r="Z1032" s="19"/>
      <c r="AA1032" s="19"/>
      <c r="AB1032" s="19"/>
      <c r="AC1032" s="19"/>
    </row>
    <row r="1033" spans="2:29" x14ac:dyDescent="0.25">
      <c r="B1033" s="19"/>
      <c r="C1033" s="19"/>
      <c r="D1033" s="19"/>
      <c r="E1033" s="19"/>
      <c r="F1033" s="19"/>
      <c r="G1033" s="19"/>
      <c r="H1033" s="19"/>
      <c r="I1033" s="19"/>
      <c r="J1033" s="19"/>
      <c r="K1033" s="19"/>
      <c r="L1033" s="19"/>
      <c r="M1033" s="19"/>
      <c r="N1033" s="19"/>
      <c r="O1033" s="19"/>
      <c r="P1033" s="19"/>
      <c r="Q1033" s="19"/>
      <c r="R1033" s="19"/>
      <c r="S1033" s="19"/>
      <c r="T1033" s="19"/>
      <c r="U1033" s="19"/>
      <c r="V1033" s="19"/>
      <c r="W1033" s="19"/>
      <c r="X1033" s="19"/>
      <c r="Y1033" s="19"/>
      <c r="Z1033" s="19"/>
      <c r="AA1033" s="19"/>
      <c r="AB1033" s="19"/>
      <c r="AC1033" s="19"/>
    </row>
    <row r="1034" spans="2:29" x14ac:dyDescent="0.25">
      <c r="B1034" s="19"/>
      <c r="C1034" s="19"/>
      <c r="D1034" s="19"/>
      <c r="E1034" s="19"/>
      <c r="F1034" s="19"/>
      <c r="G1034" s="19"/>
      <c r="H1034" s="19"/>
      <c r="I1034" s="19"/>
      <c r="J1034" s="19"/>
      <c r="K1034" s="19"/>
      <c r="L1034" s="19"/>
      <c r="M1034" s="19"/>
      <c r="N1034" s="19"/>
      <c r="O1034" s="19"/>
      <c r="P1034" s="19"/>
      <c r="Q1034" s="19"/>
      <c r="R1034" s="19"/>
      <c r="S1034" s="19"/>
      <c r="T1034" s="19"/>
      <c r="U1034" s="19"/>
      <c r="V1034" s="19"/>
      <c r="W1034" s="19"/>
      <c r="X1034" s="19"/>
      <c r="Y1034" s="19"/>
      <c r="Z1034" s="19"/>
      <c r="AA1034" s="19"/>
      <c r="AB1034" s="19"/>
      <c r="AC1034" s="19"/>
    </row>
    <row r="1035" spans="2:29" x14ac:dyDescent="0.25">
      <c r="B1035" s="19"/>
      <c r="C1035" s="19"/>
      <c r="D1035" s="19"/>
      <c r="E1035" s="19"/>
      <c r="F1035" s="19"/>
      <c r="G1035" s="19"/>
      <c r="H1035" s="19"/>
      <c r="I1035" s="19"/>
      <c r="J1035" s="19"/>
      <c r="K1035" s="19"/>
      <c r="L1035" s="19"/>
      <c r="M1035" s="19"/>
      <c r="N1035" s="19"/>
      <c r="O1035" s="19"/>
      <c r="P1035" s="19"/>
      <c r="Q1035" s="19"/>
      <c r="R1035" s="19"/>
      <c r="S1035" s="19"/>
      <c r="T1035" s="19"/>
      <c r="U1035" s="19"/>
      <c r="V1035" s="19"/>
      <c r="W1035" s="19"/>
      <c r="X1035" s="19"/>
      <c r="Y1035" s="19"/>
      <c r="Z1035" s="19"/>
      <c r="AA1035" s="19"/>
      <c r="AB1035" s="19"/>
      <c r="AC1035" s="19"/>
    </row>
    <row r="1036" spans="2:29" x14ac:dyDescent="0.25">
      <c r="B1036" s="19"/>
      <c r="C1036" s="19"/>
      <c r="D1036" s="19"/>
      <c r="E1036" s="19"/>
      <c r="F1036" s="19"/>
      <c r="G1036" s="19"/>
      <c r="H1036" s="19"/>
      <c r="I1036" s="19"/>
      <c r="J1036" s="19"/>
      <c r="K1036" s="19"/>
      <c r="L1036" s="19"/>
      <c r="M1036" s="19"/>
      <c r="N1036" s="19"/>
      <c r="O1036" s="19"/>
      <c r="P1036" s="19"/>
      <c r="Q1036" s="19"/>
      <c r="R1036" s="19"/>
      <c r="S1036" s="19"/>
      <c r="T1036" s="19"/>
      <c r="U1036" s="19"/>
      <c r="V1036" s="19"/>
      <c r="W1036" s="19"/>
      <c r="X1036" s="19"/>
      <c r="Y1036" s="19"/>
      <c r="Z1036" s="19"/>
      <c r="AA1036" s="19"/>
      <c r="AB1036" s="19"/>
      <c r="AC1036" s="19"/>
    </row>
    <row r="1037" spans="2:29" x14ac:dyDescent="0.25">
      <c r="B1037" s="19"/>
      <c r="C1037" s="19"/>
      <c r="D1037" s="19"/>
      <c r="E1037" s="19"/>
      <c r="F1037" s="19"/>
      <c r="G1037" s="19"/>
      <c r="H1037" s="19"/>
      <c r="I1037" s="19"/>
      <c r="J1037" s="19"/>
      <c r="K1037" s="19"/>
      <c r="L1037" s="19"/>
      <c r="M1037" s="19"/>
      <c r="N1037" s="19"/>
      <c r="O1037" s="19"/>
      <c r="P1037" s="19"/>
      <c r="Q1037" s="19"/>
      <c r="R1037" s="19"/>
      <c r="S1037" s="19"/>
      <c r="T1037" s="19"/>
      <c r="U1037" s="19"/>
      <c r="V1037" s="19"/>
      <c r="W1037" s="19"/>
      <c r="X1037" s="19"/>
      <c r="Y1037" s="19"/>
      <c r="Z1037" s="19"/>
      <c r="AA1037" s="19"/>
      <c r="AB1037" s="19"/>
      <c r="AC1037" s="19"/>
    </row>
    <row r="1038" spans="2:29" x14ac:dyDescent="0.25">
      <c r="B1038" s="19"/>
      <c r="C1038" s="19"/>
      <c r="D1038" s="19"/>
      <c r="E1038" s="19"/>
      <c r="F1038" s="19"/>
      <c r="G1038" s="19"/>
      <c r="H1038" s="19"/>
      <c r="I1038" s="19"/>
      <c r="J1038" s="19"/>
      <c r="K1038" s="19"/>
      <c r="L1038" s="19"/>
      <c r="M1038" s="19"/>
      <c r="N1038" s="19"/>
      <c r="O1038" s="19"/>
      <c r="P1038" s="19"/>
      <c r="Q1038" s="19"/>
      <c r="R1038" s="19"/>
      <c r="S1038" s="19"/>
      <c r="T1038" s="19"/>
      <c r="U1038" s="19"/>
      <c r="V1038" s="19"/>
      <c r="W1038" s="19"/>
      <c r="X1038" s="19"/>
      <c r="Y1038" s="19"/>
      <c r="Z1038" s="19"/>
      <c r="AA1038" s="19"/>
      <c r="AB1038" s="19"/>
      <c r="AC1038" s="19"/>
    </row>
    <row r="1039" spans="2:29" x14ac:dyDescent="0.25">
      <c r="B1039" s="19"/>
      <c r="C1039" s="19"/>
      <c r="D1039" s="19"/>
      <c r="E1039" s="19"/>
      <c r="F1039" s="19"/>
      <c r="G1039" s="19"/>
      <c r="H1039" s="19"/>
      <c r="I1039" s="19"/>
      <c r="J1039" s="19"/>
      <c r="K1039" s="19"/>
      <c r="L1039" s="19"/>
      <c r="M1039" s="19"/>
      <c r="N1039" s="19"/>
      <c r="O1039" s="19"/>
      <c r="P1039" s="19"/>
      <c r="Q1039" s="19"/>
      <c r="R1039" s="19"/>
      <c r="S1039" s="19"/>
      <c r="T1039" s="19"/>
      <c r="U1039" s="19"/>
      <c r="V1039" s="19"/>
      <c r="W1039" s="19"/>
      <c r="X1039" s="19"/>
      <c r="Y1039" s="19"/>
      <c r="Z1039" s="19"/>
      <c r="AA1039" s="19"/>
      <c r="AB1039" s="19"/>
      <c r="AC1039" s="19"/>
    </row>
    <row r="1040" spans="2:29" x14ac:dyDescent="0.25">
      <c r="B1040" s="19"/>
      <c r="C1040" s="19"/>
      <c r="D1040" s="19"/>
      <c r="E1040" s="19"/>
      <c r="F1040" s="19"/>
      <c r="G1040" s="19"/>
      <c r="H1040" s="19"/>
      <c r="I1040" s="19"/>
      <c r="J1040" s="19"/>
      <c r="K1040" s="19"/>
      <c r="L1040" s="19"/>
      <c r="M1040" s="19"/>
      <c r="N1040" s="19"/>
      <c r="O1040" s="19"/>
      <c r="P1040" s="19"/>
      <c r="Q1040" s="19"/>
      <c r="R1040" s="19"/>
      <c r="S1040" s="19"/>
      <c r="T1040" s="19"/>
      <c r="U1040" s="19"/>
      <c r="V1040" s="19"/>
      <c r="W1040" s="19"/>
      <c r="X1040" s="19"/>
      <c r="Y1040" s="19"/>
      <c r="Z1040" s="19"/>
      <c r="AA1040" s="19"/>
      <c r="AB1040" s="19"/>
      <c r="AC1040" s="19"/>
    </row>
    <row r="1041" spans="2:29" x14ac:dyDescent="0.25">
      <c r="B1041" s="19"/>
      <c r="C1041" s="19"/>
      <c r="D1041" s="19"/>
      <c r="E1041" s="19"/>
      <c r="F1041" s="19"/>
      <c r="G1041" s="19"/>
      <c r="H1041" s="19"/>
      <c r="I1041" s="19"/>
      <c r="J1041" s="19"/>
      <c r="K1041" s="19"/>
      <c r="L1041" s="19"/>
      <c r="M1041" s="19"/>
      <c r="N1041" s="19"/>
      <c r="O1041" s="19"/>
      <c r="P1041" s="19"/>
      <c r="Q1041" s="19"/>
      <c r="R1041" s="19"/>
      <c r="S1041" s="19"/>
      <c r="T1041" s="19"/>
      <c r="U1041" s="19"/>
      <c r="V1041" s="19"/>
      <c r="W1041" s="19"/>
      <c r="X1041" s="19"/>
      <c r="Y1041" s="19"/>
      <c r="Z1041" s="19"/>
      <c r="AA1041" s="19"/>
      <c r="AB1041" s="19"/>
      <c r="AC1041" s="19"/>
    </row>
    <row r="1042" spans="2:29" x14ac:dyDescent="0.25">
      <c r="B1042" s="19"/>
      <c r="C1042" s="19"/>
      <c r="D1042" s="19"/>
      <c r="E1042" s="19"/>
      <c r="F1042" s="19"/>
      <c r="G1042" s="19"/>
      <c r="H1042" s="19"/>
      <c r="I1042" s="19"/>
      <c r="J1042" s="19"/>
      <c r="K1042" s="19"/>
      <c r="L1042" s="19"/>
      <c r="M1042" s="19"/>
      <c r="N1042" s="19"/>
      <c r="O1042" s="19"/>
      <c r="P1042" s="19"/>
      <c r="Q1042" s="19"/>
      <c r="R1042" s="19"/>
      <c r="S1042" s="19"/>
      <c r="T1042" s="19"/>
      <c r="U1042" s="19"/>
      <c r="V1042" s="19"/>
      <c r="W1042" s="19"/>
      <c r="X1042" s="19"/>
      <c r="Y1042" s="19"/>
      <c r="Z1042" s="19"/>
      <c r="AA1042" s="19"/>
      <c r="AB1042" s="19"/>
      <c r="AC1042" s="19"/>
    </row>
    <row r="1043" spans="2:29" x14ac:dyDescent="0.25">
      <c r="B1043" s="19"/>
      <c r="C1043" s="19"/>
      <c r="D1043" s="19"/>
      <c r="E1043" s="19"/>
      <c r="F1043" s="19"/>
      <c r="G1043" s="19"/>
      <c r="H1043" s="19"/>
      <c r="I1043" s="19"/>
      <c r="J1043" s="19"/>
      <c r="K1043" s="19"/>
      <c r="L1043" s="19"/>
      <c r="M1043" s="19"/>
      <c r="N1043" s="19"/>
      <c r="O1043" s="19"/>
      <c r="P1043" s="19"/>
      <c r="Q1043" s="19"/>
      <c r="R1043" s="19"/>
      <c r="S1043" s="19"/>
      <c r="T1043" s="19"/>
      <c r="U1043" s="19"/>
      <c r="V1043" s="19"/>
      <c r="W1043" s="19"/>
      <c r="X1043" s="19"/>
      <c r="Y1043" s="19"/>
      <c r="Z1043" s="19"/>
      <c r="AA1043" s="19"/>
      <c r="AB1043" s="19"/>
      <c r="AC1043" s="19"/>
    </row>
    <row r="1044" spans="2:29" x14ac:dyDescent="0.25">
      <c r="B1044" s="19"/>
      <c r="C1044" s="19"/>
      <c r="D1044" s="19"/>
      <c r="E1044" s="19"/>
      <c r="F1044" s="19"/>
      <c r="G1044" s="19"/>
      <c r="H1044" s="19"/>
      <c r="I1044" s="19"/>
      <c r="J1044" s="19"/>
      <c r="K1044" s="19"/>
      <c r="L1044" s="19"/>
      <c r="M1044" s="19"/>
      <c r="N1044" s="19"/>
      <c r="O1044" s="19"/>
      <c r="P1044" s="19"/>
      <c r="Q1044" s="19"/>
      <c r="R1044" s="19"/>
      <c r="S1044" s="19"/>
      <c r="T1044" s="19"/>
      <c r="U1044" s="19"/>
      <c r="V1044" s="19"/>
      <c r="W1044" s="19"/>
      <c r="X1044" s="19"/>
      <c r="Y1044" s="19"/>
      <c r="Z1044" s="19"/>
      <c r="AA1044" s="19"/>
      <c r="AB1044" s="19"/>
      <c r="AC1044" s="19"/>
    </row>
    <row r="1045" spans="2:29" x14ac:dyDescent="0.25">
      <c r="B1045" s="19"/>
      <c r="C1045" s="19"/>
      <c r="D1045" s="19"/>
      <c r="E1045" s="19"/>
      <c r="F1045" s="19"/>
      <c r="G1045" s="19"/>
      <c r="H1045" s="19"/>
      <c r="I1045" s="19"/>
      <c r="J1045" s="19"/>
      <c r="K1045" s="19"/>
      <c r="L1045" s="19"/>
      <c r="M1045" s="19"/>
      <c r="N1045" s="19"/>
      <c r="O1045" s="19"/>
      <c r="P1045" s="19"/>
      <c r="Q1045" s="19"/>
      <c r="R1045" s="19"/>
      <c r="S1045" s="19"/>
      <c r="T1045" s="19"/>
      <c r="U1045" s="19"/>
      <c r="V1045" s="19"/>
      <c r="W1045" s="19"/>
      <c r="X1045" s="19"/>
      <c r="Y1045" s="19"/>
      <c r="Z1045" s="19"/>
      <c r="AA1045" s="19"/>
      <c r="AB1045" s="19"/>
      <c r="AC1045" s="19"/>
    </row>
    <row r="1046" spans="2:29" x14ac:dyDescent="0.25">
      <c r="B1046" s="19"/>
      <c r="C1046" s="19"/>
      <c r="D1046" s="19"/>
      <c r="E1046" s="19"/>
      <c r="F1046" s="19"/>
      <c r="G1046" s="19"/>
      <c r="H1046" s="19"/>
      <c r="I1046" s="19"/>
      <c r="J1046" s="19"/>
      <c r="K1046" s="19"/>
      <c r="L1046" s="19"/>
      <c r="M1046" s="19"/>
      <c r="N1046" s="19"/>
      <c r="O1046" s="19"/>
      <c r="P1046" s="19"/>
      <c r="Q1046" s="19"/>
      <c r="R1046" s="19"/>
      <c r="S1046" s="19"/>
      <c r="T1046" s="19"/>
      <c r="U1046" s="19"/>
      <c r="V1046" s="19"/>
      <c r="W1046" s="19"/>
      <c r="X1046" s="19"/>
      <c r="Y1046" s="19"/>
      <c r="Z1046" s="19"/>
      <c r="AA1046" s="19"/>
      <c r="AB1046" s="19"/>
      <c r="AC1046" s="19"/>
    </row>
    <row r="1047" spans="2:29" x14ac:dyDescent="0.25">
      <c r="B1047" s="19"/>
      <c r="C1047" s="19"/>
      <c r="D1047" s="19"/>
      <c r="E1047" s="19"/>
      <c r="F1047" s="19"/>
      <c r="G1047" s="19"/>
      <c r="H1047" s="19"/>
      <c r="I1047" s="19"/>
      <c r="J1047" s="19"/>
      <c r="K1047" s="19"/>
      <c r="L1047" s="19"/>
      <c r="M1047" s="19"/>
      <c r="N1047" s="19"/>
      <c r="O1047" s="19"/>
      <c r="P1047" s="19"/>
      <c r="Q1047" s="19"/>
      <c r="R1047" s="19"/>
      <c r="S1047" s="19"/>
      <c r="T1047" s="19"/>
      <c r="U1047" s="19"/>
      <c r="V1047" s="19"/>
      <c r="W1047" s="19"/>
      <c r="X1047" s="19"/>
      <c r="Y1047" s="19"/>
      <c r="Z1047" s="19"/>
      <c r="AA1047" s="19"/>
      <c r="AB1047" s="19"/>
      <c r="AC1047" s="19"/>
    </row>
    <row r="1048" spans="2:29" x14ac:dyDescent="0.25">
      <c r="B1048" s="19"/>
      <c r="C1048" s="19"/>
      <c r="D1048" s="19"/>
      <c r="E1048" s="19"/>
      <c r="F1048" s="19"/>
      <c r="G1048" s="19"/>
      <c r="H1048" s="19"/>
      <c r="I1048" s="19"/>
      <c r="J1048" s="19"/>
      <c r="K1048" s="19"/>
      <c r="L1048" s="19"/>
      <c r="M1048" s="19"/>
      <c r="N1048" s="19"/>
      <c r="O1048" s="19"/>
      <c r="P1048" s="19"/>
      <c r="Q1048" s="19"/>
      <c r="R1048" s="19"/>
      <c r="S1048" s="19"/>
      <c r="T1048" s="19"/>
      <c r="U1048" s="19"/>
      <c r="V1048" s="19"/>
      <c r="W1048" s="19"/>
      <c r="X1048" s="19"/>
      <c r="Y1048" s="19"/>
      <c r="Z1048" s="19"/>
      <c r="AA1048" s="19"/>
      <c r="AB1048" s="19"/>
      <c r="AC1048" s="19"/>
    </row>
    <row r="1049" spans="2:29" x14ac:dyDescent="0.25">
      <c r="B1049" s="19"/>
      <c r="C1049" s="19"/>
      <c r="D1049" s="19"/>
      <c r="E1049" s="19"/>
      <c r="F1049" s="19"/>
      <c r="G1049" s="19"/>
      <c r="H1049" s="19"/>
      <c r="I1049" s="19"/>
      <c r="J1049" s="19"/>
      <c r="K1049" s="19"/>
      <c r="L1049" s="19"/>
      <c r="M1049" s="19"/>
      <c r="N1049" s="19"/>
      <c r="O1049" s="19"/>
      <c r="P1049" s="19"/>
      <c r="Q1049" s="19"/>
      <c r="R1049" s="19"/>
      <c r="S1049" s="19"/>
      <c r="T1049" s="19"/>
      <c r="U1049" s="19"/>
      <c r="V1049" s="19"/>
      <c r="W1049" s="19"/>
      <c r="X1049" s="19"/>
      <c r="Y1049" s="19"/>
      <c r="Z1049" s="19"/>
      <c r="AA1049" s="19"/>
      <c r="AB1049" s="19"/>
      <c r="AC1049" s="19"/>
    </row>
    <row r="1050" spans="2:29" x14ac:dyDescent="0.25">
      <c r="B1050" s="19"/>
      <c r="C1050" s="19"/>
      <c r="D1050" s="19"/>
      <c r="E1050" s="19"/>
      <c r="F1050" s="19"/>
      <c r="G1050" s="19"/>
      <c r="H1050" s="19"/>
      <c r="I1050" s="19"/>
      <c r="J1050" s="19"/>
      <c r="K1050" s="19"/>
      <c r="L1050" s="19"/>
      <c r="M1050" s="19"/>
      <c r="N1050" s="19"/>
      <c r="O1050" s="19"/>
      <c r="P1050" s="19"/>
      <c r="Q1050" s="19"/>
      <c r="R1050" s="19"/>
      <c r="S1050" s="19"/>
      <c r="T1050" s="19"/>
      <c r="U1050" s="19"/>
      <c r="V1050" s="19"/>
      <c r="W1050" s="19"/>
      <c r="X1050" s="19"/>
      <c r="Y1050" s="19"/>
      <c r="Z1050" s="19"/>
      <c r="AA1050" s="19"/>
      <c r="AB1050" s="19"/>
      <c r="AC1050" s="19"/>
    </row>
    <row r="1051" spans="2:29" x14ac:dyDescent="0.25">
      <c r="B1051" s="19"/>
      <c r="C1051" s="19"/>
      <c r="D1051" s="19"/>
      <c r="E1051" s="19"/>
      <c r="F1051" s="19"/>
      <c r="G1051" s="19"/>
      <c r="H1051" s="19"/>
      <c r="I1051" s="19"/>
      <c r="J1051" s="19"/>
      <c r="K1051" s="19"/>
      <c r="L1051" s="19"/>
      <c r="M1051" s="19"/>
      <c r="N1051" s="19"/>
      <c r="O1051" s="19"/>
      <c r="P1051" s="19"/>
      <c r="Q1051" s="19"/>
      <c r="R1051" s="19"/>
      <c r="S1051" s="19"/>
      <c r="T1051" s="19"/>
      <c r="U1051" s="19"/>
      <c r="V1051" s="19"/>
      <c r="W1051" s="19"/>
      <c r="X1051" s="19"/>
      <c r="Y1051" s="19"/>
      <c r="Z1051" s="19"/>
      <c r="AA1051" s="19"/>
      <c r="AB1051" s="19"/>
      <c r="AC1051" s="19"/>
    </row>
    <row r="1052" spans="2:29" x14ac:dyDescent="0.25">
      <c r="B1052" s="19"/>
      <c r="C1052" s="19"/>
      <c r="D1052" s="19"/>
      <c r="E1052" s="19"/>
      <c r="F1052" s="19"/>
      <c r="G1052" s="19"/>
      <c r="H1052" s="19"/>
      <c r="I1052" s="19"/>
      <c r="J1052" s="19"/>
      <c r="K1052" s="19"/>
      <c r="L1052" s="19"/>
      <c r="M1052" s="19"/>
      <c r="N1052" s="19"/>
      <c r="O1052" s="19"/>
      <c r="P1052" s="19"/>
      <c r="Q1052" s="19"/>
      <c r="R1052" s="19"/>
      <c r="S1052" s="19"/>
      <c r="T1052" s="19"/>
      <c r="U1052" s="19"/>
      <c r="V1052" s="19"/>
      <c r="W1052" s="19"/>
      <c r="X1052" s="19"/>
      <c r="Y1052" s="19"/>
      <c r="Z1052" s="19"/>
      <c r="AA1052" s="19"/>
      <c r="AB1052" s="19"/>
      <c r="AC1052" s="19"/>
    </row>
    <row r="1053" spans="2:29" x14ac:dyDescent="0.25">
      <c r="B1053" s="19"/>
      <c r="C1053" s="19"/>
      <c r="D1053" s="19"/>
      <c r="E1053" s="19"/>
      <c r="F1053" s="19"/>
      <c r="G1053" s="19"/>
      <c r="H1053" s="19"/>
      <c r="I1053" s="19"/>
      <c r="J1053" s="19"/>
      <c r="K1053" s="19"/>
      <c r="L1053" s="19"/>
      <c r="M1053" s="19"/>
      <c r="N1053" s="19"/>
      <c r="O1053" s="19"/>
      <c r="P1053" s="19"/>
      <c r="Q1053" s="19"/>
      <c r="R1053" s="19"/>
      <c r="S1053" s="19"/>
      <c r="T1053" s="19"/>
      <c r="U1053" s="19"/>
      <c r="V1053" s="19"/>
      <c r="W1053" s="19"/>
      <c r="X1053" s="19"/>
      <c r="Y1053" s="19"/>
      <c r="Z1053" s="19"/>
      <c r="AA1053" s="19"/>
      <c r="AB1053" s="19"/>
      <c r="AC1053" s="19"/>
    </row>
    <row r="1054" spans="2:29" x14ac:dyDescent="0.25">
      <c r="B1054" s="19"/>
      <c r="C1054" s="19"/>
      <c r="D1054" s="19"/>
      <c r="E1054" s="19"/>
      <c r="F1054" s="19"/>
      <c r="G1054" s="19"/>
      <c r="H1054" s="19"/>
      <c r="I1054" s="19"/>
      <c r="J1054" s="19"/>
      <c r="K1054" s="19"/>
      <c r="L1054" s="19"/>
      <c r="M1054" s="19"/>
      <c r="N1054" s="19"/>
      <c r="O1054" s="19"/>
      <c r="P1054" s="19"/>
      <c r="Q1054" s="19"/>
      <c r="R1054" s="19"/>
      <c r="S1054" s="19"/>
      <c r="T1054" s="19"/>
      <c r="U1054" s="19"/>
      <c r="V1054" s="19"/>
      <c r="W1054" s="19"/>
      <c r="X1054" s="19"/>
      <c r="Y1054" s="19"/>
      <c r="Z1054" s="19"/>
      <c r="AA1054" s="19"/>
      <c r="AB1054" s="19"/>
      <c r="AC1054" s="19"/>
    </row>
    <row r="1055" spans="2:29" x14ac:dyDescent="0.25">
      <c r="B1055" s="19"/>
      <c r="C1055" s="19"/>
      <c r="D1055" s="19"/>
      <c r="E1055" s="19"/>
      <c r="F1055" s="19"/>
      <c r="G1055" s="19"/>
      <c r="H1055" s="19"/>
      <c r="I1055" s="19"/>
      <c r="J1055" s="19"/>
      <c r="K1055" s="19"/>
      <c r="L1055" s="19"/>
      <c r="M1055" s="19"/>
      <c r="N1055" s="19"/>
      <c r="O1055" s="19"/>
      <c r="P1055" s="19"/>
      <c r="Q1055" s="19"/>
      <c r="R1055" s="19"/>
      <c r="S1055" s="19"/>
      <c r="T1055" s="19"/>
      <c r="U1055" s="19"/>
      <c r="V1055" s="19"/>
      <c r="W1055" s="19"/>
      <c r="X1055" s="19"/>
      <c r="Y1055" s="19"/>
      <c r="Z1055" s="19"/>
      <c r="AA1055" s="19"/>
      <c r="AB1055" s="19"/>
      <c r="AC1055" s="19"/>
    </row>
    <row r="1056" spans="2:29" x14ac:dyDescent="0.25">
      <c r="B1056" s="19"/>
      <c r="C1056" s="19"/>
      <c r="D1056" s="19"/>
      <c r="E1056" s="19"/>
      <c r="F1056" s="19"/>
      <c r="G1056" s="19"/>
      <c r="H1056" s="19"/>
      <c r="I1056" s="19"/>
      <c r="J1056" s="19"/>
      <c r="K1056" s="19"/>
      <c r="L1056" s="19"/>
      <c r="M1056" s="19"/>
      <c r="N1056" s="19"/>
      <c r="O1056" s="19"/>
      <c r="P1056" s="19"/>
      <c r="Q1056" s="19"/>
      <c r="R1056" s="19"/>
      <c r="S1056" s="19"/>
      <c r="T1056" s="19"/>
      <c r="U1056" s="19"/>
      <c r="V1056" s="19"/>
      <c r="W1056" s="19"/>
      <c r="X1056" s="19"/>
      <c r="Y1056" s="19"/>
      <c r="Z1056" s="19"/>
      <c r="AA1056" s="19"/>
      <c r="AB1056" s="19"/>
      <c r="AC1056" s="19"/>
    </row>
    <row r="1057" spans="2:29" x14ac:dyDescent="0.25">
      <c r="B1057" s="19"/>
      <c r="C1057" s="19"/>
      <c r="D1057" s="19"/>
      <c r="E1057" s="19"/>
      <c r="F1057" s="19"/>
      <c r="G1057" s="19"/>
      <c r="H1057" s="19"/>
      <c r="I1057" s="19"/>
      <c r="J1057" s="19"/>
      <c r="K1057" s="19"/>
      <c r="L1057" s="19"/>
      <c r="M1057" s="19"/>
      <c r="N1057" s="19"/>
      <c r="O1057" s="19"/>
      <c r="P1057" s="19"/>
      <c r="Q1057" s="19"/>
      <c r="R1057" s="19"/>
      <c r="S1057" s="19"/>
      <c r="T1057" s="19"/>
      <c r="U1057" s="19"/>
      <c r="V1057" s="19"/>
      <c r="W1057" s="19"/>
      <c r="X1057" s="19"/>
      <c r="Y1057" s="19"/>
      <c r="Z1057" s="19"/>
      <c r="AA1057" s="19"/>
      <c r="AB1057" s="19"/>
      <c r="AC1057" s="19"/>
    </row>
    <row r="1058" spans="2:29" x14ac:dyDescent="0.25">
      <c r="B1058" s="19"/>
      <c r="C1058" s="19"/>
      <c r="D1058" s="19"/>
      <c r="E1058" s="19"/>
      <c r="F1058" s="19"/>
      <c r="G1058" s="19"/>
      <c r="H1058" s="19"/>
      <c r="I1058" s="19"/>
      <c r="J1058" s="19"/>
      <c r="K1058" s="19"/>
      <c r="L1058" s="19"/>
      <c r="M1058" s="19"/>
      <c r="N1058" s="19"/>
      <c r="O1058" s="19"/>
      <c r="P1058" s="19"/>
      <c r="Q1058" s="19"/>
      <c r="R1058" s="19"/>
      <c r="S1058" s="19"/>
      <c r="T1058" s="19"/>
      <c r="U1058" s="19"/>
      <c r="V1058" s="19"/>
      <c r="W1058" s="19"/>
      <c r="X1058" s="19"/>
      <c r="Y1058" s="19"/>
      <c r="Z1058" s="19"/>
      <c r="AA1058" s="19"/>
      <c r="AB1058" s="19"/>
      <c r="AC1058" s="19"/>
    </row>
    <row r="1059" spans="2:29" x14ac:dyDescent="0.25">
      <c r="B1059" s="19"/>
      <c r="C1059" s="19"/>
      <c r="D1059" s="19"/>
      <c r="E1059" s="19"/>
      <c r="F1059" s="19"/>
      <c r="G1059" s="19"/>
      <c r="H1059" s="19"/>
      <c r="I1059" s="19"/>
      <c r="J1059" s="19"/>
      <c r="K1059" s="19"/>
      <c r="L1059" s="19"/>
      <c r="M1059" s="19"/>
      <c r="N1059" s="19"/>
      <c r="O1059" s="19"/>
      <c r="P1059" s="19"/>
      <c r="Q1059" s="19"/>
      <c r="R1059" s="19"/>
      <c r="S1059" s="19"/>
      <c r="T1059" s="19"/>
      <c r="U1059" s="19"/>
      <c r="V1059" s="19"/>
      <c r="W1059" s="19"/>
      <c r="X1059" s="19"/>
      <c r="Y1059" s="19"/>
      <c r="Z1059" s="19"/>
      <c r="AA1059" s="19"/>
      <c r="AB1059" s="19"/>
      <c r="AC1059" s="19"/>
    </row>
    <row r="1060" spans="2:29" x14ac:dyDescent="0.25">
      <c r="B1060" s="19"/>
      <c r="C1060" s="19"/>
      <c r="D1060" s="19"/>
      <c r="E1060" s="19"/>
      <c r="F1060" s="19"/>
      <c r="G1060" s="19"/>
      <c r="H1060" s="19"/>
      <c r="I1060" s="19"/>
      <c r="J1060" s="19"/>
      <c r="K1060" s="19"/>
      <c r="L1060" s="19"/>
      <c r="M1060" s="19"/>
      <c r="N1060" s="19"/>
      <c r="O1060" s="19"/>
      <c r="P1060" s="19"/>
      <c r="Q1060" s="19"/>
      <c r="R1060" s="19"/>
      <c r="S1060" s="19"/>
      <c r="T1060" s="19"/>
      <c r="U1060" s="19"/>
      <c r="V1060" s="19"/>
      <c r="W1060" s="19"/>
      <c r="X1060" s="19"/>
      <c r="Y1060" s="19"/>
      <c r="Z1060" s="19"/>
      <c r="AA1060" s="19"/>
      <c r="AB1060" s="19"/>
      <c r="AC1060" s="19"/>
    </row>
    <row r="1061" spans="2:29" x14ac:dyDescent="0.25">
      <c r="B1061" s="19"/>
      <c r="C1061" s="19"/>
      <c r="D1061" s="19"/>
      <c r="E1061" s="19"/>
      <c r="F1061" s="19"/>
      <c r="G1061" s="19"/>
      <c r="H1061" s="19"/>
      <c r="I1061" s="19"/>
      <c r="J1061" s="19"/>
      <c r="K1061" s="19"/>
      <c r="L1061" s="19"/>
      <c r="M1061" s="19"/>
      <c r="N1061" s="19"/>
      <c r="O1061" s="19"/>
      <c r="P1061" s="19"/>
      <c r="Q1061" s="19"/>
      <c r="R1061" s="19"/>
      <c r="S1061" s="19"/>
      <c r="T1061" s="19"/>
      <c r="U1061" s="19"/>
      <c r="V1061" s="19"/>
      <c r="W1061" s="19"/>
      <c r="X1061" s="19"/>
      <c r="Y1061" s="19"/>
      <c r="Z1061" s="19"/>
      <c r="AA1061" s="19"/>
      <c r="AB1061" s="19"/>
      <c r="AC1061" s="19"/>
    </row>
    <row r="1062" spans="2:29" x14ac:dyDescent="0.25">
      <c r="B1062" s="19"/>
      <c r="C1062" s="19"/>
      <c r="D1062" s="19"/>
      <c r="E1062" s="19"/>
      <c r="F1062" s="19"/>
      <c r="G1062" s="19"/>
      <c r="H1062" s="19"/>
      <c r="I1062" s="19"/>
      <c r="J1062" s="19"/>
      <c r="K1062" s="19"/>
      <c r="L1062" s="19"/>
      <c r="M1062" s="19"/>
      <c r="N1062" s="19"/>
      <c r="O1062" s="19"/>
      <c r="P1062" s="19"/>
      <c r="Q1062" s="19"/>
      <c r="R1062" s="19"/>
      <c r="S1062" s="19"/>
      <c r="T1062" s="19"/>
      <c r="U1062" s="19"/>
      <c r="V1062" s="19"/>
      <c r="W1062" s="19"/>
      <c r="X1062" s="19"/>
      <c r="Y1062" s="19"/>
      <c r="Z1062" s="19"/>
      <c r="AA1062" s="19"/>
      <c r="AB1062" s="19"/>
      <c r="AC1062" s="19"/>
    </row>
    <row r="1063" spans="2:29" x14ac:dyDescent="0.25">
      <c r="B1063" s="19"/>
      <c r="C1063" s="19"/>
      <c r="D1063" s="19"/>
      <c r="E1063" s="19"/>
      <c r="F1063" s="19"/>
      <c r="G1063" s="19"/>
      <c r="H1063" s="19"/>
      <c r="I1063" s="19"/>
      <c r="J1063" s="19"/>
      <c r="K1063" s="19"/>
      <c r="L1063" s="19"/>
      <c r="M1063" s="19"/>
      <c r="N1063" s="19"/>
      <c r="O1063" s="19"/>
      <c r="P1063" s="19"/>
      <c r="Q1063" s="19"/>
      <c r="R1063" s="19"/>
      <c r="S1063" s="19"/>
      <c r="T1063" s="19"/>
      <c r="U1063" s="19"/>
      <c r="V1063" s="19"/>
      <c r="W1063" s="19"/>
      <c r="X1063" s="19"/>
      <c r="Y1063" s="19"/>
      <c r="Z1063" s="19"/>
      <c r="AA1063" s="19"/>
      <c r="AB1063" s="19"/>
      <c r="AC1063" s="19"/>
    </row>
    <row r="1064" spans="2:29" x14ac:dyDescent="0.25">
      <c r="B1064" s="19"/>
      <c r="C1064" s="19"/>
      <c r="D1064" s="19"/>
      <c r="E1064" s="19"/>
      <c r="F1064" s="19"/>
      <c r="G1064" s="19"/>
      <c r="H1064" s="19"/>
      <c r="I1064" s="19"/>
      <c r="J1064" s="19"/>
      <c r="K1064" s="19"/>
      <c r="L1064" s="19"/>
      <c r="M1064" s="19"/>
      <c r="N1064" s="19"/>
      <c r="O1064" s="19"/>
      <c r="P1064" s="19"/>
      <c r="Q1064" s="19"/>
      <c r="R1064" s="19"/>
      <c r="S1064" s="19"/>
      <c r="T1064" s="19"/>
      <c r="U1064" s="19"/>
      <c r="V1064" s="19"/>
      <c r="W1064" s="19"/>
      <c r="X1064" s="19"/>
      <c r="Y1064" s="19"/>
      <c r="Z1064" s="19"/>
      <c r="AA1064" s="19"/>
      <c r="AB1064" s="19"/>
      <c r="AC1064" s="19"/>
    </row>
    <row r="1065" spans="2:29" x14ac:dyDescent="0.25">
      <c r="B1065" s="19"/>
      <c r="C1065" s="19"/>
      <c r="D1065" s="19"/>
      <c r="E1065" s="19"/>
      <c r="F1065" s="19"/>
      <c r="G1065" s="19"/>
      <c r="H1065" s="19"/>
      <c r="I1065" s="19"/>
      <c r="J1065" s="19"/>
      <c r="K1065" s="19"/>
      <c r="L1065" s="19"/>
      <c r="M1065" s="19"/>
      <c r="N1065" s="19"/>
      <c r="O1065" s="19"/>
      <c r="P1065" s="19"/>
      <c r="Q1065" s="19"/>
      <c r="R1065" s="19"/>
      <c r="S1065" s="19"/>
      <c r="T1065" s="19"/>
      <c r="U1065" s="19"/>
      <c r="V1065" s="19"/>
      <c r="W1065" s="19"/>
      <c r="X1065" s="19"/>
      <c r="Y1065" s="19"/>
      <c r="Z1065" s="19"/>
      <c r="AA1065" s="19"/>
      <c r="AB1065" s="19"/>
      <c r="AC1065" s="19"/>
    </row>
    <row r="1066" spans="2:29" x14ac:dyDescent="0.25">
      <c r="B1066" s="19"/>
      <c r="C1066" s="19"/>
      <c r="D1066" s="19"/>
      <c r="E1066" s="19"/>
      <c r="F1066" s="19"/>
      <c r="G1066" s="19"/>
      <c r="H1066" s="19"/>
      <c r="I1066" s="19"/>
      <c r="J1066" s="19"/>
      <c r="K1066" s="19"/>
      <c r="L1066" s="19"/>
      <c r="M1066" s="19"/>
      <c r="N1066" s="19"/>
      <c r="O1066" s="19"/>
      <c r="P1066" s="19"/>
      <c r="Q1066" s="19"/>
      <c r="R1066" s="19"/>
      <c r="S1066" s="19"/>
      <c r="T1066" s="19"/>
      <c r="U1066" s="19"/>
      <c r="V1066" s="19"/>
      <c r="W1066" s="19"/>
      <c r="X1066" s="19"/>
      <c r="Y1066" s="19"/>
      <c r="Z1066" s="19"/>
      <c r="AA1066" s="19"/>
      <c r="AB1066" s="19"/>
      <c r="AC1066" s="19"/>
    </row>
    <row r="1067" spans="2:29" x14ac:dyDescent="0.25">
      <c r="B1067" s="19"/>
      <c r="C1067" s="19"/>
      <c r="D1067" s="19"/>
      <c r="E1067" s="19"/>
      <c r="F1067" s="19"/>
      <c r="G1067" s="19"/>
      <c r="H1067" s="19"/>
      <c r="I1067" s="19"/>
      <c r="J1067" s="19"/>
      <c r="K1067" s="19"/>
      <c r="L1067" s="19"/>
      <c r="M1067" s="19"/>
      <c r="N1067" s="19"/>
      <c r="O1067" s="19"/>
      <c r="P1067" s="19"/>
      <c r="Q1067" s="19"/>
      <c r="R1067" s="19"/>
      <c r="S1067" s="19"/>
      <c r="T1067" s="19"/>
      <c r="U1067" s="19"/>
      <c r="V1067" s="19"/>
      <c r="W1067" s="19"/>
      <c r="X1067" s="19"/>
      <c r="Y1067" s="19"/>
      <c r="Z1067" s="19"/>
      <c r="AA1067" s="19"/>
      <c r="AB1067" s="19"/>
      <c r="AC1067" s="19"/>
    </row>
    <row r="1068" spans="2:29" x14ac:dyDescent="0.25">
      <c r="B1068" s="19"/>
      <c r="C1068" s="19"/>
      <c r="D1068" s="19"/>
      <c r="E1068" s="19"/>
      <c r="F1068" s="19"/>
      <c r="G1068" s="19"/>
      <c r="H1068" s="19"/>
      <c r="I1068" s="19"/>
      <c r="J1068" s="19"/>
      <c r="K1068" s="19"/>
      <c r="L1068" s="19"/>
      <c r="M1068" s="19"/>
      <c r="N1068" s="19"/>
      <c r="O1068" s="19"/>
      <c r="P1068" s="19"/>
      <c r="Q1068" s="19"/>
      <c r="R1068" s="19"/>
      <c r="S1068" s="19"/>
      <c r="T1068" s="19"/>
      <c r="U1068" s="19"/>
      <c r="V1068" s="19"/>
      <c r="W1068" s="19"/>
      <c r="X1068" s="19"/>
      <c r="Y1068" s="19"/>
      <c r="Z1068" s="19"/>
      <c r="AA1068" s="19"/>
      <c r="AB1068" s="19"/>
      <c r="AC1068" s="19"/>
    </row>
    <row r="1069" spans="2:29" x14ac:dyDescent="0.25">
      <c r="B1069" s="19"/>
      <c r="C1069" s="19"/>
      <c r="D1069" s="19"/>
      <c r="E1069" s="19"/>
      <c r="F1069" s="19"/>
      <c r="G1069" s="19"/>
      <c r="H1069" s="19"/>
      <c r="I1069" s="19"/>
      <c r="J1069" s="19"/>
      <c r="K1069" s="19"/>
      <c r="L1069" s="19"/>
      <c r="M1069" s="19"/>
      <c r="N1069" s="19"/>
      <c r="O1069" s="19"/>
      <c r="P1069" s="19"/>
      <c r="Q1069" s="19"/>
      <c r="R1069" s="19"/>
      <c r="S1069" s="19"/>
      <c r="T1069" s="19"/>
      <c r="U1069" s="19"/>
      <c r="V1069" s="19"/>
      <c r="W1069" s="19"/>
      <c r="X1069" s="19"/>
      <c r="Y1069" s="19"/>
      <c r="Z1069" s="19"/>
      <c r="AA1069" s="19"/>
      <c r="AB1069" s="19"/>
      <c r="AC1069" s="19"/>
    </row>
    <row r="1070" spans="2:29" x14ac:dyDescent="0.25">
      <c r="B1070" s="19"/>
      <c r="C1070" s="19"/>
      <c r="D1070" s="19"/>
      <c r="E1070" s="19"/>
      <c r="F1070" s="19"/>
      <c r="G1070" s="19"/>
      <c r="H1070" s="19"/>
      <c r="I1070" s="19"/>
      <c r="J1070" s="19"/>
      <c r="K1070" s="19"/>
      <c r="L1070" s="19"/>
      <c r="M1070" s="19"/>
      <c r="N1070" s="19"/>
      <c r="O1070" s="19"/>
      <c r="P1070" s="19"/>
      <c r="Q1070" s="19"/>
      <c r="R1070" s="19"/>
      <c r="S1070" s="19"/>
      <c r="T1070" s="19"/>
      <c r="U1070" s="19"/>
      <c r="V1070" s="19"/>
      <c r="W1070" s="19"/>
      <c r="X1070" s="19"/>
      <c r="Y1070" s="19"/>
      <c r="Z1070" s="19"/>
      <c r="AA1070" s="19"/>
      <c r="AB1070" s="19"/>
      <c r="AC1070" s="19"/>
    </row>
    <row r="1071" spans="2:29" x14ac:dyDescent="0.25">
      <c r="B1071" s="19"/>
      <c r="C1071" s="19"/>
      <c r="D1071" s="19"/>
      <c r="E1071" s="19"/>
      <c r="F1071" s="19"/>
      <c r="G1071" s="19"/>
      <c r="H1071" s="19"/>
      <c r="I1071" s="19"/>
      <c r="J1071" s="19"/>
      <c r="K1071" s="19"/>
      <c r="L1071" s="19"/>
      <c r="M1071" s="19"/>
      <c r="N1071" s="19"/>
      <c r="O1071" s="19"/>
      <c r="P1071" s="19"/>
      <c r="Q1071" s="19"/>
      <c r="R1071" s="19"/>
      <c r="S1071" s="19"/>
      <c r="T1071" s="19"/>
      <c r="U1071" s="19"/>
      <c r="V1071" s="19"/>
      <c r="W1071" s="19"/>
      <c r="X1071" s="19"/>
      <c r="Y1071" s="19"/>
      <c r="Z1071" s="19"/>
      <c r="AA1071" s="19"/>
      <c r="AB1071" s="19"/>
      <c r="AC1071" s="19"/>
    </row>
    <row r="1072" spans="2:29" x14ac:dyDescent="0.25">
      <c r="B1072" s="19"/>
      <c r="C1072" s="19"/>
      <c r="D1072" s="19"/>
      <c r="E1072" s="19"/>
      <c r="F1072" s="19"/>
      <c r="G1072" s="19"/>
      <c r="H1072" s="19"/>
      <c r="I1072" s="19"/>
      <c r="J1072" s="19"/>
      <c r="K1072" s="19"/>
      <c r="L1072" s="19"/>
      <c r="M1072" s="19"/>
      <c r="N1072" s="19"/>
      <c r="O1072" s="19"/>
      <c r="P1072" s="19"/>
      <c r="Q1072" s="19"/>
      <c r="R1072" s="19"/>
      <c r="S1072" s="19"/>
      <c r="T1072" s="19"/>
      <c r="U1072" s="19"/>
      <c r="V1072" s="19"/>
      <c r="W1072" s="19"/>
      <c r="X1072" s="19"/>
      <c r="Y1072" s="19"/>
      <c r="Z1072" s="19"/>
      <c r="AA1072" s="19"/>
      <c r="AB1072" s="19"/>
      <c r="AC1072" s="19"/>
    </row>
    <row r="1073" spans="2:29" x14ac:dyDescent="0.25">
      <c r="B1073" s="19"/>
      <c r="C1073" s="19"/>
      <c r="D1073" s="19"/>
      <c r="E1073" s="19"/>
      <c r="F1073" s="19"/>
      <c r="G1073" s="19"/>
      <c r="H1073" s="19"/>
      <c r="I1073" s="19"/>
      <c r="J1073" s="19"/>
      <c r="K1073" s="19"/>
      <c r="L1073" s="19"/>
      <c r="M1073" s="19"/>
      <c r="N1073" s="19"/>
      <c r="O1073" s="19"/>
      <c r="P1073" s="19"/>
      <c r="Q1073" s="19"/>
      <c r="R1073" s="19"/>
      <c r="S1073" s="19"/>
      <c r="T1073" s="19"/>
      <c r="U1073" s="19"/>
      <c r="V1073" s="19"/>
      <c r="W1073" s="19"/>
      <c r="X1073" s="19"/>
      <c r="Y1073" s="19"/>
      <c r="Z1073" s="19"/>
      <c r="AA1073" s="19"/>
      <c r="AB1073" s="19"/>
      <c r="AC1073" s="19"/>
    </row>
    <row r="1074" spans="2:29" x14ac:dyDescent="0.25">
      <c r="B1074" s="19"/>
      <c r="C1074" s="19"/>
      <c r="D1074" s="19"/>
      <c r="E1074" s="19"/>
      <c r="F1074" s="19"/>
      <c r="G1074" s="19"/>
      <c r="H1074" s="19"/>
      <c r="I1074" s="19"/>
      <c r="J1074" s="19"/>
      <c r="K1074" s="19"/>
      <c r="L1074" s="19"/>
      <c r="M1074" s="19"/>
      <c r="N1074" s="19"/>
      <c r="O1074" s="19"/>
      <c r="P1074" s="19"/>
      <c r="Q1074" s="19"/>
      <c r="R1074" s="19"/>
      <c r="S1074" s="19"/>
      <c r="T1074" s="19"/>
      <c r="U1074" s="19"/>
      <c r="V1074" s="19"/>
      <c r="W1074" s="19"/>
      <c r="X1074" s="19"/>
      <c r="Y1074" s="19"/>
      <c r="Z1074" s="19"/>
      <c r="AA1074" s="19"/>
      <c r="AB1074" s="19"/>
      <c r="AC1074" s="19"/>
    </row>
    <row r="1075" spans="2:29" x14ac:dyDescent="0.25">
      <c r="B1075" s="19"/>
      <c r="C1075" s="19"/>
      <c r="D1075" s="19"/>
      <c r="E1075" s="19"/>
      <c r="F1075" s="19"/>
      <c r="G1075" s="19"/>
      <c r="H1075" s="19"/>
      <c r="I1075" s="19"/>
      <c r="J1075" s="19"/>
      <c r="K1075" s="19"/>
      <c r="L1075" s="19"/>
      <c r="M1075" s="19"/>
      <c r="N1075" s="19"/>
      <c r="O1075" s="19"/>
      <c r="P1075" s="19"/>
      <c r="Q1075" s="19"/>
      <c r="R1075" s="19"/>
      <c r="S1075" s="19"/>
      <c r="T1075" s="19"/>
      <c r="U1075" s="19"/>
      <c r="V1075" s="19"/>
      <c r="W1075" s="19"/>
      <c r="X1075" s="19"/>
      <c r="Y1075" s="19"/>
      <c r="Z1075" s="19"/>
      <c r="AA1075" s="19"/>
      <c r="AB1075" s="19"/>
      <c r="AC1075" s="19"/>
    </row>
    <row r="1076" spans="2:29" x14ac:dyDescent="0.25">
      <c r="B1076" s="19"/>
      <c r="C1076" s="19"/>
      <c r="D1076" s="19"/>
      <c r="E1076" s="19"/>
      <c r="F1076" s="19"/>
      <c r="G1076" s="19"/>
      <c r="H1076" s="19"/>
      <c r="I1076" s="19"/>
      <c r="J1076" s="19"/>
      <c r="K1076" s="19"/>
      <c r="L1076" s="19"/>
      <c r="M1076" s="19"/>
      <c r="N1076" s="19"/>
      <c r="O1076" s="19"/>
      <c r="P1076" s="19"/>
      <c r="Q1076" s="19"/>
      <c r="R1076" s="19"/>
      <c r="S1076" s="19"/>
      <c r="T1076" s="19"/>
      <c r="U1076" s="19"/>
      <c r="V1076" s="19"/>
      <c r="W1076" s="19"/>
      <c r="X1076" s="19"/>
      <c r="Y1076" s="19"/>
      <c r="Z1076" s="19"/>
      <c r="AA1076" s="19"/>
      <c r="AB1076" s="19"/>
      <c r="AC1076" s="19"/>
    </row>
    <row r="1077" spans="2:29" x14ac:dyDescent="0.25">
      <c r="B1077" s="19"/>
      <c r="C1077" s="19"/>
      <c r="D1077" s="19"/>
      <c r="E1077" s="19"/>
      <c r="F1077" s="19"/>
      <c r="G1077" s="19"/>
      <c r="H1077" s="19"/>
      <c r="I1077" s="19"/>
      <c r="J1077" s="19"/>
      <c r="K1077" s="19"/>
      <c r="L1077" s="19"/>
      <c r="M1077" s="19"/>
      <c r="N1077" s="19"/>
      <c r="O1077" s="19"/>
      <c r="P1077" s="19"/>
      <c r="Q1077" s="19"/>
      <c r="R1077" s="19"/>
      <c r="S1077" s="19"/>
      <c r="T1077" s="19"/>
      <c r="U1077" s="19"/>
      <c r="V1077" s="19"/>
      <c r="W1077" s="19"/>
      <c r="X1077" s="19"/>
      <c r="Y1077" s="19"/>
      <c r="Z1077" s="19"/>
      <c r="AA1077" s="19"/>
      <c r="AB1077" s="19"/>
      <c r="AC1077" s="19"/>
    </row>
    <row r="1078" spans="2:29" x14ac:dyDescent="0.25">
      <c r="B1078" s="19"/>
      <c r="C1078" s="19"/>
      <c r="D1078" s="19"/>
      <c r="E1078" s="19"/>
      <c r="F1078" s="19"/>
      <c r="G1078" s="19"/>
      <c r="H1078" s="19"/>
      <c r="I1078" s="19"/>
      <c r="J1078" s="19"/>
      <c r="K1078" s="19"/>
      <c r="L1078" s="19"/>
      <c r="M1078" s="19"/>
      <c r="N1078" s="19"/>
      <c r="O1078" s="19"/>
      <c r="P1078" s="19"/>
      <c r="Q1078" s="19"/>
      <c r="R1078" s="19"/>
      <c r="S1078" s="19"/>
      <c r="T1078" s="19"/>
      <c r="U1078" s="19"/>
      <c r="V1078" s="19"/>
      <c r="W1078" s="19"/>
      <c r="X1078" s="19"/>
      <c r="Y1078" s="19"/>
      <c r="Z1078" s="19"/>
      <c r="AA1078" s="19"/>
      <c r="AB1078" s="19"/>
      <c r="AC1078" s="19"/>
    </row>
    <row r="1079" spans="2:29" x14ac:dyDescent="0.25">
      <c r="B1079" s="19"/>
      <c r="C1079" s="19"/>
      <c r="D1079" s="19"/>
      <c r="E1079" s="19"/>
      <c r="F1079" s="19"/>
      <c r="G1079" s="19"/>
      <c r="H1079" s="19"/>
      <c r="I1079" s="19"/>
      <c r="J1079" s="19"/>
      <c r="K1079" s="19"/>
      <c r="L1079" s="19"/>
      <c r="M1079" s="19"/>
      <c r="N1079" s="19"/>
      <c r="O1079" s="19"/>
      <c r="P1079" s="19"/>
      <c r="Q1079" s="19"/>
      <c r="R1079" s="19"/>
      <c r="S1079" s="19"/>
      <c r="T1079" s="19"/>
      <c r="U1079" s="19"/>
      <c r="V1079" s="19"/>
      <c r="W1079" s="19"/>
      <c r="X1079" s="19"/>
      <c r="Y1079" s="19"/>
      <c r="Z1079" s="19"/>
      <c r="AA1079" s="19"/>
      <c r="AB1079" s="19"/>
      <c r="AC1079" s="19"/>
    </row>
    <row r="1080" spans="2:29" x14ac:dyDescent="0.25">
      <c r="B1080" s="19"/>
      <c r="C1080" s="19"/>
      <c r="D1080" s="19"/>
      <c r="E1080" s="19"/>
      <c r="F1080" s="19"/>
      <c r="G1080" s="19"/>
      <c r="H1080" s="19"/>
      <c r="I1080" s="19"/>
      <c r="J1080" s="19"/>
      <c r="K1080" s="19"/>
      <c r="L1080" s="19"/>
      <c r="M1080" s="19"/>
      <c r="N1080" s="19"/>
      <c r="O1080" s="19"/>
      <c r="P1080" s="19"/>
      <c r="Q1080" s="19"/>
      <c r="R1080" s="19"/>
      <c r="S1080" s="19"/>
      <c r="T1080" s="19"/>
      <c r="U1080" s="19"/>
      <c r="V1080" s="19"/>
      <c r="W1080" s="19"/>
      <c r="X1080" s="19"/>
      <c r="Y1080" s="19"/>
      <c r="Z1080" s="19"/>
      <c r="AA1080" s="19"/>
      <c r="AB1080" s="19"/>
      <c r="AC1080" s="19"/>
    </row>
    <row r="1081" spans="2:29" x14ac:dyDescent="0.25">
      <c r="B1081" s="19"/>
      <c r="C1081" s="19"/>
      <c r="D1081" s="19"/>
      <c r="E1081" s="19"/>
      <c r="F1081" s="19"/>
      <c r="G1081" s="19"/>
      <c r="H1081" s="19"/>
      <c r="I1081" s="19"/>
      <c r="J1081" s="19"/>
      <c r="K1081" s="19"/>
      <c r="L1081" s="19"/>
      <c r="M1081" s="19"/>
      <c r="N1081" s="19"/>
      <c r="O1081" s="19"/>
      <c r="P1081" s="19"/>
      <c r="Q1081" s="19"/>
      <c r="R1081" s="19"/>
      <c r="S1081" s="19"/>
      <c r="T1081" s="19"/>
      <c r="U1081" s="19"/>
      <c r="V1081" s="19"/>
      <c r="W1081" s="19"/>
      <c r="X1081" s="19"/>
      <c r="Y1081" s="19"/>
      <c r="Z1081" s="19"/>
      <c r="AA1081" s="19"/>
      <c r="AB1081" s="19"/>
      <c r="AC1081" s="19"/>
    </row>
    <row r="1082" spans="2:29" x14ac:dyDescent="0.25">
      <c r="B1082" s="19"/>
      <c r="C1082" s="19"/>
      <c r="D1082" s="19"/>
      <c r="E1082" s="19"/>
      <c r="F1082" s="19"/>
      <c r="G1082" s="19"/>
      <c r="H1082" s="19"/>
      <c r="I1082" s="19"/>
      <c r="J1082" s="19"/>
      <c r="K1082" s="19"/>
      <c r="L1082" s="19"/>
      <c r="M1082" s="19"/>
      <c r="N1082" s="19"/>
      <c r="O1082" s="19"/>
      <c r="P1082" s="19"/>
      <c r="Q1082" s="19"/>
      <c r="R1082" s="19"/>
      <c r="S1082" s="19"/>
      <c r="T1082" s="19"/>
      <c r="U1082" s="19"/>
      <c r="V1082" s="19"/>
      <c r="W1082" s="19"/>
      <c r="X1082" s="19"/>
      <c r="Y1082" s="19"/>
      <c r="Z1082" s="19"/>
      <c r="AA1082" s="19"/>
      <c r="AB1082" s="19"/>
      <c r="AC1082" s="19"/>
    </row>
    <row r="1083" spans="2:29" x14ac:dyDescent="0.25">
      <c r="B1083" s="19"/>
      <c r="C1083" s="19"/>
      <c r="D1083" s="19"/>
      <c r="E1083" s="19"/>
      <c r="F1083" s="19"/>
      <c r="G1083" s="19"/>
      <c r="H1083" s="19"/>
      <c r="I1083" s="19"/>
      <c r="J1083" s="19"/>
      <c r="K1083" s="19"/>
      <c r="L1083" s="19"/>
      <c r="M1083" s="19"/>
      <c r="N1083" s="19"/>
      <c r="O1083" s="19"/>
      <c r="P1083" s="19"/>
      <c r="Q1083" s="19"/>
      <c r="R1083" s="19"/>
      <c r="S1083" s="19"/>
      <c r="T1083" s="19"/>
      <c r="U1083" s="19"/>
      <c r="V1083" s="19"/>
      <c r="W1083" s="19"/>
      <c r="X1083" s="19"/>
      <c r="Y1083" s="19"/>
      <c r="Z1083" s="19"/>
      <c r="AA1083" s="19"/>
      <c r="AB1083" s="19"/>
      <c r="AC1083" s="19"/>
    </row>
    <row r="1084" spans="2:29" x14ac:dyDescent="0.25">
      <c r="B1084" s="19"/>
      <c r="C1084" s="19"/>
      <c r="D1084" s="19"/>
      <c r="E1084" s="19"/>
      <c r="F1084" s="19"/>
      <c r="G1084" s="19"/>
      <c r="H1084" s="19"/>
      <c r="I1084" s="19"/>
      <c r="J1084" s="19"/>
      <c r="K1084" s="19"/>
      <c r="L1084" s="19"/>
      <c r="M1084" s="19"/>
      <c r="N1084" s="19"/>
      <c r="O1084" s="19"/>
      <c r="P1084" s="19"/>
      <c r="Q1084" s="19"/>
      <c r="R1084" s="19"/>
      <c r="S1084" s="19"/>
      <c r="T1084" s="19"/>
      <c r="U1084" s="19"/>
      <c r="V1084" s="19"/>
      <c r="W1084" s="19"/>
      <c r="X1084" s="19"/>
      <c r="Y1084" s="19"/>
      <c r="Z1084" s="19"/>
      <c r="AA1084" s="19"/>
      <c r="AB1084" s="19"/>
      <c r="AC1084" s="19"/>
    </row>
    <row r="1085" spans="2:29" x14ac:dyDescent="0.25">
      <c r="B1085" s="19"/>
      <c r="C1085" s="19"/>
      <c r="D1085" s="19"/>
      <c r="E1085" s="19"/>
      <c r="F1085" s="19"/>
      <c r="G1085" s="19"/>
      <c r="H1085" s="19"/>
      <c r="I1085" s="19"/>
      <c r="J1085" s="19"/>
      <c r="K1085" s="19"/>
      <c r="L1085" s="19"/>
      <c r="M1085" s="19"/>
      <c r="N1085" s="19"/>
      <c r="O1085" s="19"/>
      <c r="P1085" s="19"/>
      <c r="Q1085" s="19"/>
      <c r="R1085" s="19"/>
      <c r="S1085" s="19"/>
      <c r="T1085" s="19"/>
      <c r="U1085" s="19"/>
      <c r="V1085" s="19"/>
      <c r="W1085" s="19"/>
      <c r="X1085" s="19"/>
      <c r="Y1085" s="19"/>
      <c r="Z1085" s="19"/>
      <c r="AA1085" s="19"/>
      <c r="AB1085" s="19"/>
      <c r="AC1085" s="19"/>
    </row>
    <row r="1086" spans="2:29" x14ac:dyDescent="0.25">
      <c r="B1086" s="19"/>
      <c r="C1086" s="19"/>
      <c r="D1086" s="19"/>
      <c r="E1086" s="19"/>
      <c r="F1086" s="19"/>
      <c r="G1086" s="19"/>
      <c r="H1086" s="19"/>
      <c r="I1086" s="19"/>
      <c r="J1086" s="19"/>
      <c r="K1086" s="19"/>
      <c r="L1086" s="19"/>
      <c r="M1086" s="19"/>
      <c r="N1086" s="19"/>
      <c r="O1086" s="19"/>
      <c r="P1086" s="19"/>
      <c r="Q1086" s="19"/>
      <c r="R1086" s="19"/>
      <c r="S1086" s="19"/>
      <c r="T1086" s="19"/>
      <c r="U1086" s="19"/>
      <c r="V1086" s="19"/>
      <c r="W1086" s="19"/>
      <c r="X1086" s="19"/>
      <c r="Y1086" s="19"/>
      <c r="Z1086" s="19"/>
      <c r="AA1086" s="19"/>
      <c r="AB1086" s="19"/>
      <c r="AC1086" s="19"/>
    </row>
    <row r="1087" spans="2:29" x14ac:dyDescent="0.25">
      <c r="B1087" s="19"/>
      <c r="C1087" s="19"/>
      <c r="D1087" s="19"/>
      <c r="E1087" s="19"/>
      <c r="F1087" s="19"/>
      <c r="G1087" s="19"/>
      <c r="H1087" s="19"/>
      <c r="I1087" s="19"/>
      <c r="J1087" s="19"/>
      <c r="K1087" s="19"/>
      <c r="L1087" s="19"/>
      <c r="M1087" s="19"/>
      <c r="N1087" s="19"/>
      <c r="O1087" s="19"/>
      <c r="P1087" s="19"/>
      <c r="Q1087" s="19"/>
      <c r="R1087" s="19"/>
      <c r="S1087" s="19"/>
      <c r="T1087" s="19"/>
      <c r="U1087" s="19"/>
      <c r="V1087" s="19"/>
      <c r="W1087" s="19"/>
      <c r="X1087" s="19"/>
      <c r="Y1087" s="19"/>
      <c r="Z1087" s="19"/>
      <c r="AA1087" s="19"/>
      <c r="AB1087" s="19"/>
      <c r="AC1087" s="19"/>
    </row>
    <row r="1088" spans="2:29" x14ac:dyDescent="0.25">
      <c r="B1088" s="19"/>
      <c r="C1088" s="19"/>
      <c r="D1088" s="19"/>
      <c r="E1088" s="19"/>
      <c r="F1088" s="19"/>
      <c r="G1088" s="19"/>
      <c r="H1088" s="19"/>
      <c r="I1088" s="19"/>
      <c r="J1088" s="19"/>
      <c r="K1088" s="19"/>
      <c r="L1088" s="19"/>
      <c r="M1088" s="19"/>
      <c r="N1088" s="19"/>
      <c r="O1088" s="19"/>
      <c r="P1088" s="19"/>
      <c r="Q1088" s="19"/>
      <c r="R1088" s="19"/>
      <c r="S1088" s="19"/>
      <c r="T1088" s="19"/>
      <c r="U1088" s="19"/>
      <c r="V1088" s="19"/>
      <c r="W1088" s="19"/>
      <c r="X1088" s="19"/>
      <c r="Y1088" s="19"/>
      <c r="Z1088" s="19"/>
      <c r="AA1088" s="19"/>
      <c r="AB1088" s="19"/>
      <c r="AC1088" s="19"/>
    </row>
    <row r="1089" spans="2:29" x14ac:dyDescent="0.25">
      <c r="B1089" s="19"/>
      <c r="C1089" s="19"/>
      <c r="D1089" s="19"/>
      <c r="E1089" s="19"/>
      <c r="F1089" s="19"/>
      <c r="G1089" s="19"/>
      <c r="H1089" s="19"/>
      <c r="I1089" s="19"/>
      <c r="J1089" s="19"/>
      <c r="K1089" s="19"/>
      <c r="L1089" s="19"/>
      <c r="M1089" s="19"/>
      <c r="N1089" s="19"/>
      <c r="O1089" s="19"/>
      <c r="P1089" s="19"/>
      <c r="Q1089" s="19"/>
      <c r="R1089" s="19"/>
      <c r="S1089" s="19"/>
      <c r="T1089" s="19"/>
      <c r="U1089" s="19"/>
      <c r="V1089" s="19"/>
      <c r="W1089" s="19"/>
      <c r="X1089" s="19"/>
      <c r="Y1089" s="19"/>
      <c r="Z1089" s="19"/>
      <c r="AA1089" s="19"/>
      <c r="AB1089" s="19"/>
      <c r="AC1089" s="19"/>
    </row>
    <row r="1090" spans="2:29" x14ac:dyDescent="0.25">
      <c r="B1090" s="19"/>
      <c r="C1090" s="19"/>
      <c r="D1090" s="19"/>
      <c r="E1090" s="19"/>
      <c r="F1090" s="19"/>
      <c r="G1090" s="19"/>
      <c r="H1090" s="19"/>
      <c r="I1090" s="19"/>
      <c r="J1090" s="19"/>
      <c r="K1090" s="19"/>
      <c r="L1090" s="19"/>
      <c r="M1090" s="19"/>
      <c r="N1090" s="19"/>
      <c r="O1090" s="19"/>
      <c r="P1090" s="19"/>
      <c r="Q1090" s="19"/>
      <c r="R1090" s="19"/>
      <c r="S1090" s="19"/>
      <c r="T1090" s="19"/>
      <c r="U1090" s="19"/>
      <c r="V1090" s="19"/>
      <c r="W1090" s="19"/>
      <c r="X1090" s="19"/>
      <c r="Y1090" s="19"/>
      <c r="Z1090" s="19"/>
      <c r="AA1090" s="19"/>
      <c r="AB1090" s="19"/>
      <c r="AC1090" s="19"/>
    </row>
    <row r="1091" spans="2:29" x14ac:dyDescent="0.25">
      <c r="B1091" s="19"/>
      <c r="C1091" s="19"/>
      <c r="D1091" s="19"/>
      <c r="E1091" s="19"/>
      <c r="F1091" s="19"/>
      <c r="G1091" s="19"/>
      <c r="H1091" s="19"/>
      <c r="I1091" s="19"/>
      <c r="J1091" s="19"/>
      <c r="K1091" s="19"/>
      <c r="L1091" s="19"/>
      <c r="M1091" s="19"/>
      <c r="N1091" s="19"/>
      <c r="O1091" s="19"/>
      <c r="P1091" s="19"/>
      <c r="Q1091" s="19"/>
      <c r="R1091" s="19"/>
      <c r="S1091" s="19"/>
      <c r="T1091" s="19"/>
      <c r="U1091" s="19"/>
      <c r="V1091" s="19"/>
      <c r="W1091" s="19"/>
      <c r="X1091" s="19"/>
      <c r="Y1091" s="19"/>
      <c r="Z1091" s="19"/>
      <c r="AA1091" s="19"/>
      <c r="AB1091" s="19"/>
      <c r="AC1091" s="19"/>
    </row>
    <row r="1092" spans="2:29" x14ac:dyDescent="0.25">
      <c r="B1092" s="19"/>
      <c r="C1092" s="19"/>
      <c r="D1092" s="19"/>
      <c r="E1092" s="19"/>
      <c r="F1092" s="19"/>
      <c r="G1092" s="19"/>
      <c r="H1092" s="19"/>
      <c r="I1092" s="19"/>
      <c r="J1092" s="19"/>
      <c r="K1092" s="19"/>
      <c r="L1092" s="19"/>
      <c r="M1092" s="19"/>
      <c r="N1092" s="19"/>
      <c r="O1092" s="19"/>
      <c r="P1092" s="19"/>
      <c r="Q1092" s="19"/>
      <c r="R1092" s="19"/>
      <c r="S1092" s="19"/>
      <c r="T1092" s="19"/>
      <c r="U1092" s="19"/>
      <c r="V1092" s="19"/>
      <c r="W1092" s="19"/>
      <c r="X1092" s="19"/>
      <c r="Y1092" s="19"/>
      <c r="Z1092" s="19"/>
      <c r="AA1092" s="19"/>
      <c r="AB1092" s="19"/>
      <c r="AC1092" s="19"/>
    </row>
    <row r="1093" spans="2:29" x14ac:dyDescent="0.25">
      <c r="B1093" s="19"/>
      <c r="C1093" s="19"/>
      <c r="D1093" s="19"/>
      <c r="E1093" s="19"/>
      <c r="F1093" s="19"/>
      <c r="G1093" s="19"/>
      <c r="H1093" s="19"/>
      <c r="I1093" s="19"/>
      <c r="J1093" s="19"/>
      <c r="K1093" s="19"/>
      <c r="L1093" s="19"/>
      <c r="M1093" s="19"/>
      <c r="N1093" s="19"/>
      <c r="O1093" s="19"/>
      <c r="P1093" s="19"/>
      <c r="Q1093" s="19"/>
      <c r="R1093" s="19"/>
      <c r="S1093" s="19"/>
      <c r="T1093" s="19"/>
      <c r="U1093" s="19"/>
      <c r="V1093" s="19"/>
      <c r="W1093" s="19"/>
      <c r="X1093" s="19"/>
      <c r="Y1093" s="19"/>
      <c r="Z1093" s="19"/>
      <c r="AA1093" s="19"/>
      <c r="AB1093" s="19"/>
      <c r="AC1093" s="19"/>
    </row>
    <row r="1094" spans="2:29" x14ac:dyDescent="0.25">
      <c r="B1094" s="19"/>
      <c r="C1094" s="19"/>
      <c r="D1094" s="19"/>
      <c r="E1094" s="19"/>
      <c r="F1094" s="19"/>
      <c r="G1094" s="19"/>
      <c r="H1094" s="19"/>
      <c r="I1094" s="19"/>
      <c r="J1094" s="19"/>
      <c r="K1094" s="19"/>
      <c r="L1094" s="19"/>
      <c r="M1094" s="19"/>
      <c r="N1094" s="19"/>
      <c r="O1094" s="19"/>
      <c r="P1094" s="19"/>
      <c r="Q1094" s="19"/>
      <c r="R1094" s="19"/>
      <c r="S1094" s="19"/>
      <c r="T1094" s="19"/>
      <c r="U1094" s="19"/>
      <c r="V1094" s="19"/>
      <c r="W1094" s="19"/>
      <c r="X1094" s="19"/>
      <c r="Y1094" s="19"/>
      <c r="Z1094" s="19"/>
      <c r="AA1094" s="19"/>
      <c r="AB1094" s="19"/>
      <c r="AC1094" s="19"/>
    </row>
    <row r="1095" spans="2:29" x14ac:dyDescent="0.25">
      <c r="B1095" s="19"/>
      <c r="C1095" s="19"/>
      <c r="D1095" s="19"/>
      <c r="E1095" s="19"/>
      <c r="F1095" s="19"/>
      <c r="G1095" s="19"/>
      <c r="H1095" s="19"/>
      <c r="I1095" s="19"/>
      <c r="J1095" s="19"/>
      <c r="K1095" s="19"/>
      <c r="L1095" s="19"/>
      <c r="M1095" s="19"/>
      <c r="N1095" s="19"/>
      <c r="O1095" s="19"/>
      <c r="P1095" s="19"/>
      <c r="Q1095" s="19"/>
      <c r="R1095" s="19"/>
      <c r="S1095" s="19"/>
      <c r="T1095" s="19"/>
      <c r="U1095" s="19"/>
      <c r="V1095" s="19"/>
      <c r="W1095" s="19"/>
      <c r="X1095" s="19"/>
      <c r="Y1095" s="19"/>
      <c r="Z1095" s="19"/>
      <c r="AA1095" s="19"/>
      <c r="AB1095" s="19"/>
      <c r="AC1095" s="19"/>
    </row>
    <row r="1096" spans="2:29" x14ac:dyDescent="0.25">
      <c r="B1096" s="19"/>
      <c r="C1096" s="19"/>
      <c r="D1096" s="19"/>
      <c r="E1096" s="19"/>
      <c r="F1096" s="19"/>
      <c r="G1096" s="19"/>
      <c r="H1096" s="19"/>
      <c r="I1096" s="19"/>
      <c r="J1096" s="19"/>
      <c r="K1096" s="19"/>
      <c r="L1096" s="19"/>
      <c r="M1096" s="19"/>
      <c r="N1096" s="19"/>
      <c r="O1096" s="19"/>
      <c r="P1096" s="19"/>
      <c r="Q1096" s="19"/>
      <c r="R1096" s="19"/>
      <c r="S1096" s="19"/>
      <c r="T1096" s="19"/>
      <c r="U1096" s="19"/>
      <c r="V1096" s="19"/>
      <c r="W1096" s="19"/>
      <c r="X1096" s="19"/>
      <c r="Y1096" s="19"/>
      <c r="Z1096" s="19"/>
      <c r="AA1096" s="19"/>
      <c r="AB1096" s="19"/>
      <c r="AC1096" s="19"/>
    </row>
    <row r="1097" spans="2:29" x14ac:dyDescent="0.25">
      <c r="B1097" s="19"/>
      <c r="C1097" s="19"/>
      <c r="D1097" s="19"/>
      <c r="E1097" s="19"/>
      <c r="F1097" s="19"/>
      <c r="G1097" s="19"/>
      <c r="H1097" s="19"/>
      <c r="I1097" s="19"/>
      <c r="J1097" s="19"/>
      <c r="K1097" s="19"/>
      <c r="L1097" s="19"/>
      <c r="M1097" s="19"/>
      <c r="N1097" s="19"/>
      <c r="O1097" s="19"/>
      <c r="P1097" s="19"/>
      <c r="Q1097" s="19"/>
      <c r="R1097" s="19"/>
      <c r="S1097" s="19"/>
      <c r="T1097" s="19"/>
      <c r="U1097" s="19"/>
      <c r="V1097" s="19"/>
      <c r="W1097" s="19"/>
      <c r="X1097" s="19"/>
      <c r="Y1097" s="19"/>
      <c r="Z1097" s="19"/>
      <c r="AA1097" s="19"/>
      <c r="AB1097" s="19"/>
      <c r="AC1097" s="19"/>
    </row>
    <row r="1098" spans="2:29" x14ac:dyDescent="0.25">
      <c r="B1098" s="19"/>
      <c r="C1098" s="19"/>
      <c r="D1098" s="19"/>
      <c r="E1098" s="19"/>
      <c r="F1098" s="19"/>
      <c r="G1098" s="19"/>
      <c r="H1098" s="19"/>
      <c r="I1098" s="19"/>
      <c r="J1098" s="19"/>
      <c r="K1098" s="19"/>
      <c r="L1098" s="19"/>
      <c r="M1098" s="19"/>
      <c r="N1098" s="19"/>
      <c r="O1098" s="19"/>
      <c r="P1098" s="19"/>
      <c r="Q1098" s="19"/>
      <c r="R1098" s="19"/>
      <c r="S1098" s="19"/>
      <c r="T1098" s="19"/>
      <c r="U1098" s="19"/>
      <c r="V1098" s="19"/>
      <c r="W1098" s="19"/>
      <c r="X1098" s="19"/>
      <c r="Y1098" s="19"/>
      <c r="Z1098" s="19"/>
      <c r="AA1098" s="19"/>
      <c r="AB1098" s="19"/>
      <c r="AC1098" s="19"/>
    </row>
    <row r="1099" spans="2:29" x14ac:dyDescent="0.25">
      <c r="B1099" s="19"/>
      <c r="C1099" s="19"/>
      <c r="D1099" s="19"/>
      <c r="E1099" s="19"/>
      <c r="F1099" s="19"/>
      <c r="G1099" s="19"/>
      <c r="H1099" s="19"/>
      <c r="I1099" s="19"/>
      <c r="J1099" s="19"/>
      <c r="K1099" s="19"/>
      <c r="L1099" s="19"/>
      <c r="M1099" s="19"/>
      <c r="N1099" s="19"/>
      <c r="O1099" s="19"/>
      <c r="P1099" s="19"/>
      <c r="Q1099" s="19"/>
      <c r="R1099" s="19"/>
      <c r="S1099" s="19"/>
      <c r="T1099" s="19"/>
      <c r="U1099" s="19"/>
      <c r="V1099" s="19"/>
      <c r="W1099" s="19"/>
      <c r="X1099" s="19"/>
      <c r="Y1099" s="19"/>
      <c r="Z1099" s="19"/>
      <c r="AA1099" s="19"/>
      <c r="AB1099" s="19"/>
      <c r="AC1099" s="19"/>
    </row>
    <row r="1100" spans="2:29" x14ac:dyDescent="0.25">
      <c r="B1100" s="19"/>
      <c r="C1100" s="19"/>
      <c r="D1100" s="19"/>
      <c r="E1100" s="19"/>
      <c r="F1100" s="19"/>
      <c r="G1100" s="19"/>
      <c r="H1100" s="19"/>
      <c r="I1100" s="19"/>
      <c r="J1100" s="19"/>
      <c r="K1100" s="19"/>
      <c r="L1100" s="19"/>
      <c r="M1100" s="19"/>
      <c r="N1100" s="19"/>
      <c r="O1100" s="19"/>
      <c r="P1100" s="19"/>
      <c r="Q1100" s="19"/>
      <c r="R1100" s="19"/>
      <c r="S1100" s="19"/>
      <c r="T1100" s="19"/>
      <c r="U1100" s="19"/>
      <c r="V1100" s="19"/>
      <c r="W1100" s="19"/>
      <c r="X1100" s="19"/>
      <c r="Y1100" s="19"/>
      <c r="Z1100" s="19"/>
      <c r="AA1100" s="19"/>
      <c r="AB1100" s="19"/>
      <c r="AC1100" s="19"/>
    </row>
    <row r="1101" spans="2:29" x14ac:dyDescent="0.25">
      <c r="B1101" s="19"/>
      <c r="C1101" s="19"/>
      <c r="D1101" s="19"/>
      <c r="E1101" s="19"/>
      <c r="F1101" s="19"/>
      <c r="G1101" s="19"/>
      <c r="H1101" s="19"/>
      <c r="I1101" s="19"/>
      <c r="J1101" s="19"/>
      <c r="K1101" s="19"/>
      <c r="L1101" s="19"/>
      <c r="M1101" s="19"/>
      <c r="N1101" s="19"/>
      <c r="O1101" s="19"/>
      <c r="P1101" s="19"/>
      <c r="Q1101" s="19"/>
      <c r="R1101" s="19"/>
      <c r="S1101" s="19"/>
      <c r="T1101" s="19"/>
      <c r="U1101" s="19"/>
      <c r="V1101" s="19"/>
      <c r="W1101" s="19"/>
      <c r="X1101" s="19"/>
      <c r="Y1101" s="19"/>
      <c r="Z1101" s="19"/>
      <c r="AA1101" s="19"/>
      <c r="AB1101" s="19"/>
      <c r="AC1101" s="19"/>
    </row>
    <row r="1102" spans="2:29" x14ac:dyDescent="0.25">
      <c r="B1102" s="19"/>
      <c r="C1102" s="19"/>
      <c r="D1102" s="19"/>
      <c r="E1102" s="19"/>
      <c r="F1102" s="19"/>
      <c r="G1102" s="19"/>
      <c r="H1102" s="19"/>
      <c r="I1102" s="19"/>
      <c r="J1102" s="19"/>
      <c r="K1102" s="19"/>
      <c r="L1102" s="19"/>
      <c r="M1102" s="19"/>
      <c r="N1102" s="19"/>
      <c r="O1102" s="19"/>
      <c r="P1102" s="19"/>
      <c r="Q1102" s="19"/>
      <c r="R1102" s="19"/>
      <c r="S1102" s="19"/>
      <c r="T1102" s="19"/>
      <c r="U1102" s="19"/>
      <c r="V1102" s="19"/>
      <c r="W1102" s="19"/>
      <c r="X1102" s="19"/>
      <c r="Y1102" s="19"/>
      <c r="Z1102" s="19"/>
      <c r="AA1102" s="19"/>
      <c r="AB1102" s="19"/>
      <c r="AC1102" s="19"/>
    </row>
    <row r="1103" spans="2:29" x14ac:dyDescent="0.25">
      <c r="B1103" s="19"/>
      <c r="C1103" s="19"/>
      <c r="D1103" s="19"/>
      <c r="E1103" s="19"/>
      <c r="F1103" s="19"/>
      <c r="G1103" s="19"/>
      <c r="H1103" s="19"/>
      <c r="I1103" s="19"/>
      <c r="J1103" s="19"/>
      <c r="K1103" s="19"/>
      <c r="L1103" s="19"/>
      <c r="M1103" s="19"/>
      <c r="N1103" s="19"/>
      <c r="O1103" s="19"/>
      <c r="P1103" s="19"/>
      <c r="Q1103" s="19"/>
      <c r="R1103" s="19"/>
      <c r="S1103" s="19"/>
      <c r="T1103" s="19"/>
      <c r="U1103" s="19"/>
      <c r="V1103" s="19"/>
      <c r="W1103" s="19"/>
      <c r="X1103" s="19"/>
      <c r="Y1103" s="19"/>
      <c r="Z1103" s="19"/>
      <c r="AA1103" s="19"/>
      <c r="AB1103" s="19"/>
      <c r="AC1103" s="19"/>
    </row>
    <row r="1104" spans="2:29" x14ac:dyDescent="0.25">
      <c r="B1104" s="19"/>
      <c r="C1104" s="19"/>
      <c r="D1104" s="19"/>
      <c r="E1104" s="19"/>
      <c r="F1104" s="19"/>
      <c r="G1104" s="19"/>
      <c r="H1104" s="19"/>
      <c r="I1104" s="19"/>
      <c r="J1104" s="19"/>
      <c r="K1104" s="19"/>
      <c r="L1104" s="19"/>
      <c r="M1104" s="19"/>
      <c r="N1104" s="19"/>
      <c r="O1104" s="19"/>
      <c r="P1104" s="19"/>
      <c r="Q1104" s="19"/>
      <c r="R1104" s="19"/>
      <c r="S1104" s="19"/>
      <c r="T1104" s="19"/>
      <c r="U1104" s="19"/>
      <c r="V1104" s="19"/>
      <c r="W1104" s="19"/>
      <c r="X1104" s="19"/>
      <c r="Y1104" s="19"/>
      <c r="Z1104" s="19"/>
      <c r="AA1104" s="19"/>
      <c r="AB1104" s="19"/>
      <c r="AC1104" s="19"/>
    </row>
    <row r="1105" spans="2:29" x14ac:dyDescent="0.25">
      <c r="B1105" s="19"/>
      <c r="C1105" s="19"/>
      <c r="D1105" s="19"/>
      <c r="E1105" s="19"/>
      <c r="F1105" s="19"/>
      <c r="G1105" s="19"/>
      <c r="H1105" s="19"/>
      <c r="I1105" s="19"/>
      <c r="J1105" s="19"/>
      <c r="K1105" s="19"/>
      <c r="L1105" s="19"/>
      <c r="M1105" s="19"/>
      <c r="N1105" s="19"/>
      <c r="O1105" s="19"/>
      <c r="P1105" s="19"/>
      <c r="Q1105" s="19"/>
      <c r="R1105" s="19"/>
      <c r="S1105" s="19"/>
      <c r="T1105" s="19"/>
      <c r="U1105" s="19"/>
      <c r="V1105" s="19"/>
      <c r="W1105" s="19"/>
      <c r="X1105" s="19"/>
      <c r="Y1105" s="19"/>
      <c r="Z1105" s="19"/>
      <c r="AA1105" s="19"/>
      <c r="AB1105" s="19"/>
      <c r="AC1105" s="19"/>
    </row>
    <row r="1106" spans="2:29" x14ac:dyDescent="0.25">
      <c r="B1106" s="19"/>
      <c r="C1106" s="19"/>
      <c r="D1106" s="19"/>
      <c r="E1106" s="19"/>
      <c r="F1106" s="19"/>
      <c r="G1106" s="19"/>
      <c r="H1106" s="19"/>
      <c r="I1106" s="19"/>
      <c r="J1106" s="19"/>
      <c r="K1106" s="19"/>
      <c r="L1106" s="19"/>
      <c r="M1106" s="19"/>
      <c r="N1106" s="19"/>
      <c r="O1106" s="19"/>
      <c r="P1106" s="19"/>
      <c r="Q1106" s="19"/>
      <c r="R1106" s="19"/>
      <c r="S1106" s="19"/>
      <c r="T1106" s="19"/>
      <c r="U1106" s="19"/>
      <c r="V1106" s="19"/>
      <c r="W1106" s="19"/>
      <c r="X1106" s="19"/>
      <c r="Y1106" s="19"/>
      <c r="Z1106" s="19"/>
      <c r="AA1106" s="19"/>
      <c r="AB1106" s="19"/>
      <c r="AC1106" s="19"/>
    </row>
    <row r="1107" spans="2:29" x14ac:dyDescent="0.25">
      <c r="B1107" s="19"/>
      <c r="C1107" s="19"/>
      <c r="D1107" s="19"/>
      <c r="E1107" s="19"/>
      <c r="F1107" s="19"/>
      <c r="G1107" s="19"/>
      <c r="H1107" s="19"/>
      <c r="I1107" s="19"/>
      <c r="J1107" s="19"/>
      <c r="K1107" s="19"/>
      <c r="L1107" s="19"/>
      <c r="M1107" s="19"/>
      <c r="N1107" s="19"/>
      <c r="O1107" s="19"/>
      <c r="P1107" s="19"/>
      <c r="Q1107" s="19"/>
      <c r="R1107" s="19"/>
      <c r="S1107" s="19"/>
      <c r="T1107" s="19"/>
      <c r="U1107" s="19"/>
      <c r="V1107" s="19"/>
      <c r="W1107" s="19"/>
      <c r="X1107" s="19"/>
      <c r="Y1107" s="19"/>
      <c r="Z1107" s="19"/>
      <c r="AA1107" s="19"/>
      <c r="AB1107" s="19"/>
      <c r="AC1107" s="19"/>
    </row>
    <row r="1108" spans="2:29" x14ac:dyDescent="0.25">
      <c r="B1108" s="19"/>
      <c r="C1108" s="19"/>
      <c r="D1108" s="19"/>
      <c r="E1108" s="19"/>
      <c r="F1108" s="19"/>
      <c r="G1108" s="19"/>
      <c r="H1108" s="19"/>
      <c r="I1108" s="19"/>
      <c r="J1108" s="19"/>
      <c r="K1108" s="19"/>
      <c r="L1108" s="19"/>
      <c r="M1108" s="19"/>
      <c r="N1108" s="19"/>
      <c r="O1108" s="19"/>
      <c r="P1108" s="19"/>
      <c r="Q1108" s="19"/>
      <c r="R1108" s="19"/>
      <c r="S1108" s="19"/>
      <c r="T1108" s="19"/>
      <c r="U1108" s="19"/>
      <c r="V1108" s="19"/>
      <c r="W1108" s="19"/>
      <c r="X1108" s="19"/>
      <c r="Y1108" s="19"/>
      <c r="Z1108" s="19"/>
      <c r="AA1108" s="19"/>
      <c r="AB1108" s="19"/>
      <c r="AC1108" s="19"/>
    </row>
    <row r="1109" spans="2:29" x14ac:dyDescent="0.25">
      <c r="B1109" s="19"/>
      <c r="C1109" s="19"/>
      <c r="D1109" s="19"/>
      <c r="E1109" s="19"/>
      <c r="F1109" s="19"/>
      <c r="G1109" s="19"/>
      <c r="H1109" s="19"/>
      <c r="I1109" s="19"/>
      <c r="J1109" s="19"/>
      <c r="K1109" s="19"/>
      <c r="L1109" s="19"/>
      <c r="M1109" s="19"/>
      <c r="N1109" s="19"/>
      <c r="O1109" s="19"/>
      <c r="P1109" s="19"/>
      <c r="Q1109" s="19"/>
      <c r="R1109" s="19"/>
      <c r="S1109" s="19"/>
      <c r="T1109" s="19"/>
      <c r="U1109" s="19"/>
      <c r="V1109" s="19"/>
      <c r="W1109" s="19"/>
      <c r="X1109" s="19"/>
      <c r="Y1109" s="19"/>
      <c r="Z1109" s="19"/>
      <c r="AA1109" s="19"/>
      <c r="AB1109" s="19"/>
      <c r="AC1109" s="19"/>
    </row>
    <row r="1110" spans="2:29" x14ac:dyDescent="0.25">
      <c r="B1110" s="19"/>
      <c r="C1110" s="19"/>
      <c r="D1110" s="19"/>
      <c r="E1110" s="19"/>
      <c r="F1110" s="19"/>
      <c r="G1110" s="19"/>
      <c r="H1110" s="19"/>
      <c r="I1110" s="19"/>
      <c r="J1110" s="19"/>
      <c r="K1110" s="19"/>
      <c r="L1110" s="19"/>
      <c r="M1110" s="19"/>
      <c r="N1110" s="19"/>
      <c r="O1110" s="19"/>
      <c r="P1110" s="19"/>
      <c r="Q1110" s="19"/>
      <c r="R1110" s="19"/>
      <c r="S1110" s="19"/>
      <c r="T1110" s="19"/>
      <c r="U1110" s="19"/>
      <c r="V1110" s="19"/>
      <c r="W1110" s="19"/>
      <c r="X1110" s="19"/>
      <c r="Y1110" s="19"/>
      <c r="Z1110" s="19"/>
      <c r="AA1110" s="19"/>
      <c r="AB1110" s="19"/>
      <c r="AC1110" s="19"/>
    </row>
    <row r="1111" spans="2:29" x14ac:dyDescent="0.25">
      <c r="B1111" s="19"/>
      <c r="C1111" s="19"/>
      <c r="D1111" s="19"/>
      <c r="E1111" s="19"/>
      <c r="F1111" s="19"/>
      <c r="G1111" s="19"/>
      <c r="H1111" s="19"/>
      <c r="I1111" s="19"/>
      <c r="J1111" s="19"/>
      <c r="K1111" s="19"/>
      <c r="L1111" s="19"/>
      <c r="M1111" s="19"/>
      <c r="N1111" s="19"/>
      <c r="O1111" s="19"/>
      <c r="P1111" s="19"/>
      <c r="Q1111" s="19"/>
      <c r="R1111" s="19"/>
      <c r="S1111" s="19"/>
      <c r="T1111" s="19"/>
      <c r="U1111" s="19"/>
      <c r="V1111" s="19"/>
      <c r="W1111" s="19"/>
      <c r="X1111" s="19"/>
      <c r="Y1111" s="19"/>
      <c r="Z1111" s="19"/>
      <c r="AA1111" s="19"/>
      <c r="AB1111" s="19"/>
      <c r="AC1111" s="19"/>
    </row>
    <row r="1112" spans="2:29" x14ac:dyDescent="0.25">
      <c r="B1112" s="19"/>
      <c r="C1112" s="19"/>
      <c r="D1112" s="19"/>
      <c r="E1112" s="19"/>
      <c r="F1112" s="19"/>
      <c r="G1112" s="19"/>
      <c r="H1112" s="19"/>
      <c r="I1112" s="19"/>
      <c r="J1112" s="19"/>
      <c r="K1112" s="19"/>
      <c r="L1112" s="19"/>
      <c r="M1112" s="19"/>
      <c r="N1112" s="19"/>
      <c r="O1112" s="19"/>
      <c r="P1112" s="19"/>
      <c r="Q1112" s="19"/>
      <c r="R1112" s="19"/>
      <c r="S1112" s="19"/>
      <c r="T1112" s="19"/>
      <c r="U1112" s="19"/>
      <c r="V1112" s="19"/>
      <c r="W1112" s="19"/>
      <c r="X1112" s="19"/>
      <c r="Y1112" s="19"/>
      <c r="Z1112" s="19"/>
      <c r="AA1112" s="19"/>
      <c r="AB1112" s="19"/>
      <c r="AC1112" s="19"/>
    </row>
    <row r="1113" spans="2:29" x14ac:dyDescent="0.25">
      <c r="B1113" s="19"/>
      <c r="C1113" s="19"/>
      <c r="D1113" s="19"/>
      <c r="E1113" s="19"/>
      <c r="F1113" s="19"/>
      <c r="G1113" s="19"/>
      <c r="H1113" s="19"/>
      <c r="I1113" s="19"/>
      <c r="J1113" s="19"/>
      <c r="K1113" s="19"/>
      <c r="L1113" s="19"/>
      <c r="M1113" s="19"/>
      <c r="N1113" s="19"/>
      <c r="O1113" s="19"/>
      <c r="P1113" s="19"/>
      <c r="Q1113" s="19"/>
      <c r="R1113" s="19"/>
      <c r="S1113" s="19"/>
      <c r="T1113" s="19"/>
      <c r="U1113" s="19"/>
      <c r="V1113" s="19"/>
      <c r="W1113" s="19"/>
      <c r="X1113" s="19"/>
      <c r="Y1113" s="19"/>
      <c r="Z1113" s="19"/>
      <c r="AA1113" s="19"/>
      <c r="AB1113" s="19"/>
      <c r="AC1113" s="19"/>
    </row>
    <row r="1114" spans="2:29" x14ac:dyDescent="0.25">
      <c r="B1114" s="19"/>
      <c r="C1114" s="19"/>
      <c r="D1114" s="19"/>
      <c r="E1114" s="19"/>
      <c r="F1114" s="19"/>
      <c r="G1114" s="19"/>
      <c r="H1114" s="19"/>
      <c r="I1114" s="19"/>
      <c r="J1114" s="19"/>
      <c r="K1114" s="19"/>
      <c r="L1114" s="19"/>
      <c r="M1114" s="19"/>
      <c r="N1114" s="19"/>
      <c r="O1114" s="19"/>
      <c r="P1114" s="19"/>
      <c r="Q1114" s="19"/>
      <c r="R1114" s="19"/>
      <c r="S1114" s="19"/>
      <c r="T1114" s="19"/>
      <c r="U1114" s="19"/>
      <c r="V1114" s="19"/>
      <c r="W1114" s="19"/>
      <c r="X1114" s="19"/>
      <c r="Y1114" s="19"/>
      <c r="Z1114" s="19"/>
      <c r="AA1114" s="19"/>
      <c r="AB1114" s="19"/>
      <c r="AC1114" s="19"/>
    </row>
    <row r="1115" spans="2:29" x14ac:dyDescent="0.25">
      <c r="B1115" s="19"/>
      <c r="C1115" s="19"/>
      <c r="D1115" s="19"/>
      <c r="E1115" s="19"/>
      <c r="F1115" s="19"/>
      <c r="G1115" s="19"/>
      <c r="H1115" s="19"/>
      <c r="I1115" s="19"/>
      <c r="J1115" s="19"/>
      <c r="K1115" s="19"/>
      <c r="L1115" s="19"/>
      <c r="M1115" s="19"/>
      <c r="N1115" s="19"/>
      <c r="O1115" s="19"/>
      <c r="P1115" s="19"/>
      <c r="Q1115" s="19"/>
      <c r="R1115" s="19"/>
      <c r="S1115" s="19"/>
      <c r="T1115" s="19"/>
      <c r="U1115" s="19"/>
      <c r="V1115" s="19"/>
      <c r="W1115" s="19"/>
      <c r="X1115" s="19"/>
      <c r="Y1115" s="19"/>
      <c r="Z1115" s="19"/>
      <c r="AA1115" s="19"/>
      <c r="AB1115" s="19"/>
      <c r="AC1115" s="19"/>
    </row>
    <row r="1116" spans="2:29" x14ac:dyDescent="0.25">
      <c r="B1116" s="19"/>
      <c r="C1116" s="19"/>
      <c r="D1116" s="19"/>
      <c r="E1116" s="19"/>
      <c r="F1116" s="19"/>
      <c r="G1116" s="19"/>
      <c r="H1116" s="19"/>
      <c r="I1116" s="19"/>
      <c r="J1116" s="19"/>
      <c r="K1116" s="19"/>
      <c r="L1116" s="19"/>
      <c r="M1116" s="19"/>
      <c r="N1116" s="19"/>
      <c r="O1116" s="19"/>
      <c r="P1116" s="19"/>
      <c r="Q1116" s="19"/>
      <c r="R1116" s="19"/>
      <c r="S1116" s="19"/>
      <c r="T1116" s="19"/>
      <c r="U1116" s="19"/>
      <c r="V1116" s="19"/>
      <c r="W1116" s="19"/>
      <c r="X1116" s="19"/>
      <c r="Y1116" s="19"/>
      <c r="Z1116" s="19"/>
      <c r="AA1116" s="19"/>
      <c r="AB1116" s="19"/>
      <c r="AC1116" s="19"/>
    </row>
    <row r="1117" spans="2:29" x14ac:dyDescent="0.25">
      <c r="B1117" s="19"/>
      <c r="C1117" s="19"/>
      <c r="D1117" s="19"/>
      <c r="E1117" s="19"/>
      <c r="F1117" s="19"/>
      <c r="G1117" s="19"/>
      <c r="H1117" s="19"/>
      <c r="I1117" s="19"/>
      <c r="J1117" s="19"/>
      <c r="K1117" s="19"/>
      <c r="L1117" s="19"/>
      <c r="M1117" s="19"/>
      <c r="N1117" s="19"/>
      <c r="O1117" s="19"/>
      <c r="P1117" s="19"/>
      <c r="Q1117" s="19"/>
      <c r="R1117" s="19"/>
      <c r="S1117" s="19"/>
      <c r="T1117" s="19"/>
      <c r="U1117" s="19"/>
      <c r="V1117" s="19"/>
      <c r="W1117" s="19"/>
      <c r="X1117" s="19"/>
      <c r="Y1117" s="19"/>
      <c r="Z1117" s="19"/>
      <c r="AA1117" s="19"/>
      <c r="AB1117" s="19"/>
      <c r="AC1117" s="19"/>
    </row>
    <row r="1118" spans="2:29" x14ac:dyDescent="0.25">
      <c r="B1118" s="19"/>
      <c r="C1118" s="19"/>
      <c r="D1118" s="19"/>
      <c r="E1118" s="19"/>
      <c r="F1118" s="19"/>
      <c r="G1118" s="19"/>
      <c r="H1118" s="19"/>
      <c r="I1118" s="19"/>
      <c r="J1118" s="19"/>
      <c r="K1118" s="19"/>
      <c r="L1118" s="19"/>
      <c r="M1118" s="19"/>
      <c r="N1118" s="19"/>
      <c r="O1118" s="19"/>
      <c r="P1118" s="19"/>
      <c r="Q1118" s="19"/>
      <c r="R1118" s="19"/>
      <c r="S1118" s="19"/>
      <c r="T1118" s="19"/>
      <c r="U1118" s="19"/>
      <c r="V1118" s="19"/>
      <c r="W1118" s="19"/>
      <c r="X1118" s="19"/>
      <c r="Y1118" s="19"/>
      <c r="Z1118" s="19"/>
      <c r="AA1118" s="19"/>
      <c r="AB1118" s="19"/>
      <c r="AC1118" s="19"/>
    </row>
    <row r="1119" spans="2:29" x14ac:dyDescent="0.25">
      <c r="B1119" s="19"/>
      <c r="C1119" s="19"/>
      <c r="D1119" s="19"/>
      <c r="E1119" s="19"/>
      <c r="F1119" s="19"/>
      <c r="G1119" s="19"/>
      <c r="H1119" s="19"/>
      <c r="I1119" s="19"/>
      <c r="J1119" s="19"/>
      <c r="K1119" s="19"/>
      <c r="L1119" s="19"/>
      <c r="M1119" s="19"/>
      <c r="N1119" s="19"/>
      <c r="O1119" s="19"/>
      <c r="P1119" s="19"/>
      <c r="Q1119" s="19"/>
      <c r="R1119" s="19"/>
      <c r="S1119" s="19"/>
      <c r="T1119" s="19"/>
      <c r="U1119" s="19"/>
      <c r="V1119" s="19"/>
      <c r="W1119" s="19"/>
      <c r="X1119" s="19"/>
      <c r="Y1119" s="19"/>
      <c r="Z1119" s="19"/>
      <c r="AA1119" s="19"/>
      <c r="AB1119" s="19"/>
      <c r="AC1119" s="19"/>
    </row>
    <row r="1120" spans="2:29" x14ac:dyDescent="0.25">
      <c r="B1120" s="19"/>
      <c r="C1120" s="19"/>
      <c r="D1120" s="19"/>
      <c r="E1120" s="19"/>
      <c r="F1120" s="19"/>
      <c r="G1120" s="19"/>
      <c r="H1120" s="19"/>
      <c r="I1120" s="19"/>
      <c r="J1120" s="19"/>
      <c r="K1120" s="19"/>
      <c r="L1120" s="19"/>
      <c r="M1120" s="19"/>
      <c r="N1120" s="19"/>
      <c r="O1120" s="19"/>
      <c r="P1120" s="19"/>
      <c r="Q1120" s="19"/>
      <c r="R1120" s="19"/>
      <c r="S1120" s="19"/>
      <c r="T1120" s="19"/>
      <c r="U1120" s="19"/>
      <c r="V1120" s="19"/>
      <c r="W1120" s="19"/>
      <c r="X1120" s="19"/>
      <c r="Y1120" s="19"/>
      <c r="Z1120" s="19"/>
      <c r="AA1120" s="19"/>
      <c r="AB1120" s="19"/>
      <c r="AC1120" s="19"/>
    </row>
    <row r="1121" spans="2:29" x14ac:dyDescent="0.25">
      <c r="B1121" s="19"/>
      <c r="C1121" s="19"/>
      <c r="D1121" s="19"/>
      <c r="E1121" s="19"/>
      <c r="F1121" s="19"/>
      <c r="G1121" s="19"/>
      <c r="H1121" s="19"/>
      <c r="I1121" s="19"/>
      <c r="J1121" s="19"/>
      <c r="K1121" s="19"/>
      <c r="L1121" s="19"/>
      <c r="M1121" s="19"/>
      <c r="N1121" s="19"/>
      <c r="O1121" s="19"/>
      <c r="P1121" s="19"/>
      <c r="Q1121" s="19"/>
      <c r="R1121" s="19"/>
      <c r="S1121" s="19"/>
      <c r="T1121" s="19"/>
      <c r="U1121" s="19"/>
      <c r="V1121" s="19"/>
      <c r="W1121" s="19"/>
      <c r="X1121" s="19"/>
      <c r="Y1121" s="19"/>
      <c r="Z1121" s="19"/>
      <c r="AA1121" s="19"/>
      <c r="AB1121" s="19"/>
      <c r="AC1121" s="19"/>
    </row>
    <row r="1122" spans="2:29" x14ac:dyDescent="0.25">
      <c r="B1122" s="19"/>
      <c r="C1122" s="19"/>
      <c r="D1122" s="19"/>
      <c r="E1122" s="19"/>
      <c r="F1122" s="19"/>
      <c r="G1122" s="19"/>
      <c r="H1122" s="19"/>
      <c r="I1122" s="19"/>
      <c r="J1122" s="19"/>
      <c r="K1122" s="19"/>
      <c r="L1122" s="19"/>
      <c r="M1122" s="19"/>
      <c r="N1122" s="19"/>
      <c r="O1122" s="19"/>
      <c r="P1122" s="19"/>
      <c r="Q1122" s="19"/>
      <c r="R1122" s="19"/>
      <c r="S1122" s="19"/>
      <c r="T1122" s="19"/>
      <c r="U1122" s="19"/>
      <c r="V1122" s="19"/>
      <c r="W1122" s="19"/>
      <c r="X1122" s="19"/>
      <c r="Y1122" s="19"/>
      <c r="Z1122" s="19"/>
      <c r="AA1122" s="19"/>
      <c r="AB1122" s="19"/>
      <c r="AC1122" s="19"/>
    </row>
    <row r="1123" spans="2:29" x14ac:dyDescent="0.25">
      <c r="B1123" s="19"/>
      <c r="C1123" s="19"/>
      <c r="D1123" s="19"/>
      <c r="E1123" s="19"/>
      <c r="F1123" s="19"/>
      <c r="G1123" s="19"/>
      <c r="H1123" s="19"/>
      <c r="I1123" s="19"/>
      <c r="J1123" s="19"/>
      <c r="K1123" s="19"/>
      <c r="L1123" s="19"/>
      <c r="M1123" s="19"/>
      <c r="N1123" s="19"/>
      <c r="O1123" s="19"/>
      <c r="P1123" s="19"/>
      <c r="Q1123" s="19"/>
      <c r="R1123" s="19"/>
      <c r="S1123" s="19"/>
      <c r="T1123" s="19"/>
      <c r="U1123" s="19"/>
      <c r="V1123" s="19"/>
      <c r="W1123" s="19"/>
      <c r="X1123" s="19"/>
      <c r="Y1123" s="19"/>
      <c r="Z1123" s="19"/>
      <c r="AA1123" s="19"/>
      <c r="AB1123" s="19"/>
      <c r="AC1123" s="19"/>
    </row>
    <row r="1124" spans="2:29" x14ac:dyDescent="0.25">
      <c r="B1124" s="19"/>
      <c r="C1124" s="19"/>
      <c r="D1124" s="19"/>
      <c r="E1124" s="19"/>
      <c r="F1124" s="19"/>
      <c r="G1124" s="19"/>
      <c r="H1124" s="19"/>
      <c r="I1124" s="19"/>
      <c r="J1124" s="19"/>
      <c r="K1124" s="19"/>
      <c r="L1124" s="19"/>
      <c r="M1124" s="19"/>
      <c r="N1124" s="19"/>
      <c r="O1124" s="19"/>
      <c r="P1124" s="19"/>
      <c r="Q1124" s="19"/>
      <c r="R1124" s="19"/>
      <c r="S1124" s="19"/>
      <c r="T1124" s="19"/>
      <c r="U1124" s="19"/>
      <c r="V1124" s="19"/>
      <c r="W1124" s="19"/>
      <c r="X1124" s="19"/>
      <c r="Y1124" s="19"/>
      <c r="Z1124" s="19"/>
      <c r="AA1124" s="19"/>
      <c r="AB1124" s="19"/>
      <c r="AC1124" s="19"/>
    </row>
    <row r="1125" spans="2:29" x14ac:dyDescent="0.25">
      <c r="B1125" s="19"/>
      <c r="C1125" s="19"/>
      <c r="D1125" s="19"/>
      <c r="E1125" s="19"/>
      <c r="F1125" s="19"/>
      <c r="G1125" s="19"/>
      <c r="H1125" s="19"/>
      <c r="I1125" s="19"/>
      <c r="J1125" s="19"/>
      <c r="K1125" s="19"/>
      <c r="L1125" s="19"/>
      <c r="M1125" s="19"/>
      <c r="N1125" s="19"/>
      <c r="O1125" s="19"/>
      <c r="P1125" s="19"/>
      <c r="Q1125" s="19"/>
      <c r="R1125" s="19"/>
      <c r="S1125" s="19"/>
      <c r="T1125" s="19"/>
      <c r="U1125" s="19"/>
      <c r="V1125" s="19"/>
      <c r="W1125" s="19"/>
      <c r="X1125" s="19"/>
      <c r="Y1125" s="19"/>
      <c r="Z1125" s="19"/>
      <c r="AA1125" s="19"/>
      <c r="AB1125" s="19"/>
      <c r="AC1125" s="19"/>
    </row>
    <row r="1126" spans="2:29" x14ac:dyDescent="0.25">
      <c r="B1126" s="19"/>
      <c r="C1126" s="19"/>
      <c r="D1126" s="19"/>
      <c r="E1126" s="19"/>
      <c r="F1126" s="19"/>
      <c r="G1126" s="19"/>
      <c r="H1126" s="19"/>
      <c r="I1126" s="19"/>
      <c r="J1126" s="19"/>
      <c r="K1126" s="19"/>
      <c r="L1126" s="19"/>
      <c r="M1126" s="19"/>
      <c r="N1126" s="19"/>
      <c r="O1126" s="19"/>
      <c r="P1126" s="19"/>
      <c r="Q1126" s="19"/>
      <c r="R1126" s="19"/>
      <c r="S1126" s="19"/>
      <c r="T1126" s="19"/>
      <c r="U1126" s="19"/>
      <c r="V1126" s="19"/>
      <c r="W1126" s="19"/>
      <c r="X1126" s="19"/>
      <c r="Y1126" s="19"/>
      <c r="Z1126" s="19"/>
      <c r="AA1126" s="19"/>
      <c r="AB1126" s="19"/>
      <c r="AC1126" s="19"/>
    </row>
    <row r="1127" spans="2:29" x14ac:dyDescent="0.25">
      <c r="B1127" s="19"/>
      <c r="C1127" s="19"/>
      <c r="D1127" s="19"/>
      <c r="E1127" s="19"/>
      <c r="F1127" s="19"/>
      <c r="G1127" s="19"/>
      <c r="H1127" s="19"/>
      <c r="I1127" s="19"/>
      <c r="J1127" s="19"/>
      <c r="K1127" s="19"/>
      <c r="L1127" s="19"/>
      <c r="M1127" s="19"/>
      <c r="N1127" s="19"/>
      <c r="O1127" s="19"/>
      <c r="P1127" s="19"/>
      <c r="Q1127" s="19"/>
      <c r="R1127" s="19"/>
      <c r="S1127" s="19"/>
      <c r="T1127" s="19"/>
      <c r="U1127" s="19"/>
      <c r="V1127" s="19"/>
      <c r="W1127" s="19"/>
      <c r="X1127" s="19"/>
      <c r="Y1127" s="19"/>
      <c r="Z1127" s="19"/>
      <c r="AA1127" s="19"/>
      <c r="AB1127" s="19"/>
      <c r="AC1127" s="19"/>
    </row>
    <row r="1128" spans="2:29" x14ac:dyDescent="0.25">
      <c r="B1128" s="19"/>
      <c r="C1128" s="19"/>
      <c r="D1128" s="19"/>
      <c r="E1128" s="19"/>
      <c r="F1128" s="19"/>
      <c r="G1128" s="19"/>
      <c r="H1128" s="19"/>
      <c r="I1128" s="19"/>
      <c r="J1128" s="19"/>
      <c r="K1128" s="19"/>
      <c r="L1128" s="19"/>
      <c r="M1128" s="19"/>
      <c r="N1128" s="19"/>
      <c r="O1128" s="19"/>
      <c r="P1128" s="19"/>
      <c r="Q1128" s="19"/>
      <c r="R1128" s="19"/>
      <c r="S1128" s="19"/>
      <c r="T1128" s="19"/>
      <c r="U1128" s="19"/>
      <c r="V1128" s="19"/>
      <c r="W1128" s="19"/>
      <c r="X1128" s="19"/>
      <c r="Y1128" s="19"/>
      <c r="Z1128" s="19"/>
      <c r="AA1128" s="19"/>
      <c r="AB1128" s="19"/>
      <c r="AC1128" s="19"/>
    </row>
    <row r="1129" spans="2:29" x14ac:dyDescent="0.25">
      <c r="B1129" s="19"/>
      <c r="C1129" s="19"/>
      <c r="D1129" s="19"/>
      <c r="E1129" s="19"/>
      <c r="F1129" s="19"/>
      <c r="G1129" s="19"/>
      <c r="H1129" s="19"/>
      <c r="I1129" s="19"/>
      <c r="J1129" s="19"/>
      <c r="K1129" s="19"/>
      <c r="L1129" s="19"/>
      <c r="M1129" s="19"/>
      <c r="N1129" s="19"/>
      <c r="O1129" s="19"/>
      <c r="P1129" s="19"/>
      <c r="Q1129" s="19"/>
      <c r="R1129" s="19"/>
      <c r="S1129" s="19"/>
      <c r="T1129" s="19"/>
      <c r="U1129" s="19"/>
      <c r="V1129" s="19"/>
      <c r="W1129" s="19"/>
      <c r="X1129" s="19"/>
      <c r="Y1129" s="19"/>
      <c r="Z1129" s="19"/>
      <c r="AA1129" s="19"/>
      <c r="AB1129" s="19"/>
      <c r="AC1129" s="19"/>
    </row>
    <row r="1130" spans="2:29" x14ac:dyDescent="0.25">
      <c r="B1130" s="19"/>
      <c r="C1130" s="19"/>
      <c r="D1130" s="19"/>
      <c r="E1130" s="19"/>
      <c r="F1130" s="19"/>
      <c r="G1130" s="19"/>
      <c r="H1130" s="19"/>
      <c r="I1130" s="19"/>
      <c r="J1130" s="19"/>
      <c r="K1130" s="19"/>
      <c r="L1130" s="19"/>
      <c r="M1130" s="19"/>
      <c r="N1130" s="19"/>
      <c r="O1130" s="19"/>
      <c r="P1130" s="19"/>
      <c r="Q1130" s="19"/>
      <c r="R1130" s="19"/>
      <c r="S1130" s="19"/>
      <c r="T1130" s="19"/>
      <c r="U1130" s="19"/>
      <c r="V1130" s="19"/>
      <c r="W1130" s="19"/>
      <c r="X1130" s="19"/>
      <c r="Y1130" s="19"/>
      <c r="Z1130" s="19"/>
      <c r="AA1130" s="19"/>
      <c r="AB1130" s="19"/>
      <c r="AC1130" s="19"/>
    </row>
    <row r="1131" spans="2:29" x14ac:dyDescent="0.25">
      <c r="B1131" s="19"/>
      <c r="C1131" s="19"/>
      <c r="D1131" s="19"/>
      <c r="E1131" s="19"/>
      <c r="F1131" s="19"/>
      <c r="G1131" s="19"/>
      <c r="H1131" s="19"/>
      <c r="I1131" s="19"/>
      <c r="J1131" s="19"/>
      <c r="K1131" s="19"/>
      <c r="L1131" s="19"/>
      <c r="M1131" s="19"/>
      <c r="N1131" s="19"/>
      <c r="O1131" s="19"/>
      <c r="P1131" s="19"/>
      <c r="Q1131" s="19"/>
      <c r="R1131" s="19"/>
      <c r="S1131" s="19"/>
      <c r="T1131" s="19"/>
      <c r="U1131" s="19"/>
      <c r="V1131" s="19"/>
      <c r="W1131" s="19"/>
      <c r="X1131" s="19"/>
      <c r="Y1131" s="19"/>
      <c r="Z1131" s="19"/>
      <c r="AA1131" s="19"/>
      <c r="AB1131" s="19"/>
      <c r="AC1131" s="19"/>
    </row>
    <row r="1132" spans="2:29" x14ac:dyDescent="0.25">
      <c r="B1132" s="19"/>
      <c r="C1132" s="19"/>
      <c r="D1132" s="19"/>
      <c r="E1132" s="19"/>
      <c r="F1132" s="19"/>
      <c r="G1132" s="19"/>
      <c r="H1132" s="19"/>
      <c r="I1132" s="19"/>
      <c r="J1132" s="19"/>
      <c r="K1132" s="19"/>
      <c r="L1132" s="19"/>
      <c r="M1132" s="19"/>
      <c r="N1132" s="19"/>
      <c r="O1132" s="19"/>
      <c r="P1132" s="19"/>
      <c r="Q1132" s="19"/>
      <c r="R1132" s="19"/>
      <c r="S1132" s="19"/>
      <c r="T1132" s="19"/>
      <c r="U1132" s="19"/>
      <c r="V1132" s="19"/>
      <c r="W1132" s="19"/>
      <c r="X1132" s="19"/>
      <c r="Y1132" s="19"/>
      <c r="Z1132" s="19"/>
      <c r="AA1132" s="19"/>
      <c r="AB1132" s="19"/>
      <c r="AC1132" s="19"/>
    </row>
    <row r="1133" spans="2:29" x14ac:dyDescent="0.25">
      <c r="B1133" s="19"/>
      <c r="C1133" s="19"/>
      <c r="D1133" s="19"/>
      <c r="E1133" s="19"/>
      <c r="F1133" s="19"/>
      <c r="G1133" s="19"/>
      <c r="H1133" s="19"/>
      <c r="I1133" s="19"/>
      <c r="J1133" s="19"/>
      <c r="K1133" s="19"/>
      <c r="L1133" s="19"/>
      <c r="M1133" s="19"/>
      <c r="N1133" s="19"/>
      <c r="O1133" s="19"/>
      <c r="P1133" s="19"/>
      <c r="Q1133" s="19"/>
      <c r="R1133" s="19"/>
      <c r="S1133" s="19"/>
      <c r="T1133" s="19"/>
      <c r="U1133" s="19"/>
      <c r="V1133" s="19"/>
      <c r="W1133" s="19"/>
      <c r="X1133" s="19"/>
      <c r="Y1133" s="19"/>
      <c r="Z1133" s="19"/>
      <c r="AA1133" s="19"/>
      <c r="AB1133" s="19"/>
      <c r="AC1133" s="19"/>
    </row>
    <row r="1134" spans="2:29" x14ac:dyDescent="0.25">
      <c r="B1134" s="19"/>
      <c r="C1134" s="19"/>
      <c r="D1134" s="19"/>
      <c r="E1134" s="19"/>
      <c r="F1134" s="19"/>
      <c r="G1134" s="19"/>
      <c r="H1134" s="19"/>
      <c r="I1134" s="19"/>
      <c r="J1134" s="19"/>
      <c r="K1134" s="19"/>
      <c r="L1134" s="19"/>
      <c r="M1134" s="19"/>
      <c r="N1134" s="19"/>
      <c r="O1134" s="19"/>
      <c r="P1134" s="19"/>
      <c r="Q1134" s="19"/>
      <c r="R1134" s="19"/>
      <c r="S1134" s="19"/>
      <c r="T1134" s="19"/>
      <c r="U1134" s="19"/>
      <c r="V1134" s="19"/>
      <c r="W1134" s="19"/>
      <c r="X1134" s="19"/>
      <c r="Y1134" s="19"/>
      <c r="Z1134" s="19"/>
      <c r="AA1134" s="19"/>
      <c r="AB1134" s="19"/>
      <c r="AC1134" s="19"/>
    </row>
    <row r="1135" spans="2:29" x14ac:dyDescent="0.25">
      <c r="B1135" s="19"/>
      <c r="C1135" s="19"/>
      <c r="D1135" s="19"/>
      <c r="E1135" s="19"/>
      <c r="F1135" s="19"/>
      <c r="G1135" s="19"/>
      <c r="H1135" s="19"/>
      <c r="I1135" s="19"/>
      <c r="J1135" s="19"/>
      <c r="K1135" s="19"/>
      <c r="L1135" s="19"/>
      <c r="M1135" s="19"/>
      <c r="N1135" s="19"/>
      <c r="O1135" s="19"/>
      <c r="P1135" s="19"/>
      <c r="Q1135" s="19"/>
      <c r="R1135" s="19"/>
      <c r="S1135" s="19"/>
      <c r="T1135" s="19"/>
      <c r="U1135" s="19"/>
      <c r="V1135" s="19"/>
      <c r="W1135" s="19"/>
      <c r="X1135" s="19"/>
      <c r="Y1135" s="19"/>
      <c r="Z1135" s="19"/>
      <c r="AA1135" s="19"/>
      <c r="AB1135" s="19"/>
      <c r="AC1135" s="19"/>
    </row>
    <row r="1136" spans="2:29" x14ac:dyDescent="0.25">
      <c r="B1136" s="19"/>
      <c r="C1136" s="19"/>
      <c r="D1136" s="19"/>
      <c r="E1136" s="19"/>
      <c r="F1136" s="19"/>
      <c r="G1136" s="19"/>
      <c r="H1136" s="19"/>
      <c r="I1136" s="19"/>
      <c r="J1136" s="19"/>
      <c r="K1136" s="19"/>
      <c r="L1136" s="19"/>
      <c r="M1136" s="19"/>
      <c r="N1136" s="19"/>
      <c r="O1136" s="19"/>
      <c r="P1136" s="19"/>
      <c r="Q1136" s="19"/>
      <c r="R1136" s="19"/>
      <c r="S1136" s="19"/>
      <c r="T1136" s="19"/>
      <c r="U1136" s="19"/>
      <c r="V1136" s="19"/>
      <c r="W1136" s="19"/>
      <c r="X1136" s="19"/>
      <c r="Y1136" s="19"/>
      <c r="Z1136" s="19"/>
      <c r="AA1136" s="19"/>
      <c r="AB1136" s="19"/>
      <c r="AC1136" s="19"/>
    </row>
    <row r="1137" spans="2:29" x14ac:dyDescent="0.25">
      <c r="B1137" s="19"/>
      <c r="C1137" s="19"/>
      <c r="D1137" s="19"/>
      <c r="E1137" s="19"/>
      <c r="F1137" s="19"/>
      <c r="G1137" s="19"/>
      <c r="H1137" s="19"/>
      <c r="I1137" s="19"/>
      <c r="J1137" s="19"/>
      <c r="K1137" s="19"/>
      <c r="L1137" s="19"/>
      <c r="M1137" s="19"/>
      <c r="N1137" s="19"/>
      <c r="O1137" s="19"/>
      <c r="P1137" s="19"/>
      <c r="Q1137" s="19"/>
      <c r="R1137" s="19"/>
      <c r="S1137" s="19"/>
      <c r="T1137" s="19"/>
      <c r="U1137" s="19"/>
      <c r="V1137" s="19"/>
      <c r="W1137" s="19"/>
      <c r="X1137" s="19"/>
      <c r="Y1137" s="19"/>
      <c r="Z1137" s="19"/>
      <c r="AA1137" s="19"/>
      <c r="AB1137" s="19"/>
      <c r="AC1137" s="19"/>
    </row>
    <row r="1138" spans="2:29" x14ac:dyDescent="0.25">
      <c r="B1138" s="19"/>
      <c r="C1138" s="19"/>
      <c r="D1138" s="19"/>
      <c r="E1138" s="19"/>
      <c r="F1138" s="19"/>
      <c r="G1138" s="19"/>
      <c r="H1138" s="19"/>
      <c r="I1138" s="19"/>
      <c r="J1138" s="19"/>
      <c r="K1138" s="19"/>
      <c r="L1138" s="19"/>
      <c r="M1138" s="19"/>
      <c r="N1138" s="19"/>
      <c r="O1138" s="19"/>
      <c r="P1138" s="19"/>
      <c r="Q1138" s="19"/>
      <c r="R1138" s="19"/>
      <c r="S1138" s="19"/>
      <c r="T1138" s="19"/>
      <c r="U1138" s="19"/>
      <c r="V1138" s="19"/>
      <c r="W1138" s="19"/>
      <c r="X1138" s="19"/>
      <c r="Y1138" s="19"/>
      <c r="Z1138" s="19"/>
      <c r="AA1138" s="19"/>
      <c r="AB1138" s="19"/>
      <c r="AC1138" s="19"/>
    </row>
    <row r="1139" spans="2:29" x14ac:dyDescent="0.25">
      <c r="B1139" s="19"/>
      <c r="C1139" s="19"/>
      <c r="D1139" s="19"/>
      <c r="E1139" s="19"/>
      <c r="F1139" s="19"/>
      <c r="G1139" s="19"/>
      <c r="H1139" s="19"/>
      <c r="I1139" s="19"/>
      <c r="J1139" s="19"/>
      <c r="K1139" s="19"/>
      <c r="L1139" s="19"/>
      <c r="M1139" s="19"/>
      <c r="N1139" s="19"/>
      <c r="O1139" s="19"/>
      <c r="P1139" s="19"/>
      <c r="Q1139" s="19"/>
      <c r="R1139" s="19"/>
      <c r="S1139" s="19"/>
      <c r="T1139" s="19"/>
      <c r="U1139" s="19"/>
      <c r="V1139" s="19"/>
      <c r="W1139" s="19"/>
      <c r="X1139" s="19"/>
      <c r="Y1139" s="19"/>
      <c r="Z1139" s="19"/>
      <c r="AA1139" s="19"/>
      <c r="AB1139" s="19"/>
      <c r="AC1139" s="19"/>
    </row>
    <row r="1140" spans="2:29" x14ac:dyDescent="0.25">
      <c r="B1140" s="19"/>
      <c r="C1140" s="19"/>
      <c r="D1140" s="19"/>
      <c r="E1140" s="19"/>
      <c r="F1140" s="19"/>
      <c r="G1140" s="19"/>
      <c r="H1140" s="19"/>
      <c r="I1140" s="19"/>
      <c r="J1140" s="19"/>
      <c r="K1140" s="19"/>
      <c r="L1140" s="19"/>
      <c r="M1140" s="19"/>
      <c r="N1140" s="19"/>
      <c r="O1140" s="19"/>
      <c r="P1140" s="19"/>
      <c r="Q1140" s="19"/>
      <c r="R1140" s="19"/>
      <c r="S1140" s="19"/>
      <c r="T1140" s="19"/>
      <c r="U1140" s="19"/>
      <c r="V1140" s="19"/>
      <c r="W1140" s="19"/>
      <c r="X1140" s="19"/>
      <c r="Y1140" s="19"/>
      <c r="Z1140" s="19"/>
      <c r="AA1140" s="19"/>
      <c r="AB1140" s="19"/>
      <c r="AC1140" s="19"/>
    </row>
    <row r="1141" spans="2:29" x14ac:dyDescent="0.25">
      <c r="B1141" s="19"/>
      <c r="C1141" s="19"/>
      <c r="D1141" s="19"/>
      <c r="E1141" s="19"/>
      <c r="F1141" s="19"/>
      <c r="G1141" s="19"/>
      <c r="H1141" s="19"/>
      <c r="I1141" s="19"/>
      <c r="J1141" s="19"/>
      <c r="K1141" s="19"/>
      <c r="L1141" s="19"/>
      <c r="M1141" s="19"/>
      <c r="N1141" s="19"/>
      <c r="O1141" s="19"/>
      <c r="P1141" s="19"/>
      <c r="Q1141" s="19"/>
      <c r="R1141" s="19"/>
      <c r="S1141" s="19"/>
      <c r="T1141" s="19"/>
      <c r="U1141" s="19"/>
      <c r="V1141" s="19"/>
      <c r="W1141" s="19"/>
      <c r="X1141" s="19"/>
      <c r="Y1141" s="19"/>
      <c r="Z1141" s="19"/>
      <c r="AA1141" s="19"/>
      <c r="AB1141" s="19"/>
      <c r="AC1141" s="19"/>
    </row>
    <row r="1142" spans="2:29" x14ac:dyDescent="0.25">
      <c r="B1142" s="19"/>
      <c r="C1142" s="19"/>
      <c r="D1142" s="19"/>
      <c r="E1142" s="19"/>
      <c r="F1142" s="19"/>
      <c r="G1142" s="19"/>
      <c r="H1142" s="19"/>
      <c r="I1142" s="19"/>
      <c r="J1142" s="19"/>
      <c r="K1142" s="19"/>
      <c r="L1142" s="19"/>
      <c r="M1142" s="19"/>
      <c r="N1142" s="19"/>
      <c r="O1142" s="19"/>
      <c r="P1142" s="19"/>
      <c r="Q1142" s="19"/>
      <c r="R1142" s="19"/>
      <c r="S1142" s="19"/>
      <c r="T1142" s="19"/>
      <c r="U1142" s="19"/>
      <c r="V1142" s="19"/>
      <c r="W1142" s="19"/>
      <c r="X1142" s="19"/>
      <c r="Y1142" s="19"/>
      <c r="Z1142" s="19"/>
      <c r="AA1142" s="19"/>
      <c r="AB1142" s="19"/>
      <c r="AC1142" s="19"/>
    </row>
    <row r="1143" spans="2:29" x14ac:dyDescent="0.25">
      <c r="B1143" s="19"/>
      <c r="C1143" s="19"/>
      <c r="D1143" s="19"/>
      <c r="E1143" s="19"/>
      <c r="F1143" s="19"/>
      <c r="G1143" s="19"/>
      <c r="H1143" s="19"/>
      <c r="I1143" s="19"/>
      <c r="J1143" s="19"/>
      <c r="K1143" s="19"/>
      <c r="L1143" s="19"/>
      <c r="M1143" s="19"/>
      <c r="N1143" s="19"/>
      <c r="O1143" s="19"/>
      <c r="P1143" s="19"/>
      <c r="Q1143" s="19"/>
      <c r="R1143" s="19"/>
      <c r="S1143" s="19"/>
      <c r="T1143" s="19"/>
      <c r="U1143" s="19"/>
      <c r="V1143" s="19"/>
      <c r="W1143" s="19"/>
      <c r="X1143" s="19"/>
      <c r="Y1143" s="19"/>
      <c r="Z1143" s="19"/>
      <c r="AA1143" s="19"/>
      <c r="AB1143" s="19"/>
      <c r="AC1143" s="19"/>
    </row>
    <row r="1144" spans="2:29" x14ac:dyDescent="0.25">
      <c r="B1144" s="19"/>
      <c r="C1144" s="19"/>
      <c r="D1144" s="19"/>
      <c r="E1144" s="19"/>
      <c r="F1144" s="19"/>
      <c r="G1144" s="19"/>
      <c r="H1144" s="19"/>
      <c r="I1144" s="19"/>
      <c r="J1144" s="19"/>
      <c r="K1144" s="19"/>
      <c r="L1144" s="19"/>
      <c r="M1144" s="19"/>
      <c r="N1144" s="19"/>
      <c r="O1144" s="19"/>
      <c r="P1144" s="19"/>
      <c r="Q1144" s="19"/>
      <c r="R1144" s="19"/>
      <c r="S1144" s="19"/>
      <c r="T1144" s="19"/>
      <c r="U1144" s="19"/>
      <c r="V1144" s="19"/>
      <c r="W1144" s="19"/>
      <c r="X1144" s="19"/>
      <c r="Y1144" s="19"/>
      <c r="Z1144" s="19"/>
      <c r="AA1144" s="19"/>
      <c r="AB1144" s="19"/>
      <c r="AC1144" s="19"/>
    </row>
    <row r="1145" spans="2:29" x14ac:dyDescent="0.25">
      <c r="B1145" s="19"/>
      <c r="C1145" s="19"/>
      <c r="D1145" s="19"/>
      <c r="E1145" s="19"/>
      <c r="F1145" s="19"/>
      <c r="G1145" s="19"/>
      <c r="H1145" s="19"/>
      <c r="I1145" s="19"/>
      <c r="J1145" s="19"/>
      <c r="K1145" s="19"/>
      <c r="L1145" s="19"/>
      <c r="M1145" s="19"/>
      <c r="N1145" s="19"/>
      <c r="O1145" s="19"/>
      <c r="P1145" s="19"/>
      <c r="Q1145" s="19"/>
      <c r="R1145" s="19"/>
      <c r="S1145" s="19"/>
      <c r="T1145" s="19"/>
      <c r="U1145" s="19"/>
      <c r="V1145" s="19"/>
      <c r="W1145" s="19"/>
      <c r="X1145" s="19"/>
      <c r="Y1145" s="19"/>
      <c r="Z1145" s="19"/>
      <c r="AA1145" s="19"/>
      <c r="AB1145" s="19"/>
      <c r="AC1145" s="19"/>
    </row>
    <row r="1146" spans="2:29" x14ac:dyDescent="0.25">
      <c r="B1146" s="19"/>
      <c r="C1146" s="19"/>
      <c r="D1146" s="19"/>
      <c r="E1146" s="19"/>
      <c r="F1146" s="19"/>
      <c r="G1146" s="19"/>
      <c r="H1146" s="19"/>
      <c r="I1146" s="19"/>
      <c r="J1146" s="19"/>
      <c r="K1146" s="19"/>
      <c r="L1146" s="19"/>
      <c r="M1146" s="19"/>
      <c r="N1146" s="19"/>
      <c r="O1146" s="19"/>
      <c r="P1146" s="19"/>
      <c r="Q1146" s="19"/>
      <c r="R1146" s="19"/>
      <c r="S1146" s="19"/>
      <c r="T1146" s="19"/>
      <c r="U1146" s="19"/>
      <c r="V1146" s="19"/>
      <c r="W1146" s="19"/>
      <c r="X1146" s="19"/>
      <c r="Y1146" s="19"/>
      <c r="Z1146" s="19"/>
      <c r="AA1146" s="19"/>
      <c r="AB1146" s="19"/>
      <c r="AC1146" s="19"/>
    </row>
    <row r="1147" spans="2:29" x14ac:dyDescent="0.25">
      <c r="B1147" s="19"/>
      <c r="C1147" s="19"/>
      <c r="D1147" s="19"/>
      <c r="E1147" s="19"/>
      <c r="F1147" s="19"/>
      <c r="G1147" s="19"/>
      <c r="H1147" s="19"/>
      <c r="I1147" s="19"/>
      <c r="J1147" s="19"/>
      <c r="K1147" s="19"/>
      <c r="L1147" s="19"/>
      <c r="M1147" s="19"/>
      <c r="N1147" s="19"/>
      <c r="O1147" s="19"/>
      <c r="P1147" s="19"/>
      <c r="Q1147" s="19"/>
      <c r="R1147" s="19"/>
      <c r="S1147" s="19"/>
      <c r="T1147" s="19"/>
      <c r="U1147" s="19"/>
      <c r="V1147" s="19"/>
      <c r="W1147" s="19"/>
      <c r="X1147" s="19"/>
      <c r="Y1147" s="19"/>
      <c r="Z1147" s="19"/>
      <c r="AA1147" s="19"/>
      <c r="AB1147" s="19"/>
      <c r="AC1147" s="19"/>
    </row>
    <row r="1148" spans="2:29" x14ac:dyDescent="0.25">
      <c r="B1148" s="19"/>
      <c r="C1148" s="19"/>
      <c r="D1148" s="19"/>
      <c r="E1148" s="19"/>
      <c r="F1148" s="19"/>
      <c r="G1148" s="19"/>
      <c r="H1148" s="19"/>
      <c r="I1148" s="19"/>
      <c r="J1148" s="19"/>
      <c r="K1148" s="19"/>
      <c r="L1148" s="19"/>
      <c r="M1148" s="19"/>
      <c r="N1148" s="19"/>
      <c r="O1148" s="19"/>
      <c r="P1148" s="19"/>
      <c r="Q1148" s="19"/>
      <c r="R1148" s="19"/>
      <c r="S1148" s="19"/>
      <c r="T1148" s="19"/>
      <c r="U1148" s="19"/>
      <c r="V1148" s="19"/>
      <c r="W1148" s="19"/>
      <c r="X1148" s="19"/>
      <c r="Y1148" s="19"/>
      <c r="Z1148" s="19"/>
      <c r="AA1148" s="19"/>
      <c r="AB1148" s="19"/>
      <c r="AC1148" s="19"/>
    </row>
    <row r="1149" spans="2:29" x14ac:dyDescent="0.25">
      <c r="B1149" s="19"/>
      <c r="C1149" s="19"/>
      <c r="D1149" s="19"/>
      <c r="E1149" s="19"/>
      <c r="F1149" s="19"/>
      <c r="G1149" s="19"/>
      <c r="H1149" s="19"/>
      <c r="I1149" s="19"/>
      <c r="J1149" s="19"/>
      <c r="K1149" s="19"/>
      <c r="L1149" s="19"/>
      <c r="M1149" s="19"/>
      <c r="N1149" s="19"/>
      <c r="O1149" s="19"/>
      <c r="P1149" s="19"/>
      <c r="Q1149" s="19"/>
      <c r="R1149" s="19"/>
      <c r="S1149" s="19"/>
      <c r="T1149" s="19"/>
      <c r="U1149" s="19"/>
      <c r="V1149" s="19"/>
      <c r="W1149" s="19"/>
      <c r="X1149" s="19"/>
      <c r="Y1149" s="19"/>
      <c r="Z1149" s="19"/>
      <c r="AA1149" s="19"/>
      <c r="AB1149" s="19"/>
      <c r="AC1149" s="19"/>
    </row>
    <row r="1150" spans="2:29" x14ac:dyDescent="0.25">
      <c r="B1150" s="19"/>
      <c r="C1150" s="19"/>
      <c r="D1150" s="19"/>
      <c r="E1150" s="19"/>
      <c r="F1150" s="19"/>
      <c r="G1150" s="19"/>
      <c r="H1150" s="19"/>
      <c r="I1150" s="19"/>
      <c r="J1150" s="19"/>
      <c r="K1150" s="19"/>
      <c r="L1150" s="19"/>
      <c r="M1150" s="19"/>
      <c r="N1150" s="19"/>
      <c r="O1150" s="19"/>
      <c r="P1150" s="19"/>
      <c r="Q1150" s="19"/>
      <c r="R1150" s="19"/>
      <c r="S1150" s="19"/>
      <c r="T1150" s="19"/>
      <c r="U1150" s="19"/>
      <c r="V1150" s="19"/>
      <c r="W1150" s="19"/>
      <c r="X1150" s="19"/>
      <c r="Y1150" s="19"/>
      <c r="Z1150" s="19"/>
      <c r="AA1150" s="19"/>
      <c r="AB1150" s="19"/>
      <c r="AC1150" s="19"/>
    </row>
    <row r="1151" spans="2:29" x14ac:dyDescent="0.25">
      <c r="B1151" s="19"/>
      <c r="C1151" s="19"/>
      <c r="D1151" s="19"/>
      <c r="E1151" s="19"/>
      <c r="F1151" s="19"/>
      <c r="G1151" s="19"/>
      <c r="H1151" s="19"/>
      <c r="I1151" s="19"/>
      <c r="J1151" s="19"/>
      <c r="K1151" s="19"/>
      <c r="L1151" s="19"/>
      <c r="M1151" s="19"/>
      <c r="N1151" s="19"/>
      <c r="O1151" s="19"/>
      <c r="P1151" s="19"/>
      <c r="Q1151" s="19"/>
      <c r="R1151" s="19"/>
      <c r="S1151" s="19"/>
      <c r="T1151" s="19"/>
      <c r="U1151" s="19"/>
      <c r="V1151" s="19"/>
      <c r="W1151" s="19"/>
      <c r="X1151" s="19"/>
      <c r="Y1151" s="19"/>
      <c r="Z1151" s="19"/>
      <c r="AA1151" s="19"/>
      <c r="AB1151" s="19"/>
      <c r="AC1151" s="19"/>
    </row>
    <row r="1152" spans="2:29" x14ac:dyDescent="0.25">
      <c r="B1152" s="19"/>
      <c r="C1152" s="19"/>
      <c r="D1152" s="19"/>
      <c r="E1152" s="19"/>
      <c r="F1152" s="19"/>
      <c r="G1152" s="19"/>
      <c r="H1152" s="19"/>
      <c r="I1152" s="19"/>
      <c r="J1152" s="19"/>
      <c r="K1152" s="19"/>
      <c r="L1152" s="19"/>
      <c r="M1152" s="19"/>
      <c r="N1152" s="19"/>
      <c r="O1152" s="19"/>
      <c r="P1152" s="19"/>
      <c r="Q1152" s="19"/>
      <c r="R1152" s="19"/>
      <c r="S1152" s="19"/>
      <c r="T1152" s="19"/>
      <c r="U1152" s="19"/>
      <c r="V1152" s="19"/>
      <c r="W1152" s="19"/>
      <c r="X1152" s="19"/>
      <c r="Y1152" s="19"/>
      <c r="Z1152" s="19"/>
      <c r="AA1152" s="19"/>
      <c r="AB1152" s="19"/>
      <c r="AC1152" s="19"/>
    </row>
    <row r="1153" spans="2:29" x14ac:dyDescent="0.25">
      <c r="B1153" s="19"/>
      <c r="C1153" s="19"/>
      <c r="D1153" s="19"/>
      <c r="E1153" s="19"/>
      <c r="F1153" s="19"/>
      <c r="G1153" s="19"/>
      <c r="H1153" s="19"/>
      <c r="I1153" s="19"/>
      <c r="J1153" s="19"/>
      <c r="K1153" s="19"/>
      <c r="L1153" s="19"/>
      <c r="M1153" s="19"/>
      <c r="N1153" s="19"/>
      <c r="O1153" s="19"/>
      <c r="P1153" s="19"/>
      <c r="Q1153" s="19"/>
      <c r="R1153" s="19"/>
      <c r="S1153" s="19"/>
      <c r="T1153" s="19"/>
      <c r="U1153" s="19"/>
      <c r="V1153" s="19"/>
      <c r="W1153" s="19"/>
      <c r="X1153" s="19"/>
      <c r="Y1153" s="19"/>
      <c r="Z1153" s="19"/>
      <c r="AA1153" s="19"/>
      <c r="AB1153" s="19"/>
      <c r="AC1153" s="19"/>
    </row>
    <row r="1154" spans="2:29" x14ac:dyDescent="0.25">
      <c r="B1154" s="19"/>
      <c r="C1154" s="19"/>
      <c r="D1154" s="19"/>
      <c r="E1154" s="19"/>
      <c r="F1154" s="19"/>
      <c r="G1154" s="19"/>
      <c r="H1154" s="19"/>
      <c r="I1154" s="19"/>
      <c r="J1154" s="19"/>
      <c r="K1154" s="19"/>
      <c r="L1154" s="19"/>
      <c r="M1154" s="19"/>
      <c r="N1154" s="19"/>
      <c r="O1154" s="19"/>
      <c r="P1154" s="19"/>
      <c r="Q1154" s="19"/>
      <c r="R1154" s="19"/>
      <c r="S1154" s="19"/>
      <c r="T1154" s="19"/>
      <c r="U1154" s="19"/>
      <c r="V1154" s="19"/>
      <c r="W1154" s="19"/>
      <c r="X1154" s="19"/>
      <c r="Y1154" s="19"/>
      <c r="Z1154" s="19"/>
      <c r="AA1154" s="19"/>
      <c r="AB1154" s="19"/>
      <c r="AC1154" s="19"/>
    </row>
    <row r="1155" spans="2:29" x14ac:dyDescent="0.25">
      <c r="B1155" s="19"/>
      <c r="C1155" s="19"/>
      <c r="D1155" s="19"/>
      <c r="E1155" s="19"/>
      <c r="F1155" s="19"/>
      <c r="G1155" s="19"/>
      <c r="H1155" s="19"/>
      <c r="I1155" s="19"/>
      <c r="J1155" s="19"/>
      <c r="K1155" s="19"/>
      <c r="L1155" s="19"/>
      <c r="M1155" s="19"/>
      <c r="N1155" s="19"/>
      <c r="O1155" s="19"/>
      <c r="P1155" s="19"/>
      <c r="Q1155" s="19"/>
      <c r="R1155" s="19"/>
      <c r="S1155" s="19"/>
      <c r="T1155" s="19"/>
      <c r="U1155" s="19"/>
      <c r="V1155" s="19"/>
      <c r="W1155" s="19"/>
      <c r="X1155" s="19"/>
      <c r="Y1155" s="19"/>
      <c r="Z1155" s="19"/>
      <c r="AA1155" s="19"/>
      <c r="AB1155" s="19"/>
      <c r="AC1155" s="19"/>
    </row>
    <row r="1156" spans="2:29" x14ac:dyDescent="0.25">
      <c r="B1156" s="19"/>
      <c r="C1156" s="19"/>
      <c r="D1156" s="19"/>
      <c r="E1156" s="19"/>
      <c r="F1156" s="19"/>
      <c r="G1156" s="19"/>
      <c r="H1156" s="19"/>
      <c r="I1156" s="19"/>
      <c r="J1156" s="19"/>
      <c r="K1156" s="19"/>
      <c r="L1156" s="19"/>
      <c r="M1156" s="19"/>
      <c r="N1156" s="19"/>
      <c r="O1156" s="19"/>
      <c r="P1156" s="19"/>
      <c r="Q1156" s="19"/>
      <c r="R1156" s="19"/>
      <c r="S1156" s="19"/>
      <c r="T1156" s="19"/>
      <c r="U1156" s="19"/>
      <c r="V1156" s="19"/>
      <c r="W1156" s="19"/>
      <c r="X1156" s="19"/>
      <c r="Y1156" s="19"/>
      <c r="Z1156" s="19"/>
      <c r="AA1156" s="19"/>
      <c r="AB1156" s="19"/>
      <c r="AC1156" s="19"/>
    </row>
    <row r="1157" spans="2:29" x14ac:dyDescent="0.25">
      <c r="B1157" s="19"/>
      <c r="C1157" s="19"/>
      <c r="D1157" s="19"/>
      <c r="E1157" s="19"/>
      <c r="F1157" s="19"/>
      <c r="G1157" s="19"/>
      <c r="H1157" s="19"/>
      <c r="I1157" s="19"/>
      <c r="J1157" s="19"/>
      <c r="K1157" s="19"/>
      <c r="L1157" s="19"/>
      <c r="M1157" s="19"/>
      <c r="N1157" s="19"/>
      <c r="O1157" s="19"/>
      <c r="P1157" s="19"/>
      <c r="Q1157" s="19"/>
      <c r="R1157" s="19"/>
      <c r="S1157" s="19"/>
      <c r="T1157" s="19"/>
      <c r="U1157" s="19"/>
      <c r="V1157" s="19"/>
      <c r="W1157" s="19"/>
      <c r="X1157" s="19"/>
      <c r="Y1157" s="19"/>
      <c r="Z1157" s="19"/>
      <c r="AA1157" s="19"/>
      <c r="AB1157" s="19"/>
      <c r="AC1157" s="19"/>
    </row>
    <row r="1158" spans="2:29" x14ac:dyDescent="0.25">
      <c r="B1158" s="19"/>
      <c r="C1158" s="19"/>
      <c r="D1158" s="19"/>
      <c r="E1158" s="19"/>
      <c r="F1158" s="19"/>
      <c r="G1158" s="19"/>
      <c r="H1158" s="19"/>
      <c r="I1158" s="19"/>
      <c r="J1158" s="19"/>
      <c r="K1158" s="19"/>
      <c r="L1158" s="19"/>
      <c r="M1158" s="19"/>
      <c r="N1158" s="19"/>
      <c r="O1158" s="19"/>
      <c r="P1158" s="19"/>
      <c r="Q1158" s="19"/>
      <c r="R1158" s="19"/>
      <c r="S1158" s="19"/>
      <c r="T1158" s="19"/>
      <c r="U1158" s="19"/>
      <c r="V1158" s="19"/>
      <c r="W1158" s="19"/>
      <c r="X1158" s="19"/>
      <c r="Y1158" s="19"/>
      <c r="Z1158" s="19"/>
      <c r="AA1158" s="19"/>
      <c r="AB1158" s="19"/>
      <c r="AC1158" s="19"/>
    </row>
    <row r="1159" spans="2:29" x14ac:dyDescent="0.25">
      <c r="B1159" s="19"/>
      <c r="C1159" s="19"/>
      <c r="D1159" s="19"/>
      <c r="E1159" s="19"/>
      <c r="F1159" s="19"/>
      <c r="G1159" s="19"/>
      <c r="H1159" s="19"/>
      <c r="I1159" s="19"/>
      <c r="J1159" s="19"/>
      <c r="K1159" s="19"/>
      <c r="L1159" s="19"/>
      <c r="M1159" s="19"/>
      <c r="N1159" s="19"/>
      <c r="O1159" s="19"/>
      <c r="P1159" s="19"/>
      <c r="Q1159" s="19"/>
      <c r="R1159" s="19"/>
      <c r="S1159" s="19"/>
      <c r="T1159" s="19"/>
      <c r="U1159" s="19"/>
      <c r="V1159" s="19"/>
      <c r="W1159" s="19"/>
      <c r="X1159" s="19"/>
      <c r="Y1159" s="19"/>
      <c r="Z1159" s="19"/>
      <c r="AA1159" s="19"/>
      <c r="AB1159" s="19"/>
      <c r="AC1159" s="19"/>
    </row>
    <row r="1160" spans="2:29" x14ac:dyDescent="0.25">
      <c r="B1160" s="19"/>
      <c r="C1160" s="19"/>
      <c r="D1160" s="19"/>
      <c r="E1160" s="19"/>
      <c r="F1160" s="19"/>
      <c r="G1160" s="19"/>
      <c r="H1160" s="19"/>
      <c r="I1160" s="19"/>
      <c r="J1160" s="19"/>
      <c r="K1160" s="19"/>
      <c r="L1160" s="19"/>
      <c r="M1160" s="19"/>
      <c r="N1160" s="19"/>
      <c r="O1160" s="19"/>
      <c r="P1160" s="19"/>
      <c r="Q1160" s="19"/>
      <c r="R1160" s="19"/>
      <c r="S1160" s="19"/>
      <c r="T1160" s="19"/>
      <c r="U1160" s="19"/>
      <c r="V1160" s="19"/>
      <c r="W1160" s="19"/>
      <c r="X1160" s="19"/>
      <c r="Y1160" s="19"/>
      <c r="Z1160" s="19"/>
      <c r="AA1160" s="19"/>
      <c r="AB1160" s="19"/>
      <c r="AC1160" s="19"/>
    </row>
    <row r="1161" spans="2:29" x14ac:dyDescent="0.25">
      <c r="B1161" s="19"/>
      <c r="C1161" s="19"/>
      <c r="D1161" s="19"/>
      <c r="E1161" s="19"/>
      <c r="F1161" s="19"/>
      <c r="G1161" s="19"/>
      <c r="H1161" s="19"/>
      <c r="I1161" s="19"/>
      <c r="J1161" s="19"/>
      <c r="K1161" s="19"/>
      <c r="L1161" s="19"/>
      <c r="M1161" s="19"/>
      <c r="N1161" s="19"/>
      <c r="O1161" s="19"/>
      <c r="P1161" s="19"/>
      <c r="Q1161" s="19"/>
      <c r="R1161" s="19"/>
      <c r="S1161" s="19"/>
      <c r="T1161" s="19"/>
      <c r="U1161" s="19"/>
      <c r="V1161" s="19"/>
      <c r="W1161" s="19"/>
      <c r="X1161" s="19"/>
      <c r="Y1161" s="19"/>
      <c r="Z1161" s="19"/>
      <c r="AA1161" s="19"/>
      <c r="AB1161" s="19"/>
      <c r="AC1161" s="19"/>
    </row>
    <row r="1162" spans="2:29" x14ac:dyDescent="0.25">
      <c r="B1162" s="19"/>
      <c r="C1162" s="19"/>
      <c r="D1162" s="19"/>
      <c r="E1162" s="19"/>
      <c r="F1162" s="19"/>
      <c r="G1162" s="19"/>
      <c r="H1162" s="19"/>
      <c r="I1162" s="19"/>
      <c r="J1162" s="19"/>
      <c r="K1162" s="19"/>
      <c r="L1162" s="19"/>
      <c r="M1162" s="19"/>
      <c r="N1162" s="19"/>
      <c r="O1162" s="19"/>
      <c r="P1162" s="19"/>
      <c r="Q1162" s="19"/>
      <c r="R1162" s="19"/>
      <c r="S1162" s="19"/>
      <c r="T1162" s="19"/>
      <c r="U1162" s="19"/>
      <c r="V1162" s="19"/>
      <c r="W1162" s="19"/>
      <c r="X1162" s="19"/>
      <c r="Y1162" s="19"/>
      <c r="Z1162" s="19"/>
      <c r="AA1162" s="19"/>
      <c r="AB1162" s="19"/>
      <c r="AC1162" s="19"/>
    </row>
    <row r="1163" spans="2:29" x14ac:dyDescent="0.25">
      <c r="B1163" s="19"/>
      <c r="C1163" s="19"/>
      <c r="D1163" s="19"/>
      <c r="E1163" s="19"/>
      <c r="F1163" s="19"/>
      <c r="G1163" s="19"/>
      <c r="H1163" s="19"/>
      <c r="I1163" s="19"/>
      <c r="J1163" s="19"/>
      <c r="K1163" s="19"/>
      <c r="L1163" s="19"/>
      <c r="M1163" s="19"/>
      <c r="N1163" s="19"/>
      <c r="O1163" s="19"/>
      <c r="P1163" s="19"/>
      <c r="Q1163" s="19"/>
      <c r="R1163" s="19"/>
      <c r="S1163" s="19"/>
      <c r="T1163" s="19"/>
      <c r="U1163" s="19"/>
      <c r="V1163" s="19"/>
      <c r="W1163" s="19"/>
      <c r="X1163" s="19"/>
      <c r="Y1163" s="19"/>
      <c r="Z1163" s="19"/>
      <c r="AA1163" s="19"/>
      <c r="AB1163" s="19"/>
      <c r="AC1163" s="19"/>
    </row>
    <row r="1164" spans="2:29" x14ac:dyDescent="0.25">
      <c r="B1164" s="19"/>
      <c r="C1164" s="19"/>
      <c r="D1164" s="19"/>
      <c r="E1164" s="19"/>
      <c r="F1164" s="19"/>
      <c r="G1164" s="19"/>
      <c r="H1164" s="19"/>
      <c r="I1164" s="19"/>
      <c r="J1164" s="19"/>
      <c r="K1164" s="19"/>
      <c r="L1164" s="19"/>
      <c r="M1164" s="19"/>
      <c r="N1164" s="19"/>
      <c r="O1164" s="19"/>
      <c r="P1164" s="19"/>
      <c r="Q1164" s="19"/>
      <c r="R1164" s="19"/>
      <c r="S1164" s="19"/>
      <c r="T1164" s="19"/>
      <c r="U1164" s="19"/>
      <c r="V1164" s="19"/>
      <c r="W1164" s="19"/>
      <c r="X1164" s="19"/>
      <c r="Y1164" s="19"/>
      <c r="Z1164" s="19"/>
      <c r="AA1164" s="19"/>
      <c r="AB1164" s="19"/>
      <c r="AC1164" s="19"/>
    </row>
    <row r="1165" spans="2:29" x14ac:dyDescent="0.25">
      <c r="B1165" s="19"/>
      <c r="C1165" s="19"/>
      <c r="D1165" s="19"/>
      <c r="E1165" s="19"/>
      <c r="F1165" s="19"/>
      <c r="G1165" s="19"/>
      <c r="H1165" s="19"/>
      <c r="I1165" s="19"/>
      <c r="J1165" s="19"/>
      <c r="K1165" s="19"/>
      <c r="L1165" s="19"/>
      <c r="M1165" s="19"/>
      <c r="N1165" s="19"/>
      <c r="O1165" s="19"/>
      <c r="P1165" s="19"/>
      <c r="Q1165" s="19"/>
      <c r="R1165" s="19"/>
      <c r="S1165" s="19"/>
      <c r="T1165" s="19"/>
      <c r="U1165" s="19"/>
      <c r="V1165" s="19"/>
      <c r="W1165" s="19"/>
      <c r="X1165" s="19"/>
      <c r="Y1165" s="19"/>
      <c r="Z1165" s="19"/>
      <c r="AA1165" s="19"/>
      <c r="AB1165" s="19"/>
      <c r="AC1165" s="19"/>
    </row>
    <row r="1166" spans="2:29" x14ac:dyDescent="0.25">
      <c r="B1166" s="19"/>
      <c r="C1166" s="19"/>
      <c r="D1166" s="19"/>
      <c r="E1166" s="19"/>
      <c r="F1166" s="19"/>
      <c r="G1166" s="19"/>
      <c r="H1166" s="19"/>
      <c r="I1166" s="19"/>
      <c r="J1166" s="19"/>
      <c r="K1166" s="19"/>
      <c r="L1166" s="19"/>
      <c r="M1166" s="19"/>
      <c r="N1166" s="19"/>
      <c r="O1166" s="19"/>
      <c r="P1166" s="19"/>
      <c r="Q1166" s="19"/>
      <c r="R1166" s="19"/>
      <c r="S1166" s="19"/>
      <c r="T1166" s="19"/>
      <c r="U1166" s="19"/>
      <c r="V1166" s="19"/>
      <c r="W1166" s="19"/>
      <c r="X1166" s="19"/>
      <c r="Y1166" s="19"/>
      <c r="Z1166" s="19"/>
      <c r="AA1166" s="19"/>
      <c r="AB1166" s="19"/>
      <c r="AC1166" s="19"/>
    </row>
    <row r="1167" spans="2:29" x14ac:dyDescent="0.25">
      <c r="B1167" s="19"/>
      <c r="C1167" s="19"/>
      <c r="D1167" s="19"/>
      <c r="E1167" s="19"/>
      <c r="F1167" s="19"/>
      <c r="G1167" s="19"/>
      <c r="H1167" s="19"/>
      <c r="I1167" s="19"/>
      <c r="J1167" s="19"/>
      <c r="K1167" s="19"/>
      <c r="L1167" s="19"/>
      <c r="M1167" s="19"/>
      <c r="N1167" s="19"/>
      <c r="O1167" s="19"/>
      <c r="P1167" s="19"/>
      <c r="Q1167" s="19"/>
      <c r="R1167" s="19"/>
      <c r="S1167" s="19"/>
      <c r="T1167" s="19"/>
      <c r="U1167" s="19"/>
      <c r="V1167" s="19"/>
      <c r="W1167" s="19"/>
      <c r="X1167" s="19"/>
      <c r="Y1167" s="19"/>
      <c r="Z1167" s="19"/>
      <c r="AA1167" s="19"/>
      <c r="AB1167" s="19"/>
      <c r="AC1167" s="19"/>
    </row>
    <row r="1168" spans="2:29" x14ac:dyDescent="0.25">
      <c r="B1168" s="19"/>
      <c r="C1168" s="19"/>
      <c r="D1168" s="19"/>
      <c r="E1168" s="19"/>
      <c r="F1168" s="19"/>
      <c r="G1168" s="19"/>
      <c r="H1168" s="19"/>
      <c r="I1168" s="19"/>
      <c r="J1168" s="19"/>
      <c r="K1168" s="19"/>
      <c r="L1168" s="19"/>
      <c r="M1168" s="19"/>
      <c r="N1168" s="19"/>
      <c r="O1168" s="19"/>
      <c r="P1168" s="19"/>
      <c r="Q1168" s="19"/>
      <c r="R1168" s="19"/>
      <c r="S1168" s="19"/>
      <c r="T1168" s="19"/>
      <c r="U1168" s="19"/>
      <c r="V1168" s="19"/>
      <c r="W1168" s="19"/>
      <c r="X1168" s="19"/>
      <c r="Y1168" s="19"/>
      <c r="Z1168" s="19"/>
      <c r="AA1168" s="19"/>
      <c r="AB1168" s="19"/>
      <c r="AC1168" s="19"/>
    </row>
    <row r="1169" spans="2:29" x14ac:dyDescent="0.25">
      <c r="B1169" s="19"/>
      <c r="C1169" s="19"/>
      <c r="D1169" s="19"/>
      <c r="E1169" s="19"/>
      <c r="F1169" s="19"/>
      <c r="G1169" s="19"/>
      <c r="H1169" s="19"/>
      <c r="I1169" s="19"/>
      <c r="J1169" s="19"/>
      <c r="K1169" s="19"/>
      <c r="L1169" s="19"/>
      <c r="M1169" s="19"/>
      <c r="N1169" s="19"/>
      <c r="O1169" s="19"/>
      <c r="P1169" s="19"/>
      <c r="Q1169" s="19"/>
      <c r="R1169" s="19"/>
      <c r="S1169" s="19"/>
      <c r="T1169" s="19"/>
      <c r="U1169" s="19"/>
      <c r="V1169" s="19"/>
      <c r="W1169" s="19"/>
      <c r="X1169" s="19"/>
      <c r="Y1169" s="19"/>
      <c r="Z1169" s="19"/>
      <c r="AA1169" s="19"/>
      <c r="AB1169" s="19"/>
      <c r="AC1169" s="19"/>
    </row>
    <row r="1170" spans="2:29" x14ac:dyDescent="0.25">
      <c r="B1170" s="19"/>
      <c r="C1170" s="19"/>
      <c r="D1170" s="19"/>
      <c r="E1170" s="19"/>
      <c r="F1170" s="19"/>
      <c r="G1170" s="19"/>
      <c r="H1170" s="19"/>
      <c r="I1170" s="19"/>
      <c r="J1170" s="19"/>
      <c r="K1170" s="19"/>
      <c r="L1170" s="19"/>
      <c r="M1170" s="19"/>
      <c r="N1170" s="19"/>
      <c r="O1170" s="19"/>
      <c r="P1170" s="19"/>
      <c r="Q1170" s="19"/>
      <c r="R1170" s="19"/>
      <c r="S1170" s="19"/>
      <c r="T1170" s="19"/>
      <c r="U1170" s="19"/>
      <c r="V1170" s="19"/>
      <c r="W1170" s="19"/>
      <c r="X1170" s="19"/>
      <c r="Y1170" s="19"/>
      <c r="Z1170" s="19"/>
      <c r="AA1170" s="19"/>
      <c r="AB1170" s="19"/>
      <c r="AC1170" s="19"/>
    </row>
    <row r="1171" spans="2:29" x14ac:dyDescent="0.25">
      <c r="B1171" s="19"/>
      <c r="C1171" s="19"/>
      <c r="D1171" s="19"/>
      <c r="E1171" s="19"/>
      <c r="F1171" s="19"/>
      <c r="G1171" s="19"/>
      <c r="H1171" s="19"/>
      <c r="I1171" s="19"/>
      <c r="J1171" s="19"/>
      <c r="K1171" s="19"/>
      <c r="L1171" s="19"/>
      <c r="M1171" s="19"/>
      <c r="N1171" s="19"/>
      <c r="O1171" s="19"/>
      <c r="P1171" s="19"/>
      <c r="Q1171" s="19"/>
      <c r="R1171" s="19"/>
      <c r="S1171" s="19"/>
      <c r="T1171" s="19"/>
      <c r="U1171" s="19"/>
      <c r="V1171" s="19"/>
      <c r="W1171" s="19"/>
      <c r="X1171" s="19"/>
      <c r="Y1171" s="19"/>
      <c r="Z1171" s="19"/>
      <c r="AA1171" s="19"/>
      <c r="AB1171" s="19"/>
      <c r="AC1171" s="19"/>
    </row>
    <row r="1172" spans="2:29" x14ac:dyDescent="0.25">
      <c r="B1172" s="19"/>
      <c r="C1172" s="19"/>
      <c r="D1172" s="19"/>
      <c r="E1172" s="19"/>
      <c r="F1172" s="19"/>
      <c r="G1172" s="19"/>
      <c r="H1172" s="19"/>
      <c r="I1172" s="19"/>
      <c r="J1172" s="19"/>
      <c r="K1172" s="19"/>
      <c r="L1172" s="19"/>
      <c r="M1172" s="19"/>
      <c r="N1172" s="19"/>
      <c r="O1172" s="19"/>
      <c r="P1172" s="19"/>
      <c r="Q1172" s="19"/>
      <c r="R1172" s="19"/>
      <c r="S1172" s="19"/>
      <c r="T1172" s="19"/>
      <c r="U1172" s="19"/>
      <c r="V1172" s="19"/>
      <c r="W1172" s="19"/>
      <c r="X1172" s="19"/>
      <c r="Y1172" s="19"/>
      <c r="Z1172" s="19"/>
      <c r="AA1172" s="19"/>
      <c r="AB1172" s="19"/>
      <c r="AC1172" s="19"/>
    </row>
    <row r="1173" spans="2:29" x14ac:dyDescent="0.25">
      <c r="B1173" s="19"/>
      <c r="C1173" s="19"/>
      <c r="D1173" s="19"/>
      <c r="E1173" s="19"/>
      <c r="F1173" s="19"/>
      <c r="G1173" s="19"/>
      <c r="H1173" s="19"/>
      <c r="I1173" s="19"/>
      <c r="J1173" s="19"/>
      <c r="K1173" s="19"/>
      <c r="L1173" s="19"/>
      <c r="M1173" s="19"/>
      <c r="N1173" s="19"/>
      <c r="O1173" s="19"/>
      <c r="P1173" s="19"/>
      <c r="Q1173" s="19"/>
      <c r="R1173" s="19"/>
      <c r="S1173" s="19"/>
      <c r="T1173" s="19"/>
      <c r="U1173" s="19"/>
      <c r="V1173" s="19"/>
      <c r="W1173" s="19"/>
      <c r="X1173" s="19"/>
      <c r="Y1173" s="19"/>
      <c r="Z1173" s="19"/>
      <c r="AA1173" s="19"/>
      <c r="AB1173" s="19"/>
      <c r="AC1173" s="19"/>
    </row>
    <row r="1174" spans="2:29" x14ac:dyDescent="0.25">
      <c r="B1174" s="19"/>
      <c r="C1174" s="19"/>
      <c r="D1174" s="19"/>
      <c r="E1174" s="19"/>
      <c r="F1174" s="19"/>
      <c r="G1174" s="19"/>
      <c r="H1174" s="19"/>
      <c r="I1174" s="19"/>
      <c r="J1174" s="19"/>
      <c r="K1174" s="19"/>
      <c r="L1174" s="19"/>
      <c r="M1174" s="19"/>
      <c r="N1174" s="19"/>
      <c r="O1174" s="19"/>
      <c r="P1174" s="19"/>
      <c r="Q1174" s="19"/>
      <c r="R1174" s="19"/>
      <c r="S1174" s="19"/>
      <c r="T1174" s="19"/>
      <c r="U1174" s="19"/>
      <c r="V1174" s="19"/>
      <c r="W1174" s="19"/>
      <c r="X1174" s="19"/>
      <c r="Y1174" s="19"/>
      <c r="Z1174" s="19"/>
      <c r="AA1174" s="19"/>
      <c r="AB1174" s="19"/>
      <c r="AC1174" s="19"/>
    </row>
    <row r="1175" spans="2:29" x14ac:dyDescent="0.25">
      <c r="B1175" s="19"/>
      <c r="C1175" s="19"/>
      <c r="D1175" s="19"/>
      <c r="E1175" s="19"/>
      <c r="F1175" s="19"/>
      <c r="G1175" s="19"/>
      <c r="H1175" s="19"/>
      <c r="I1175" s="19"/>
      <c r="J1175" s="19"/>
      <c r="K1175" s="19"/>
      <c r="L1175" s="19"/>
      <c r="M1175" s="19"/>
      <c r="N1175" s="19"/>
      <c r="O1175" s="19"/>
      <c r="P1175" s="19"/>
      <c r="Q1175" s="19"/>
      <c r="R1175" s="19"/>
      <c r="S1175" s="19"/>
      <c r="T1175" s="19"/>
      <c r="U1175" s="19"/>
      <c r="V1175" s="19"/>
      <c r="W1175" s="19"/>
      <c r="X1175" s="19"/>
      <c r="Y1175" s="19"/>
      <c r="Z1175" s="19"/>
      <c r="AA1175" s="19"/>
      <c r="AB1175" s="19"/>
      <c r="AC1175" s="19"/>
    </row>
    <row r="1176" spans="2:29" x14ac:dyDescent="0.25">
      <c r="B1176" s="19"/>
      <c r="C1176" s="19"/>
      <c r="D1176" s="19"/>
      <c r="E1176" s="19"/>
      <c r="F1176" s="19"/>
      <c r="G1176" s="19"/>
      <c r="H1176" s="19"/>
      <c r="I1176" s="19"/>
      <c r="J1176" s="19"/>
      <c r="K1176" s="19"/>
      <c r="L1176" s="19"/>
      <c r="M1176" s="19"/>
      <c r="N1176" s="19"/>
      <c r="O1176" s="19"/>
      <c r="P1176" s="19"/>
      <c r="Q1176" s="19"/>
      <c r="R1176" s="19"/>
      <c r="S1176" s="19"/>
      <c r="T1176" s="19"/>
      <c r="U1176" s="19"/>
      <c r="V1176" s="19"/>
      <c r="W1176" s="19"/>
      <c r="X1176" s="19"/>
      <c r="Y1176" s="19"/>
      <c r="Z1176" s="19"/>
      <c r="AA1176" s="19"/>
      <c r="AB1176" s="19"/>
      <c r="AC1176" s="19"/>
    </row>
    <row r="1177" spans="2:29" x14ac:dyDescent="0.25">
      <c r="B1177" s="19"/>
      <c r="C1177" s="19"/>
      <c r="D1177" s="19"/>
      <c r="E1177" s="19"/>
      <c r="F1177" s="19"/>
      <c r="G1177" s="19"/>
      <c r="H1177" s="19"/>
      <c r="I1177" s="19"/>
      <c r="J1177" s="19"/>
      <c r="K1177" s="19"/>
      <c r="L1177" s="19"/>
      <c r="M1177" s="19"/>
      <c r="N1177" s="19"/>
      <c r="O1177" s="19"/>
      <c r="P1177" s="19"/>
      <c r="Q1177" s="19"/>
      <c r="R1177" s="19"/>
      <c r="S1177" s="19"/>
      <c r="T1177" s="19"/>
      <c r="U1177" s="19"/>
      <c r="V1177" s="19"/>
      <c r="W1177" s="19"/>
      <c r="X1177" s="19"/>
      <c r="Y1177" s="19"/>
      <c r="Z1177" s="19"/>
      <c r="AA1177" s="19"/>
      <c r="AB1177" s="19"/>
      <c r="AC1177" s="19"/>
    </row>
    <row r="1178" spans="2:29" x14ac:dyDescent="0.25">
      <c r="B1178" s="19"/>
      <c r="C1178" s="19"/>
      <c r="D1178" s="19"/>
      <c r="E1178" s="19"/>
      <c r="F1178" s="19"/>
      <c r="G1178" s="19"/>
      <c r="H1178" s="19"/>
      <c r="I1178" s="19"/>
      <c r="J1178" s="19"/>
      <c r="K1178" s="19"/>
      <c r="L1178" s="19"/>
      <c r="M1178" s="19"/>
      <c r="N1178" s="19"/>
      <c r="O1178" s="19"/>
      <c r="P1178" s="19"/>
      <c r="Q1178" s="19"/>
      <c r="R1178" s="19"/>
      <c r="S1178" s="19"/>
      <c r="T1178" s="19"/>
      <c r="U1178" s="19"/>
      <c r="V1178" s="19"/>
      <c r="W1178" s="19"/>
      <c r="X1178" s="19"/>
      <c r="Y1178" s="19"/>
      <c r="Z1178" s="19"/>
      <c r="AA1178" s="19"/>
      <c r="AB1178" s="19"/>
      <c r="AC1178" s="19"/>
    </row>
    <row r="1179" spans="2:29" x14ac:dyDescent="0.25">
      <c r="B1179" s="19"/>
      <c r="C1179" s="19"/>
      <c r="D1179" s="19"/>
      <c r="E1179" s="19"/>
      <c r="F1179" s="19"/>
      <c r="G1179" s="19"/>
      <c r="H1179" s="19"/>
      <c r="I1179" s="19"/>
      <c r="J1179" s="19"/>
      <c r="K1179" s="19"/>
      <c r="L1179" s="19"/>
      <c r="M1179" s="19"/>
      <c r="N1179" s="19"/>
      <c r="O1179" s="19"/>
      <c r="P1179" s="19"/>
      <c r="Q1179" s="19"/>
      <c r="R1179" s="19"/>
      <c r="S1179" s="19"/>
      <c r="T1179" s="19"/>
      <c r="U1179" s="19"/>
      <c r="V1179" s="19"/>
      <c r="W1179" s="19"/>
      <c r="X1179" s="19"/>
      <c r="Y1179" s="19"/>
      <c r="Z1179" s="19"/>
      <c r="AA1179" s="19"/>
      <c r="AB1179" s="19"/>
      <c r="AC1179" s="19"/>
    </row>
    <row r="1180" spans="2:29" x14ac:dyDescent="0.25">
      <c r="B1180" s="19"/>
      <c r="C1180" s="19"/>
      <c r="D1180" s="19"/>
      <c r="E1180" s="19"/>
      <c r="F1180" s="19"/>
      <c r="G1180" s="19"/>
      <c r="H1180" s="19"/>
      <c r="I1180" s="19"/>
      <c r="J1180" s="19"/>
      <c r="K1180" s="19"/>
      <c r="L1180" s="19"/>
      <c r="M1180" s="19"/>
      <c r="N1180" s="19"/>
      <c r="O1180" s="19"/>
      <c r="P1180" s="19"/>
      <c r="Q1180" s="19"/>
      <c r="R1180" s="19"/>
      <c r="S1180" s="19"/>
      <c r="T1180" s="19"/>
      <c r="U1180" s="19"/>
      <c r="V1180" s="19"/>
      <c r="W1180" s="19"/>
      <c r="X1180" s="19"/>
      <c r="Y1180" s="19"/>
      <c r="Z1180" s="19"/>
      <c r="AA1180" s="19"/>
      <c r="AB1180" s="19"/>
      <c r="AC1180" s="19"/>
    </row>
    <row r="1181" spans="2:29" x14ac:dyDescent="0.25">
      <c r="B1181" s="19"/>
      <c r="C1181" s="19"/>
      <c r="D1181" s="19"/>
      <c r="E1181" s="19"/>
      <c r="F1181" s="19"/>
      <c r="G1181" s="19"/>
      <c r="H1181" s="19"/>
      <c r="I1181" s="19"/>
      <c r="J1181" s="19"/>
      <c r="K1181" s="19"/>
      <c r="L1181" s="19"/>
      <c r="M1181" s="19"/>
      <c r="N1181" s="19"/>
      <c r="O1181" s="19"/>
      <c r="P1181" s="19"/>
      <c r="Q1181" s="19"/>
      <c r="R1181" s="19"/>
      <c r="S1181" s="19"/>
      <c r="T1181" s="19"/>
      <c r="U1181" s="19"/>
      <c r="V1181" s="19"/>
      <c r="W1181" s="19"/>
      <c r="X1181" s="19"/>
      <c r="Y1181" s="19"/>
      <c r="Z1181" s="19"/>
      <c r="AA1181" s="19"/>
      <c r="AB1181" s="19"/>
      <c r="AC1181" s="19"/>
    </row>
    <row r="1182" spans="2:29" x14ac:dyDescent="0.25">
      <c r="B1182" s="19"/>
      <c r="C1182" s="19"/>
      <c r="D1182" s="19"/>
      <c r="E1182" s="19"/>
      <c r="F1182" s="19"/>
      <c r="G1182" s="19"/>
      <c r="H1182" s="19"/>
      <c r="I1182" s="19"/>
      <c r="J1182" s="19"/>
      <c r="K1182" s="19"/>
      <c r="L1182" s="19"/>
      <c r="M1182" s="19"/>
      <c r="N1182" s="19"/>
      <c r="O1182" s="19"/>
      <c r="P1182" s="19"/>
      <c r="Q1182" s="19"/>
      <c r="R1182" s="19"/>
      <c r="S1182" s="19"/>
      <c r="T1182" s="19"/>
      <c r="U1182" s="19"/>
      <c r="V1182" s="19"/>
      <c r="W1182" s="19"/>
      <c r="X1182" s="19"/>
      <c r="Y1182" s="19"/>
      <c r="Z1182" s="19"/>
      <c r="AA1182" s="19"/>
      <c r="AB1182" s="19"/>
      <c r="AC1182" s="19"/>
    </row>
    <row r="1183" spans="2:29" x14ac:dyDescent="0.25">
      <c r="B1183" s="19"/>
      <c r="C1183" s="19"/>
      <c r="D1183" s="19"/>
      <c r="E1183" s="19"/>
      <c r="F1183" s="19"/>
      <c r="G1183" s="19"/>
      <c r="H1183" s="19"/>
      <c r="I1183" s="19"/>
      <c r="J1183" s="19"/>
      <c r="K1183" s="19"/>
      <c r="L1183" s="19"/>
      <c r="M1183" s="19"/>
      <c r="N1183" s="19"/>
      <c r="O1183" s="19"/>
      <c r="P1183" s="19"/>
      <c r="Q1183" s="19"/>
      <c r="R1183" s="19"/>
      <c r="S1183" s="19"/>
      <c r="T1183" s="19"/>
      <c r="U1183" s="19"/>
      <c r="V1183" s="19"/>
      <c r="W1183" s="19"/>
      <c r="X1183" s="19"/>
      <c r="Y1183" s="19"/>
      <c r="Z1183" s="19"/>
      <c r="AA1183" s="19"/>
      <c r="AB1183" s="19"/>
      <c r="AC1183" s="19"/>
    </row>
    <row r="1184" spans="2:29" x14ac:dyDescent="0.25">
      <c r="B1184" s="19"/>
      <c r="C1184" s="19"/>
      <c r="D1184" s="19"/>
      <c r="E1184" s="19"/>
      <c r="F1184" s="19"/>
      <c r="G1184" s="19"/>
      <c r="H1184" s="19"/>
      <c r="I1184" s="19"/>
      <c r="J1184" s="19"/>
      <c r="K1184" s="19"/>
      <c r="L1184" s="19"/>
      <c r="M1184" s="19"/>
      <c r="N1184" s="19"/>
      <c r="O1184" s="19"/>
      <c r="P1184" s="19"/>
      <c r="Q1184" s="19"/>
      <c r="R1184" s="19"/>
      <c r="S1184" s="19"/>
      <c r="T1184" s="19"/>
      <c r="U1184" s="19"/>
      <c r="V1184" s="19"/>
      <c r="W1184" s="19"/>
      <c r="X1184" s="19"/>
      <c r="Y1184" s="19"/>
      <c r="Z1184" s="19"/>
      <c r="AA1184" s="19"/>
      <c r="AB1184" s="19"/>
      <c r="AC1184" s="19"/>
    </row>
    <row r="1185" spans="2:29" x14ac:dyDescent="0.25">
      <c r="B1185" s="19"/>
      <c r="C1185" s="19"/>
      <c r="D1185" s="19"/>
      <c r="E1185" s="19"/>
      <c r="F1185" s="19"/>
      <c r="G1185" s="19"/>
      <c r="H1185" s="19"/>
      <c r="I1185" s="19"/>
      <c r="J1185" s="19"/>
      <c r="K1185" s="19"/>
      <c r="L1185" s="19"/>
      <c r="M1185" s="19"/>
      <c r="N1185" s="19"/>
      <c r="O1185" s="19"/>
      <c r="P1185" s="19"/>
      <c r="Q1185" s="19"/>
      <c r="R1185" s="19"/>
      <c r="S1185" s="19"/>
      <c r="T1185" s="19"/>
      <c r="U1185" s="19"/>
      <c r="V1185" s="19"/>
      <c r="W1185" s="19"/>
      <c r="X1185" s="19"/>
      <c r="Y1185" s="19"/>
      <c r="Z1185" s="19"/>
      <c r="AA1185" s="19"/>
      <c r="AB1185" s="19"/>
      <c r="AC1185" s="19"/>
    </row>
    <row r="1186" spans="2:29" x14ac:dyDescent="0.25">
      <c r="B1186" s="19"/>
      <c r="C1186" s="19"/>
      <c r="D1186" s="19"/>
      <c r="E1186" s="19"/>
      <c r="F1186" s="19"/>
      <c r="G1186" s="19"/>
      <c r="H1186" s="19"/>
      <c r="I1186" s="19"/>
      <c r="J1186" s="19"/>
      <c r="K1186" s="19"/>
      <c r="L1186" s="19"/>
      <c r="M1186" s="19"/>
      <c r="N1186" s="19"/>
      <c r="O1186" s="19"/>
      <c r="P1186" s="19"/>
      <c r="Q1186" s="19"/>
      <c r="R1186" s="19"/>
      <c r="S1186" s="19"/>
      <c r="T1186" s="19"/>
      <c r="U1186" s="19"/>
      <c r="V1186" s="19"/>
      <c r="W1186" s="19"/>
      <c r="X1186" s="19"/>
      <c r="Y1186" s="19"/>
      <c r="Z1186" s="19"/>
      <c r="AA1186" s="19"/>
      <c r="AB1186" s="19"/>
      <c r="AC1186" s="19"/>
    </row>
    <row r="1187" spans="2:29" x14ac:dyDescent="0.25">
      <c r="B1187" s="19"/>
      <c r="C1187" s="19"/>
      <c r="D1187" s="19"/>
      <c r="E1187" s="19"/>
      <c r="F1187" s="19"/>
      <c r="G1187" s="19"/>
      <c r="H1187" s="19"/>
      <c r="I1187" s="19"/>
      <c r="J1187" s="19"/>
      <c r="K1187" s="19"/>
      <c r="L1187" s="19"/>
      <c r="M1187" s="19"/>
      <c r="N1187" s="19"/>
      <c r="O1187" s="19"/>
      <c r="P1187" s="19"/>
      <c r="Q1187" s="19"/>
      <c r="R1187" s="19"/>
      <c r="S1187" s="19"/>
      <c r="T1187" s="19"/>
      <c r="U1187" s="19"/>
      <c r="V1187" s="19"/>
      <c r="W1187" s="19"/>
      <c r="X1187" s="19"/>
      <c r="Y1187" s="19"/>
      <c r="Z1187" s="19"/>
      <c r="AA1187" s="19"/>
      <c r="AB1187" s="19"/>
      <c r="AC1187" s="19"/>
    </row>
    <row r="1188" spans="2:29" x14ac:dyDescent="0.25">
      <c r="B1188" s="19"/>
      <c r="C1188" s="19"/>
      <c r="D1188" s="19"/>
      <c r="E1188" s="19"/>
      <c r="F1188" s="19"/>
      <c r="G1188" s="19"/>
      <c r="H1188" s="19"/>
      <c r="I1188" s="19"/>
      <c r="J1188" s="19"/>
      <c r="K1188" s="19"/>
      <c r="L1188" s="19"/>
      <c r="M1188" s="19"/>
      <c r="N1188" s="19"/>
      <c r="O1188" s="19"/>
      <c r="P1188" s="19"/>
      <c r="Q1188" s="19"/>
      <c r="R1188" s="19"/>
      <c r="S1188" s="19"/>
      <c r="T1188" s="19"/>
      <c r="U1188" s="19"/>
      <c r="V1188" s="19"/>
      <c r="W1188" s="19"/>
      <c r="X1188" s="19"/>
      <c r="Y1188" s="19"/>
      <c r="Z1188" s="19"/>
      <c r="AA1188" s="19"/>
      <c r="AB1188" s="19"/>
      <c r="AC1188" s="19"/>
    </row>
    <row r="1189" spans="2:29" x14ac:dyDescent="0.25">
      <c r="B1189" s="19"/>
      <c r="C1189" s="19"/>
      <c r="D1189" s="19"/>
      <c r="E1189" s="19"/>
      <c r="F1189" s="19"/>
      <c r="G1189" s="19"/>
      <c r="H1189" s="19"/>
      <c r="I1189" s="19"/>
      <c r="J1189" s="19"/>
      <c r="K1189" s="19"/>
      <c r="L1189" s="19"/>
      <c r="M1189" s="19"/>
      <c r="N1189" s="19"/>
      <c r="O1189" s="19"/>
      <c r="P1189" s="19"/>
      <c r="Q1189" s="19"/>
      <c r="R1189" s="19"/>
      <c r="S1189" s="19"/>
      <c r="T1189" s="19"/>
      <c r="U1189" s="19"/>
      <c r="V1189" s="19"/>
      <c r="W1189" s="19"/>
      <c r="X1189" s="19"/>
      <c r="Y1189" s="19"/>
      <c r="Z1189" s="19"/>
      <c r="AA1189" s="19"/>
      <c r="AB1189" s="19"/>
      <c r="AC1189" s="19"/>
    </row>
    <row r="1190" spans="2:29" x14ac:dyDescent="0.25">
      <c r="B1190" s="19"/>
      <c r="C1190" s="19"/>
      <c r="D1190" s="19"/>
      <c r="E1190" s="19"/>
      <c r="F1190" s="19"/>
      <c r="G1190" s="19"/>
      <c r="H1190" s="19"/>
      <c r="I1190" s="19"/>
      <c r="J1190" s="19"/>
      <c r="K1190" s="19"/>
      <c r="L1190" s="19"/>
      <c r="M1190" s="19"/>
      <c r="N1190" s="19"/>
      <c r="O1190" s="19"/>
      <c r="P1190" s="19"/>
      <c r="Q1190" s="19"/>
      <c r="R1190" s="19"/>
      <c r="S1190" s="19"/>
      <c r="T1190" s="19"/>
      <c r="U1190" s="19"/>
      <c r="V1190" s="19"/>
      <c r="W1190" s="19"/>
      <c r="X1190" s="19"/>
      <c r="Y1190" s="19"/>
      <c r="Z1190" s="19"/>
      <c r="AA1190" s="19"/>
      <c r="AB1190" s="19"/>
      <c r="AC1190" s="19"/>
    </row>
    <row r="1191" spans="2:29" x14ac:dyDescent="0.25">
      <c r="B1191" s="19"/>
      <c r="C1191" s="19"/>
      <c r="D1191" s="19"/>
      <c r="E1191" s="19"/>
      <c r="F1191" s="19"/>
      <c r="G1191" s="19"/>
      <c r="H1191" s="19"/>
      <c r="I1191" s="19"/>
      <c r="J1191" s="19"/>
      <c r="K1191" s="19"/>
      <c r="L1191" s="19"/>
      <c r="M1191" s="19"/>
      <c r="N1191" s="19"/>
      <c r="O1191" s="19"/>
      <c r="P1191" s="19"/>
      <c r="Q1191" s="19"/>
      <c r="R1191" s="19"/>
      <c r="S1191" s="19"/>
      <c r="T1191" s="19"/>
      <c r="U1191" s="19"/>
      <c r="V1191" s="19"/>
      <c r="W1191" s="19"/>
      <c r="X1191" s="19"/>
      <c r="Y1191" s="19"/>
      <c r="Z1191" s="19"/>
      <c r="AA1191" s="19"/>
      <c r="AB1191" s="19"/>
      <c r="AC1191" s="19"/>
    </row>
    <row r="1192" spans="2:29" x14ac:dyDescent="0.25">
      <c r="B1192" s="19"/>
      <c r="C1192" s="19"/>
      <c r="D1192" s="19"/>
      <c r="E1192" s="19"/>
      <c r="F1192" s="19"/>
      <c r="G1192" s="19"/>
      <c r="H1192" s="19"/>
      <c r="I1192" s="19"/>
      <c r="J1192" s="19"/>
      <c r="K1192" s="19"/>
      <c r="L1192" s="19"/>
      <c r="M1192" s="19"/>
      <c r="N1192" s="19"/>
      <c r="O1192" s="19"/>
      <c r="P1192" s="19"/>
      <c r="Q1192" s="19"/>
      <c r="R1192" s="19"/>
      <c r="S1192" s="19"/>
      <c r="T1192" s="19"/>
      <c r="U1192" s="19"/>
      <c r="V1192" s="19"/>
      <c r="W1192" s="19"/>
      <c r="X1192" s="19"/>
      <c r="Y1192" s="19"/>
      <c r="Z1192" s="19"/>
      <c r="AA1192" s="19"/>
      <c r="AB1192" s="19"/>
      <c r="AC1192" s="19"/>
    </row>
    <row r="1193" spans="2:29" x14ac:dyDescent="0.25">
      <c r="B1193" s="19"/>
      <c r="C1193" s="19"/>
      <c r="D1193" s="19"/>
      <c r="E1193" s="19"/>
      <c r="F1193" s="19"/>
      <c r="G1193" s="19"/>
      <c r="H1193" s="19"/>
      <c r="I1193" s="19"/>
      <c r="J1193" s="19"/>
      <c r="K1193" s="19"/>
      <c r="L1193" s="19"/>
      <c r="M1193" s="19"/>
      <c r="N1193" s="19"/>
      <c r="O1193" s="19"/>
      <c r="P1193" s="19"/>
      <c r="Q1193" s="19"/>
      <c r="R1193" s="19"/>
      <c r="S1193" s="19"/>
      <c r="T1193" s="19"/>
      <c r="U1193" s="19"/>
      <c r="V1193" s="19"/>
      <c r="W1193" s="19"/>
      <c r="X1193" s="19"/>
      <c r="Y1193" s="19"/>
      <c r="Z1193" s="19"/>
      <c r="AA1193" s="19"/>
      <c r="AB1193" s="19"/>
      <c r="AC1193" s="19"/>
    </row>
    <row r="1194" spans="2:29" x14ac:dyDescent="0.25">
      <c r="B1194" s="19"/>
      <c r="C1194" s="19"/>
      <c r="D1194" s="19"/>
      <c r="E1194" s="19"/>
      <c r="F1194" s="19"/>
      <c r="G1194" s="19"/>
      <c r="H1194" s="19"/>
      <c r="I1194" s="19"/>
      <c r="J1194" s="19"/>
      <c r="K1194" s="19"/>
      <c r="L1194" s="19"/>
      <c r="M1194" s="19"/>
      <c r="N1194" s="19"/>
      <c r="O1194" s="19"/>
      <c r="P1194" s="19"/>
      <c r="Q1194" s="19"/>
      <c r="R1194" s="19"/>
      <c r="S1194" s="19"/>
      <c r="T1194" s="19"/>
      <c r="U1194" s="19"/>
      <c r="V1194" s="19"/>
      <c r="W1194" s="19"/>
      <c r="X1194" s="19"/>
      <c r="Y1194" s="19"/>
      <c r="Z1194" s="19"/>
      <c r="AA1194" s="19"/>
      <c r="AB1194" s="19"/>
      <c r="AC1194" s="19"/>
    </row>
    <row r="1195" spans="2:29" x14ac:dyDescent="0.25">
      <c r="B1195" s="19"/>
      <c r="C1195" s="19"/>
      <c r="D1195" s="19"/>
      <c r="E1195" s="19"/>
      <c r="F1195" s="19"/>
      <c r="G1195" s="19"/>
      <c r="H1195" s="19"/>
      <c r="I1195" s="19"/>
      <c r="J1195" s="19"/>
      <c r="K1195" s="19"/>
      <c r="L1195" s="19"/>
      <c r="M1195" s="19"/>
      <c r="N1195" s="19"/>
      <c r="O1195" s="19"/>
      <c r="P1195" s="19"/>
      <c r="Q1195" s="19"/>
      <c r="R1195" s="19"/>
      <c r="S1195" s="19"/>
      <c r="T1195" s="19"/>
      <c r="U1195" s="19"/>
      <c r="V1195" s="19"/>
      <c r="W1195" s="19"/>
      <c r="X1195" s="19"/>
      <c r="Y1195" s="19"/>
      <c r="Z1195" s="19"/>
      <c r="AA1195" s="19"/>
      <c r="AB1195" s="19"/>
      <c r="AC1195" s="19"/>
    </row>
    <row r="1196" spans="2:29" x14ac:dyDescent="0.25">
      <c r="B1196" s="19"/>
      <c r="C1196" s="19"/>
      <c r="D1196" s="19"/>
      <c r="E1196" s="19"/>
      <c r="F1196" s="19"/>
      <c r="G1196" s="19"/>
      <c r="H1196" s="19"/>
      <c r="I1196" s="19"/>
      <c r="J1196" s="19"/>
      <c r="K1196" s="19"/>
      <c r="L1196" s="19"/>
      <c r="M1196" s="19"/>
      <c r="N1196" s="19"/>
      <c r="O1196" s="19"/>
      <c r="P1196" s="19"/>
      <c r="Q1196" s="19"/>
      <c r="R1196" s="19"/>
      <c r="S1196" s="19"/>
      <c r="T1196" s="19"/>
      <c r="U1196" s="19"/>
      <c r="V1196" s="19"/>
      <c r="W1196" s="19"/>
      <c r="X1196" s="19"/>
      <c r="Y1196" s="19"/>
      <c r="Z1196" s="19"/>
      <c r="AA1196" s="19"/>
      <c r="AB1196" s="19"/>
      <c r="AC1196" s="19"/>
    </row>
    <row r="1197" spans="2:29" x14ac:dyDescent="0.25">
      <c r="B1197" s="19"/>
      <c r="C1197" s="19"/>
      <c r="D1197" s="19"/>
      <c r="E1197" s="19"/>
      <c r="F1197" s="19"/>
      <c r="G1197" s="19"/>
      <c r="H1197" s="19"/>
      <c r="I1197" s="19"/>
      <c r="J1197" s="19"/>
      <c r="K1197" s="19"/>
      <c r="L1197" s="19"/>
      <c r="M1197" s="19"/>
      <c r="N1197" s="19"/>
      <c r="O1197" s="19"/>
      <c r="P1197" s="19"/>
      <c r="Q1197" s="19"/>
      <c r="R1197" s="19"/>
      <c r="S1197" s="19"/>
      <c r="T1197" s="19"/>
      <c r="U1197" s="19"/>
      <c r="V1197" s="19"/>
      <c r="W1197" s="19"/>
      <c r="X1197" s="19"/>
      <c r="Y1197" s="19"/>
      <c r="Z1197" s="19"/>
      <c r="AA1197" s="19"/>
      <c r="AB1197" s="19"/>
      <c r="AC1197" s="19"/>
    </row>
    <row r="1198" spans="2:29" x14ac:dyDescent="0.25">
      <c r="B1198" s="19"/>
      <c r="C1198" s="19"/>
      <c r="D1198" s="19"/>
      <c r="E1198" s="19"/>
      <c r="F1198" s="19"/>
      <c r="G1198" s="19"/>
      <c r="H1198" s="19"/>
      <c r="I1198" s="19"/>
      <c r="J1198" s="19"/>
      <c r="K1198" s="19"/>
      <c r="L1198" s="19"/>
      <c r="M1198" s="19"/>
      <c r="N1198" s="19"/>
      <c r="O1198" s="19"/>
      <c r="P1198" s="19"/>
      <c r="Q1198" s="19"/>
      <c r="R1198" s="19"/>
      <c r="S1198" s="19"/>
      <c r="T1198" s="19"/>
      <c r="U1198" s="19"/>
      <c r="V1198" s="19"/>
      <c r="W1198" s="19"/>
      <c r="X1198" s="19"/>
      <c r="Y1198" s="19"/>
      <c r="Z1198" s="19"/>
      <c r="AA1198" s="19"/>
      <c r="AB1198" s="19"/>
      <c r="AC1198" s="19"/>
    </row>
    <row r="1199" spans="2:29" x14ac:dyDescent="0.25">
      <c r="B1199" s="19"/>
      <c r="C1199" s="19"/>
      <c r="D1199" s="19"/>
      <c r="E1199" s="19"/>
      <c r="F1199" s="19"/>
      <c r="G1199" s="19"/>
      <c r="H1199" s="19"/>
      <c r="I1199" s="19"/>
      <c r="J1199" s="19"/>
      <c r="K1199" s="19"/>
      <c r="L1199" s="19"/>
      <c r="M1199" s="19"/>
      <c r="N1199" s="19"/>
      <c r="O1199" s="19"/>
      <c r="P1199" s="19"/>
      <c r="Q1199" s="19"/>
      <c r="R1199" s="19"/>
      <c r="S1199" s="19"/>
      <c r="T1199" s="19"/>
      <c r="U1199" s="19"/>
      <c r="V1199" s="19"/>
      <c r="W1199" s="19"/>
      <c r="X1199" s="19"/>
      <c r="Y1199" s="19"/>
      <c r="Z1199" s="19"/>
      <c r="AA1199" s="19"/>
      <c r="AB1199" s="19"/>
      <c r="AC1199" s="19"/>
    </row>
    <row r="1200" spans="2:29" x14ac:dyDescent="0.25">
      <c r="B1200" s="19"/>
      <c r="C1200" s="19"/>
      <c r="D1200" s="19"/>
      <c r="E1200" s="19"/>
      <c r="F1200" s="19"/>
      <c r="G1200" s="19"/>
      <c r="H1200" s="19"/>
      <c r="I1200" s="19"/>
      <c r="J1200" s="19"/>
      <c r="K1200" s="19"/>
      <c r="L1200" s="19"/>
      <c r="M1200" s="19"/>
      <c r="N1200" s="19"/>
      <c r="O1200" s="19"/>
      <c r="P1200" s="19"/>
      <c r="Q1200" s="19"/>
      <c r="R1200" s="19"/>
      <c r="S1200" s="19"/>
      <c r="T1200" s="19"/>
      <c r="U1200" s="19"/>
      <c r="V1200" s="19"/>
      <c r="W1200" s="19"/>
      <c r="X1200" s="19"/>
      <c r="Y1200" s="19"/>
      <c r="Z1200" s="19"/>
      <c r="AA1200" s="19"/>
      <c r="AB1200" s="19"/>
      <c r="AC1200" s="19"/>
    </row>
    <row r="1201" spans="2:29" x14ac:dyDescent="0.25">
      <c r="B1201" s="19"/>
      <c r="C1201" s="19"/>
      <c r="D1201" s="19"/>
      <c r="E1201" s="19"/>
      <c r="F1201" s="19"/>
      <c r="G1201" s="19"/>
      <c r="H1201" s="19"/>
      <c r="I1201" s="19"/>
      <c r="J1201" s="19"/>
      <c r="K1201" s="19"/>
      <c r="L1201" s="19"/>
      <c r="M1201" s="19"/>
      <c r="N1201" s="19"/>
      <c r="O1201" s="19"/>
      <c r="P1201" s="19"/>
      <c r="Q1201" s="19"/>
      <c r="R1201" s="19"/>
      <c r="S1201" s="19"/>
      <c r="T1201" s="19"/>
      <c r="U1201" s="19"/>
      <c r="V1201" s="19"/>
      <c r="W1201" s="19"/>
      <c r="X1201" s="19"/>
      <c r="Y1201" s="19"/>
      <c r="Z1201" s="19"/>
      <c r="AA1201" s="19"/>
      <c r="AB1201" s="19"/>
      <c r="AC1201" s="19"/>
    </row>
    <row r="1202" spans="2:29" x14ac:dyDescent="0.25">
      <c r="B1202" s="19"/>
      <c r="C1202" s="19"/>
      <c r="D1202" s="19"/>
      <c r="E1202" s="19"/>
      <c r="F1202" s="19"/>
      <c r="G1202" s="19"/>
      <c r="H1202" s="19"/>
      <c r="I1202" s="19"/>
      <c r="J1202" s="19"/>
      <c r="K1202" s="19"/>
      <c r="L1202" s="19"/>
      <c r="M1202" s="19"/>
      <c r="N1202" s="19"/>
      <c r="O1202" s="19"/>
      <c r="P1202" s="19"/>
      <c r="Q1202" s="19"/>
      <c r="R1202" s="19"/>
      <c r="S1202" s="19"/>
      <c r="T1202" s="19"/>
      <c r="U1202" s="19"/>
      <c r="V1202" s="19"/>
      <c r="W1202" s="19"/>
      <c r="X1202" s="19"/>
      <c r="Y1202" s="19"/>
      <c r="Z1202" s="19"/>
      <c r="AA1202" s="19"/>
      <c r="AB1202" s="19"/>
      <c r="AC1202" s="19"/>
    </row>
    <row r="1203" spans="2:29" x14ac:dyDescent="0.25">
      <c r="B1203" s="19"/>
      <c r="C1203" s="19"/>
      <c r="D1203" s="19"/>
      <c r="E1203" s="19"/>
      <c r="F1203" s="19"/>
      <c r="G1203" s="19"/>
      <c r="H1203" s="19"/>
      <c r="I1203" s="19"/>
      <c r="J1203" s="19"/>
      <c r="K1203" s="19"/>
      <c r="L1203" s="19"/>
      <c r="M1203" s="19"/>
      <c r="N1203" s="19"/>
      <c r="O1203" s="19"/>
      <c r="P1203" s="19"/>
      <c r="Q1203" s="19"/>
      <c r="R1203" s="19"/>
      <c r="S1203" s="19"/>
      <c r="T1203" s="19"/>
      <c r="U1203" s="19"/>
      <c r="V1203" s="19"/>
      <c r="W1203" s="19"/>
      <c r="X1203" s="19"/>
      <c r="Y1203" s="19"/>
      <c r="Z1203" s="19"/>
      <c r="AA1203" s="19"/>
      <c r="AB1203" s="19"/>
      <c r="AC1203" s="19"/>
    </row>
    <row r="1204" spans="2:29" x14ac:dyDescent="0.25">
      <c r="B1204" s="19"/>
      <c r="C1204" s="19"/>
      <c r="D1204" s="19"/>
      <c r="E1204" s="19"/>
      <c r="F1204" s="19"/>
      <c r="G1204" s="19"/>
      <c r="H1204" s="19"/>
      <c r="I1204" s="19"/>
      <c r="J1204" s="19"/>
      <c r="K1204" s="19"/>
      <c r="L1204" s="19"/>
      <c r="M1204" s="19"/>
      <c r="N1204" s="19"/>
      <c r="O1204" s="19"/>
      <c r="P1204" s="19"/>
      <c r="Q1204" s="19"/>
      <c r="R1204" s="19"/>
      <c r="S1204" s="19"/>
      <c r="T1204" s="19"/>
      <c r="U1204" s="19"/>
      <c r="V1204" s="19"/>
      <c r="W1204" s="19"/>
      <c r="X1204" s="19"/>
      <c r="Y1204" s="19"/>
      <c r="Z1204" s="19"/>
      <c r="AA1204" s="19"/>
      <c r="AB1204" s="19"/>
      <c r="AC1204" s="19"/>
    </row>
    <row r="1205" spans="2:29" x14ac:dyDescent="0.25">
      <c r="B1205" s="19"/>
      <c r="C1205" s="19"/>
      <c r="D1205" s="19"/>
      <c r="E1205" s="19"/>
      <c r="F1205" s="19"/>
      <c r="G1205" s="19"/>
      <c r="H1205" s="19"/>
      <c r="I1205" s="19"/>
      <c r="J1205" s="19"/>
      <c r="K1205" s="19"/>
      <c r="L1205" s="19"/>
      <c r="M1205" s="19"/>
      <c r="N1205" s="19"/>
      <c r="O1205" s="19"/>
      <c r="P1205" s="19"/>
      <c r="Q1205" s="19"/>
      <c r="R1205" s="19"/>
      <c r="S1205" s="19"/>
      <c r="T1205" s="19"/>
      <c r="U1205" s="19"/>
      <c r="V1205" s="19"/>
      <c r="W1205" s="19"/>
      <c r="X1205" s="19"/>
      <c r="Y1205" s="19"/>
      <c r="Z1205" s="19"/>
      <c r="AA1205" s="19"/>
      <c r="AB1205" s="19"/>
      <c r="AC1205" s="19"/>
    </row>
    <row r="1206" spans="2:29" x14ac:dyDescent="0.25">
      <c r="B1206" s="19"/>
      <c r="C1206" s="19"/>
      <c r="D1206" s="19"/>
      <c r="E1206" s="19"/>
      <c r="F1206" s="19"/>
      <c r="G1206" s="19"/>
      <c r="H1206" s="19"/>
      <c r="I1206" s="19"/>
      <c r="J1206" s="19"/>
      <c r="K1206" s="19"/>
      <c r="L1206" s="19"/>
      <c r="M1206" s="19"/>
      <c r="N1206" s="19"/>
      <c r="O1206" s="19"/>
      <c r="P1206" s="19"/>
      <c r="Q1206" s="19"/>
      <c r="R1206" s="19"/>
      <c r="S1206" s="19"/>
      <c r="T1206" s="19"/>
      <c r="U1206" s="19"/>
      <c r="V1206" s="19"/>
      <c r="W1206" s="19"/>
      <c r="X1206" s="19"/>
      <c r="Y1206" s="19"/>
      <c r="Z1206" s="19"/>
      <c r="AA1206" s="19"/>
      <c r="AB1206" s="19"/>
      <c r="AC1206" s="19"/>
    </row>
    <row r="1207" spans="2:29" x14ac:dyDescent="0.25">
      <c r="B1207" s="19"/>
      <c r="C1207" s="19"/>
      <c r="D1207" s="19"/>
      <c r="E1207" s="19"/>
      <c r="F1207" s="19"/>
      <c r="G1207" s="19"/>
      <c r="H1207" s="19"/>
      <c r="I1207" s="19"/>
      <c r="J1207" s="19"/>
      <c r="K1207" s="19"/>
      <c r="L1207" s="19"/>
      <c r="M1207" s="19"/>
      <c r="N1207" s="19"/>
      <c r="O1207" s="19"/>
      <c r="P1207" s="19"/>
      <c r="Q1207" s="19"/>
      <c r="R1207" s="19"/>
      <c r="S1207" s="19"/>
      <c r="T1207" s="19"/>
      <c r="U1207" s="19"/>
      <c r="V1207" s="19"/>
      <c r="W1207" s="19"/>
      <c r="X1207" s="19"/>
      <c r="Y1207" s="19"/>
      <c r="Z1207" s="19"/>
      <c r="AA1207" s="19"/>
      <c r="AB1207" s="19"/>
      <c r="AC1207" s="19"/>
    </row>
    <row r="1208" spans="2:29" x14ac:dyDescent="0.25">
      <c r="B1208" s="19"/>
      <c r="C1208" s="19"/>
      <c r="D1208" s="19"/>
      <c r="E1208" s="19"/>
      <c r="F1208" s="19"/>
      <c r="G1208" s="19"/>
      <c r="H1208" s="19"/>
      <c r="I1208" s="19"/>
      <c r="J1208" s="19"/>
      <c r="K1208" s="19"/>
      <c r="L1208" s="19"/>
      <c r="M1208" s="19"/>
      <c r="N1208" s="19"/>
      <c r="O1208" s="19"/>
      <c r="P1208" s="19"/>
      <c r="Q1208" s="19"/>
      <c r="R1208" s="19"/>
      <c r="S1208" s="19"/>
      <c r="T1208" s="19"/>
      <c r="U1208" s="19"/>
      <c r="V1208" s="19"/>
      <c r="W1208" s="19"/>
      <c r="X1208" s="19"/>
      <c r="Y1208" s="19"/>
      <c r="Z1208" s="19"/>
      <c r="AA1208" s="19"/>
      <c r="AB1208" s="19"/>
      <c r="AC1208" s="19"/>
    </row>
    <row r="1209" spans="2:29" x14ac:dyDescent="0.25">
      <c r="B1209" s="19"/>
      <c r="C1209" s="19"/>
      <c r="D1209" s="19"/>
      <c r="E1209" s="19"/>
      <c r="F1209" s="19"/>
      <c r="G1209" s="19"/>
      <c r="H1209" s="19"/>
      <c r="I1209" s="19"/>
      <c r="J1209" s="19"/>
      <c r="K1209" s="19"/>
      <c r="L1209" s="19"/>
      <c r="M1209" s="19"/>
      <c r="N1209" s="19"/>
      <c r="O1209" s="19"/>
      <c r="P1209" s="19"/>
      <c r="Q1209" s="19"/>
      <c r="R1209" s="19"/>
      <c r="S1209" s="19"/>
      <c r="T1209" s="19"/>
      <c r="U1209" s="19"/>
      <c r="V1209" s="19"/>
      <c r="W1209" s="19"/>
      <c r="X1209" s="19"/>
      <c r="Y1209" s="19"/>
      <c r="Z1209" s="19"/>
      <c r="AA1209" s="19"/>
      <c r="AB1209" s="19"/>
      <c r="AC1209" s="19"/>
    </row>
    <row r="1210" spans="2:29" x14ac:dyDescent="0.25">
      <c r="B1210" s="19"/>
      <c r="C1210" s="19"/>
      <c r="D1210" s="19"/>
      <c r="E1210" s="19"/>
      <c r="F1210" s="19"/>
      <c r="G1210" s="19"/>
      <c r="H1210" s="19"/>
      <c r="I1210" s="19"/>
      <c r="J1210" s="19"/>
      <c r="K1210" s="19"/>
      <c r="L1210" s="19"/>
      <c r="M1210" s="19"/>
      <c r="N1210" s="19"/>
      <c r="O1210" s="19"/>
      <c r="P1210" s="19"/>
      <c r="Q1210" s="19"/>
      <c r="R1210" s="19"/>
      <c r="S1210" s="19"/>
      <c r="T1210" s="19"/>
      <c r="U1210" s="19"/>
      <c r="V1210" s="19"/>
      <c r="W1210" s="19"/>
      <c r="X1210" s="19"/>
      <c r="Y1210" s="19"/>
      <c r="Z1210" s="19"/>
      <c r="AA1210" s="19"/>
      <c r="AB1210" s="19"/>
      <c r="AC1210" s="19"/>
    </row>
    <row r="1211" spans="2:29" x14ac:dyDescent="0.25">
      <c r="B1211" s="19"/>
      <c r="C1211" s="19"/>
      <c r="D1211" s="19"/>
      <c r="E1211" s="19"/>
      <c r="F1211" s="19"/>
      <c r="G1211" s="19"/>
      <c r="H1211" s="19"/>
      <c r="I1211" s="19"/>
      <c r="J1211" s="19"/>
      <c r="K1211" s="19"/>
      <c r="L1211" s="19"/>
      <c r="M1211" s="19"/>
      <c r="N1211" s="19"/>
      <c r="O1211" s="19"/>
      <c r="P1211" s="19"/>
      <c r="Q1211" s="19"/>
      <c r="R1211" s="19"/>
      <c r="S1211" s="19"/>
      <c r="T1211" s="19"/>
      <c r="U1211" s="19"/>
      <c r="V1211" s="19"/>
      <c r="W1211" s="19"/>
      <c r="X1211" s="19"/>
      <c r="Y1211" s="19"/>
      <c r="Z1211" s="19"/>
      <c r="AA1211" s="19"/>
      <c r="AB1211" s="19"/>
      <c r="AC1211" s="19"/>
    </row>
    <row r="1212" spans="2:29" x14ac:dyDescent="0.25">
      <c r="B1212" s="19"/>
      <c r="C1212" s="19"/>
      <c r="D1212" s="19"/>
      <c r="E1212" s="19"/>
      <c r="F1212" s="19"/>
      <c r="G1212" s="19"/>
      <c r="H1212" s="19"/>
      <c r="I1212" s="19"/>
      <c r="J1212" s="19"/>
      <c r="K1212" s="19"/>
      <c r="L1212" s="19"/>
      <c r="M1212" s="19"/>
      <c r="N1212" s="19"/>
      <c r="O1212" s="19"/>
      <c r="P1212" s="19"/>
      <c r="Q1212" s="19"/>
      <c r="R1212" s="19"/>
      <c r="S1212" s="19"/>
      <c r="T1212" s="19"/>
      <c r="U1212" s="19"/>
      <c r="V1212" s="19"/>
      <c r="W1212" s="19"/>
      <c r="X1212" s="19"/>
      <c r="Y1212" s="19"/>
      <c r="Z1212" s="19"/>
      <c r="AA1212" s="19"/>
      <c r="AB1212" s="19"/>
      <c r="AC1212" s="19"/>
    </row>
    <row r="1213" spans="2:29" x14ac:dyDescent="0.25">
      <c r="B1213" s="19"/>
      <c r="C1213" s="19"/>
      <c r="D1213" s="19"/>
      <c r="E1213" s="19"/>
      <c r="F1213" s="19"/>
      <c r="G1213" s="19"/>
      <c r="H1213" s="19"/>
      <c r="I1213" s="19"/>
      <c r="J1213" s="19"/>
      <c r="K1213" s="19"/>
      <c r="L1213" s="19"/>
      <c r="M1213" s="19"/>
      <c r="N1213" s="19"/>
      <c r="O1213" s="19"/>
      <c r="P1213" s="19"/>
      <c r="Q1213" s="19"/>
      <c r="R1213" s="19"/>
      <c r="S1213" s="19"/>
      <c r="T1213" s="19"/>
      <c r="U1213" s="19"/>
      <c r="V1213" s="19"/>
      <c r="W1213" s="19"/>
      <c r="X1213" s="19"/>
      <c r="Y1213" s="19"/>
      <c r="Z1213" s="19"/>
      <c r="AA1213" s="19"/>
      <c r="AB1213" s="19"/>
      <c r="AC1213" s="19"/>
    </row>
    <row r="1214" spans="2:29" x14ac:dyDescent="0.25">
      <c r="B1214" s="19"/>
      <c r="C1214" s="19"/>
      <c r="D1214" s="19"/>
      <c r="E1214" s="19"/>
      <c r="F1214" s="19"/>
      <c r="G1214" s="19"/>
      <c r="H1214" s="19"/>
      <c r="I1214" s="19"/>
      <c r="J1214" s="19"/>
      <c r="K1214" s="19"/>
      <c r="L1214" s="19"/>
      <c r="M1214" s="19"/>
      <c r="N1214" s="19"/>
      <c r="O1214" s="19"/>
      <c r="P1214" s="19"/>
      <c r="Q1214" s="19"/>
      <c r="R1214" s="19"/>
      <c r="S1214" s="19"/>
      <c r="T1214" s="19"/>
      <c r="U1214" s="19"/>
      <c r="V1214" s="19"/>
      <c r="W1214" s="19"/>
      <c r="X1214" s="19"/>
      <c r="Y1214" s="19"/>
      <c r="Z1214" s="19"/>
      <c r="AA1214" s="19"/>
      <c r="AB1214" s="19"/>
      <c r="AC1214" s="19"/>
    </row>
    <row r="1215" spans="2:29" x14ac:dyDescent="0.25">
      <c r="B1215" s="19"/>
      <c r="C1215" s="19"/>
      <c r="D1215" s="19"/>
      <c r="E1215" s="19"/>
      <c r="F1215" s="19"/>
      <c r="G1215" s="19"/>
      <c r="H1215" s="19"/>
      <c r="I1215" s="19"/>
      <c r="J1215" s="19"/>
      <c r="K1215" s="19"/>
      <c r="L1215" s="19"/>
      <c r="M1215" s="19"/>
      <c r="N1215" s="19"/>
      <c r="O1215" s="19"/>
      <c r="P1215" s="19"/>
      <c r="Q1215" s="19"/>
      <c r="R1215" s="19"/>
      <c r="S1215" s="19"/>
      <c r="T1215" s="19"/>
      <c r="U1215" s="19"/>
      <c r="V1215" s="19"/>
      <c r="W1215" s="19"/>
      <c r="X1215" s="19"/>
      <c r="Y1215" s="19"/>
      <c r="Z1215" s="19"/>
      <c r="AA1215" s="19"/>
      <c r="AB1215" s="19"/>
      <c r="AC1215" s="19"/>
    </row>
    <row r="1216" spans="2:29" x14ac:dyDescent="0.25">
      <c r="B1216" s="19"/>
      <c r="C1216" s="19"/>
      <c r="D1216" s="19"/>
      <c r="E1216" s="19"/>
      <c r="F1216" s="19"/>
      <c r="G1216" s="19"/>
      <c r="H1216" s="19"/>
      <c r="I1216" s="19"/>
      <c r="J1216" s="19"/>
      <c r="K1216" s="19"/>
      <c r="L1216" s="19"/>
      <c r="M1216" s="19"/>
      <c r="N1216" s="19"/>
      <c r="O1216" s="19"/>
      <c r="P1216" s="19"/>
      <c r="Q1216" s="19"/>
      <c r="R1216" s="19"/>
      <c r="S1216" s="19"/>
      <c r="T1216" s="19"/>
      <c r="U1216" s="19"/>
      <c r="V1216" s="19"/>
      <c r="W1216" s="19"/>
      <c r="X1216" s="19"/>
      <c r="Y1216" s="19"/>
      <c r="Z1216" s="19"/>
      <c r="AA1216" s="19"/>
      <c r="AB1216" s="19"/>
      <c r="AC1216" s="19"/>
    </row>
    <row r="1217" spans="2:29" x14ac:dyDescent="0.25">
      <c r="B1217" s="19"/>
      <c r="C1217" s="19"/>
      <c r="D1217" s="19"/>
      <c r="E1217" s="19"/>
      <c r="F1217" s="19"/>
      <c r="G1217" s="19"/>
      <c r="H1217" s="19"/>
      <c r="I1217" s="19"/>
      <c r="J1217" s="19"/>
      <c r="K1217" s="19"/>
      <c r="L1217" s="19"/>
      <c r="M1217" s="19"/>
      <c r="N1217" s="19"/>
      <c r="O1217" s="19"/>
      <c r="P1217" s="19"/>
      <c r="Q1217" s="19"/>
      <c r="R1217" s="19"/>
      <c r="S1217" s="19"/>
      <c r="T1217" s="19"/>
      <c r="U1217" s="19"/>
      <c r="V1217" s="19"/>
      <c r="W1217" s="19"/>
      <c r="X1217" s="19"/>
      <c r="Y1217" s="19"/>
      <c r="Z1217" s="19"/>
      <c r="AA1217" s="19"/>
      <c r="AB1217" s="19"/>
      <c r="AC1217" s="19"/>
    </row>
    <row r="1218" spans="2:29" x14ac:dyDescent="0.25">
      <c r="B1218" s="19"/>
      <c r="C1218" s="19"/>
      <c r="D1218" s="19"/>
      <c r="E1218" s="19"/>
      <c r="F1218" s="19"/>
      <c r="G1218" s="19"/>
      <c r="H1218" s="19"/>
      <c r="I1218" s="19"/>
      <c r="J1218" s="19"/>
      <c r="K1218" s="19"/>
      <c r="L1218" s="19"/>
      <c r="M1218" s="19"/>
      <c r="N1218" s="19"/>
      <c r="O1218" s="19"/>
      <c r="P1218" s="19"/>
      <c r="Q1218" s="19"/>
      <c r="R1218" s="19"/>
      <c r="S1218" s="19"/>
      <c r="T1218" s="19"/>
      <c r="U1218" s="19"/>
      <c r="V1218" s="19"/>
      <c r="W1218" s="19"/>
      <c r="X1218" s="19"/>
      <c r="Y1218" s="19"/>
      <c r="Z1218" s="19"/>
      <c r="AA1218" s="19"/>
      <c r="AB1218" s="19"/>
      <c r="AC1218" s="19"/>
    </row>
    <row r="1219" spans="2:29" x14ac:dyDescent="0.25">
      <c r="B1219" s="19"/>
      <c r="C1219" s="19"/>
      <c r="D1219" s="19"/>
      <c r="E1219" s="19"/>
      <c r="F1219" s="19"/>
      <c r="G1219" s="19"/>
      <c r="H1219" s="19"/>
      <c r="I1219" s="19"/>
      <c r="J1219" s="19"/>
      <c r="K1219" s="19"/>
      <c r="L1219" s="19"/>
      <c r="M1219" s="19"/>
      <c r="N1219" s="19"/>
      <c r="O1219" s="19"/>
      <c r="P1219" s="19"/>
      <c r="Q1219" s="19"/>
      <c r="R1219" s="19"/>
      <c r="S1219" s="19"/>
      <c r="T1219" s="19"/>
      <c r="U1219" s="19"/>
      <c r="V1219" s="19"/>
      <c r="W1219" s="19"/>
      <c r="X1219" s="19"/>
      <c r="Y1219" s="19"/>
      <c r="Z1219" s="19"/>
      <c r="AA1219" s="19"/>
      <c r="AB1219" s="19"/>
      <c r="AC1219" s="19"/>
    </row>
    <row r="1220" spans="2:29" x14ac:dyDescent="0.25">
      <c r="B1220" s="19"/>
      <c r="C1220" s="19"/>
      <c r="D1220" s="19"/>
      <c r="E1220" s="19"/>
      <c r="F1220" s="19"/>
      <c r="G1220" s="19"/>
      <c r="H1220" s="19"/>
      <c r="I1220" s="19"/>
      <c r="J1220" s="19"/>
      <c r="K1220" s="19"/>
      <c r="L1220" s="19"/>
      <c r="M1220" s="19"/>
      <c r="N1220" s="19"/>
      <c r="O1220" s="19"/>
      <c r="P1220" s="19"/>
      <c r="Q1220" s="19"/>
      <c r="R1220" s="19"/>
      <c r="S1220" s="19"/>
      <c r="T1220" s="19"/>
      <c r="U1220" s="19"/>
      <c r="V1220" s="19"/>
      <c r="W1220" s="19"/>
      <c r="X1220" s="19"/>
      <c r="Y1220" s="19"/>
      <c r="Z1220" s="19"/>
      <c r="AA1220" s="19"/>
      <c r="AB1220" s="19"/>
      <c r="AC1220" s="19"/>
    </row>
    <row r="1221" spans="2:29" x14ac:dyDescent="0.25">
      <c r="B1221" s="19"/>
      <c r="C1221" s="19"/>
      <c r="D1221" s="19"/>
      <c r="E1221" s="19"/>
      <c r="F1221" s="19"/>
      <c r="G1221" s="19"/>
      <c r="H1221" s="19"/>
      <c r="I1221" s="19"/>
      <c r="J1221" s="19"/>
      <c r="K1221" s="19"/>
      <c r="L1221" s="19"/>
      <c r="M1221" s="19"/>
      <c r="N1221" s="19"/>
      <c r="O1221" s="19"/>
      <c r="P1221" s="19"/>
      <c r="Q1221" s="19"/>
      <c r="R1221" s="19"/>
      <c r="S1221" s="19"/>
      <c r="T1221" s="19"/>
      <c r="U1221" s="19"/>
      <c r="V1221" s="19"/>
      <c r="W1221" s="19"/>
      <c r="X1221" s="19"/>
      <c r="Y1221" s="19"/>
      <c r="Z1221" s="19"/>
      <c r="AA1221" s="19"/>
      <c r="AB1221" s="19"/>
      <c r="AC1221" s="19"/>
    </row>
    <row r="1222" spans="2:29" x14ac:dyDescent="0.25">
      <c r="B1222" s="19"/>
      <c r="C1222" s="19"/>
      <c r="D1222" s="19"/>
      <c r="E1222" s="19"/>
      <c r="F1222" s="19"/>
      <c r="G1222" s="19"/>
      <c r="H1222" s="19"/>
      <c r="I1222" s="19"/>
      <c r="J1222" s="19"/>
      <c r="K1222" s="19"/>
      <c r="L1222" s="19"/>
      <c r="M1222" s="19"/>
      <c r="N1222" s="19"/>
      <c r="O1222" s="19"/>
      <c r="P1222" s="19"/>
      <c r="Q1222" s="19"/>
      <c r="R1222" s="19"/>
      <c r="S1222" s="19"/>
      <c r="T1222" s="19"/>
      <c r="U1222" s="19"/>
      <c r="V1222" s="19"/>
      <c r="W1222" s="19"/>
      <c r="X1222" s="19"/>
      <c r="Y1222" s="19"/>
      <c r="Z1222" s="19"/>
      <c r="AA1222" s="19"/>
      <c r="AB1222" s="19"/>
      <c r="AC1222" s="19"/>
    </row>
    <row r="1223" spans="2:29" x14ac:dyDescent="0.25">
      <c r="B1223" s="19"/>
      <c r="C1223" s="19"/>
      <c r="D1223" s="19"/>
      <c r="E1223" s="19"/>
      <c r="F1223" s="19"/>
      <c r="G1223" s="19"/>
      <c r="H1223" s="19"/>
      <c r="I1223" s="19"/>
      <c r="J1223" s="19"/>
      <c r="K1223" s="19"/>
      <c r="L1223" s="19"/>
      <c r="M1223" s="19"/>
      <c r="N1223" s="19"/>
      <c r="O1223" s="19"/>
      <c r="P1223" s="19"/>
      <c r="Q1223" s="19"/>
      <c r="R1223" s="19"/>
      <c r="S1223" s="19"/>
      <c r="T1223" s="19"/>
      <c r="U1223" s="19"/>
      <c r="V1223" s="19"/>
      <c r="W1223" s="19"/>
      <c r="X1223" s="19"/>
      <c r="Y1223" s="19"/>
      <c r="Z1223" s="19"/>
      <c r="AA1223" s="19"/>
      <c r="AB1223" s="19"/>
      <c r="AC1223" s="19"/>
    </row>
    <row r="1224" spans="2:29" x14ac:dyDescent="0.25">
      <c r="B1224" s="19"/>
      <c r="C1224" s="19"/>
      <c r="D1224" s="19"/>
      <c r="E1224" s="19"/>
      <c r="F1224" s="19"/>
      <c r="G1224" s="19"/>
      <c r="H1224" s="19"/>
      <c r="I1224" s="19"/>
      <c r="J1224" s="19"/>
      <c r="K1224" s="19"/>
      <c r="L1224" s="19"/>
      <c r="M1224" s="19"/>
      <c r="N1224" s="19"/>
      <c r="O1224" s="19"/>
      <c r="P1224" s="19"/>
      <c r="Q1224" s="19"/>
      <c r="R1224" s="19"/>
      <c r="S1224" s="19"/>
      <c r="T1224" s="19"/>
      <c r="U1224" s="19"/>
      <c r="V1224" s="19"/>
      <c r="W1224" s="19"/>
      <c r="X1224" s="19"/>
      <c r="Y1224" s="19"/>
      <c r="Z1224" s="19"/>
      <c r="AA1224" s="19"/>
      <c r="AB1224" s="19"/>
      <c r="AC1224" s="19"/>
    </row>
    <row r="1225" spans="2:29" x14ac:dyDescent="0.25">
      <c r="B1225" s="19"/>
      <c r="C1225" s="19"/>
      <c r="D1225" s="19"/>
      <c r="E1225" s="19"/>
      <c r="F1225" s="19"/>
      <c r="G1225" s="19"/>
      <c r="H1225" s="19"/>
      <c r="I1225" s="19"/>
      <c r="J1225" s="19"/>
      <c r="K1225" s="19"/>
      <c r="L1225" s="19"/>
      <c r="M1225" s="19"/>
      <c r="N1225" s="19"/>
      <c r="O1225" s="19"/>
      <c r="P1225" s="19"/>
      <c r="Q1225" s="19"/>
      <c r="R1225" s="19"/>
      <c r="S1225" s="19"/>
      <c r="T1225" s="19"/>
      <c r="U1225" s="19"/>
      <c r="V1225" s="19"/>
      <c r="W1225" s="19"/>
      <c r="X1225" s="19"/>
      <c r="Y1225" s="19"/>
      <c r="Z1225" s="19"/>
      <c r="AA1225" s="19"/>
      <c r="AB1225" s="19"/>
      <c r="AC1225" s="19"/>
    </row>
    <row r="1226" spans="2:29" x14ac:dyDescent="0.25">
      <c r="B1226" s="19"/>
      <c r="C1226" s="19"/>
      <c r="D1226" s="19"/>
      <c r="E1226" s="19"/>
      <c r="F1226" s="19"/>
      <c r="G1226" s="19"/>
      <c r="H1226" s="19"/>
      <c r="I1226" s="19"/>
      <c r="J1226" s="19"/>
      <c r="K1226" s="19"/>
      <c r="L1226" s="19"/>
      <c r="M1226" s="19"/>
      <c r="N1226" s="19"/>
      <c r="O1226" s="19"/>
      <c r="P1226" s="19"/>
      <c r="Q1226" s="19"/>
      <c r="R1226" s="19"/>
      <c r="S1226" s="19"/>
      <c r="T1226" s="19"/>
      <c r="U1226" s="19"/>
      <c r="V1226" s="19"/>
      <c r="W1226" s="19"/>
      <c r="X1226" s="19"/>
      <c r="Y1226" s="19"/>
      <c r="Z1226" s="19"/>
      <c r="AA1226" s="19"/>
      <c r="AB1226" s="19"/>
      <c r="AC1226" s="19"/>
    </row>
    <row r="1227" spans="2:29" x14ac:dyDescent="0.25">
      <c r="B1227" s="19"/>
      <c r="C1227" s="19"/>
      <c r="D1227" s="19"/>
      <c r="E1227" s="19"/>
      <c r="F1227" s="19"/>
      <c r="G1227" s="19"/>
      <c r="H1227" s="19"/>
      <c r="I1227" s="19"/>
      <c r="J1227" s="19"/>
      <c r="K1227" s="19"/>
      <c r="L1227" s="19"/>
      <c r="M1227" s="19"/>
      <c r="N1227" s="19"/>
      <c r="O1227" s="19"/>
      <c r="P1227" s="19"/>
      <c r="Q1227" s="19"/>
      <c r="R1227" s="19"/>
      <c r="S1227" s="19"/>
      <c r="T1227" s="19"/>
      <c r="U1227" s="19"/>
      <c r="V1227" s="19"/>
      <c r="W1227" s="19"/>
      <c r="X1227" s="19"/>
      <c r="Y1227" s="19"/>
      <c r="Z1227" s="19"/>
      <c r="AA1227" s="19"/>
      <c r="AB1227" s="19"/>
      <c r="AC1227" s="19"/>
    </row>
    <row r="1228" spans="2:29" x14ac:dyDescent="0.25">
      <c r="B1228" s="19"/>
      <c r="C1228" s="19"/>
      <c r="D1228" s="19"/>
      <c r="E1228" s="19"/>
      <c r="F1228" s="19"/>
      <c r="G1228" s="19"/>
      <c r="H1228" s="19"/>
      <c r="I1228" s="19"/>
      <c r="J1228" s="19"/>
      <c r="K1228" s="19"/>
      <c r="L1228" s="19"/>
      <c r="M1228" s="19"/>
      <c r="N1228" s="19"/>
      <c r="O1228" s="19"/>
      <c r="P1228" s="19"/>
      <c r="Q1228" s="19"/>
      <c r="R1228" s="19"/>
      <c r="S1228" s="19"/>
      <c r="T1228" s="19"/>
      <c r="U1228" s="19"/>
      <c r="V1228" s="19"/>
      <c r="W1228" s="19"/>
      <c r="X1228" s="19"/>
      <c r="Y1228" s="19"/>
      <c r="Z1228" s="19"/>
      <c r="AA1228" s="19"/>
      <c r="AB1228" s="19"/>
      <c r="AC1228" s="19"/>
    </row>
    <row r="1229" spans="2:29" x14ac:dyDescent="0.25">
      <c r="B1229" s="19"/>
      <c r="C1229" s="19"/>
      <c r="D1229" s="19"/>
      <c r="E1229" s="19"/>
      <c r="F1229" s="19"/>
      <c r="G1229" s="19"/>
      <c r="H1229" s="19"/>
      <c r="I1229" s="19"/>
      <c r="J1229" s="19"/>
      <c r="K1229" s="19"/>
      <c r="L1229" s="19"/>
      <c r="M1229" s="19"/>
      <c r="N1229" s="19"/>
      <c r="O1229" s="19"/>
      <c r="P1229" s="19"/>
      <c r="Q1229" s="19"/>
      <c r="R1229" s="19"/>
      <c r="S1229" s="19"/>
      <c r="T1229" s="19"/>
      <c r="U1229" s="19"/>
      <c r="V1229" s="19"/>
      <c r="W1229" s="19"/>
      <c r="X1229" s="19"/>
      <c r="Y1229" s="19"/>
      <c r="Z1229" s="19"/>
      <c r="AA1229" s="19"/>
      <c r="AB1229" s="19"/>
      <c r="AC1229" s="19"/>
    </row>
    <row r="1230" spans="2:29" x14ac:dyDescent="0.25">
      <c r="B1230" s="19"/>
      <c r="C1230" s="19"/>
      <c r="D1230" s="19"/>
      <c r="E1230" s="19"/>
      <c r="F1230" s="19"/>
      <c r="G1230" s="19"/>
      <c r="H1230" s="19"/>
      <c r="I1230" s="19"/>
      <c r="J1230" s="19"/>
      <c r="K1230" s="19"/>
      <c r="L1230" s="19"/>
      <c r="M1230" s="19"/>
      <c r="N1230" s="19"/>
      <c r="O1230" s="19"/>
      <c r="P1230" s="19"/>
      <c r="Q1230" s="19"/>
      <c r="R1230" s="19"/>
      <c r="S1230" s="19"/>
      <c r="T1230" s="19"/>
      <c r="U1230" s="19"/>
      <c r="V1230" s="19"/>
      <c r="W1230" s="19"/>
      <c r="X1230" s="19"/>
      <c r="Y1230" s="19"/>
      <c r="Z1230" s="19"/>
      <c r="AA1230" s="19"/>
      <c r="AB1230" s="19"/>
      <c r="AC1230" s="19"/>
    </row>
    <row r="1231" spans="2:29" x14ac:dyDescent="0.25">
      <c r="B1231" s="19"/>
      <c r="C1231" s="19"/>
      <c r="D1231" s="19"/>
      <c r="E1231" s="19"/>
      <c r="F1231" s="19"/>
      <c r="G1231" s="19"/>
      <c r="H1231" s="19"/>
      <c r="I1231" s="19"/>
      <c r="J1231" s="19"/>
      <c r="K1231" s="19"/>
      <c r="L1231" s="19"/>
      <c r="M1231" s="19"/>
      <c r="N1231" s="19"/>
      <c r="O1231" s="19"/>
      <c r="P1231" s="19"/>
      <c r="Q1231" s="19"/>
      <c r="R1231" s="19"/>
      <c r="S1231" s="19"/>
      <c r="T1231" s="19"/>
      <c r="U1231" s="19"/>
      <c r="V1231" s="19"/>
      <c r="W1231" s="19"/>
      <c r="X1231" s="19"/>
      <c r="Y1231" s="19"/>
      <c r="Z1231" s="19"/>
      <c r="AA1231" s="19"/>
      <c r="AB1231" s="19"/>
      <c r="AC1231" s="19"/>
    </row>
    <row r="1232" spans="2:29" x14ac:dyDescent="0.25">
      <c r="B1232" s="19"/>
      <c r="C1232" s="19"/>
      <c r="D1232" s="19"/>
      <c r="E1232" s="19"/>
      <c r="F1232" s="19"/>
      <c r="G1232" s="19"/>
      <c r="H1232" s="19"/>
      <c r="I1232" s="19"/>
      <c r="J1232" s="19"/>
      <c r="K1232" s="19"/>
      <c r="L1232" s="19"/>
      <c r="M1232" s="19"/>
      <c r="N1232" s="19"/>
      <c r="O1232" s="19"/>
      <c r="P1232" s="19"/>
      <c r="Q1232" s="19"/>
      <c r="R1232" s="19"/>
      <c r="S1232" s="19"/>
      <c r="T1232" s="19"/>
      <c r="U1232" s="19"/>
      <c r="V1232" s="19"/>
      <c r="W1232" s="19"/>
      <c r="X1232" s="19"/>
      <c r="Y1232" s="19"/>
      <c r="Z1232" s="19"/>
      <c r="AA1232" s="19"/>
      <c r="AB1232" s="19"/>
      <c r="AC1232" s="19"/>
    </row>
    <row r="1233" spans="2:29" x14ac:dyDescent="0.25">
      <c r="B1233" s="19"/>
      <c r="C1233" s="19"/>
      <c r="D1233" s="19"/>
      <c r="E1233" s="19"/>
      <c r="F1233" s="19"/>
      <c r="G1233" s="19"/>
      <c r="H1233" s="19"/>
      <c r="I1233" s="19"/>
      <c r="J1233" s="19"/>
      <c r="K1233" s="19"/>
      <c r="L1233" s="19"/>
      <c r="M1233" s="19"/>
      <c r="N1233" s="19"/>
      <c r="O1233" s="19"/>
      <c r="P1233" s="19"/>
      <c r="Q1233" s="19"/>
      <c r="R1233" s="19"/>
      <c r="S1233" s="19"/>
      <c r="T1233" s="19"/>
      <c r="U1233" s="19"/>
      <c r="V1233" s="19"/>
      <c r="W1233" s="19"/>
      <c r="X1233" s="19"/>
      <c r="Y1233" s="19"/>
      <c r="Z1233" s="19"/>
      <c r="AA1233" s="19"/>
      <c r="AB1233" s="19"/>
      <c r="AC1233" s="19"/>
    </row>
    <row r="1234" spans="2:29" x14ac:dyDescent="0.25">
      <c r="B1234" s="19"/>
      <c r="C1234" s="19"/>
      <c r="D1234" s="19"/>
      <c r="E1234" s="19"/>
      <c r="F1234" s="19"/>
      <c r="G1234" s="19"/>
      <c r="H1234" s="19"/>
      <c r="I1234" s="19"/>
      <c r="J1234" s="19"/>
      <c r="K1234" s="19"/>
      <c r="L1234" s="19"/>
      <c r="M1234" s="19"/>
      <c r="N1234" s="19"/>
      <c r="O1234" s="19"/>
      <c r="P1234" s="19"/>
      <c r="Q1234" s="19"/>
      <c r="R1234" s="19"/>
      <c r="S1234" s="19"/>
      <c r="T1234" s="19"/>
      <c r="U1234" s="19"/>
      <c r="V1234" s="19"/>
      <c r="W1234" s="19"/>
      <c r="X1234" s="19"/>
      <c r="Y1234" s="19"/>
      <c r="Z1234" s="19"/>
      <c r="AA1234" s="19"/>
      <c r="AB1234" s="19"/>
      <c r="AC1234" s="19"/>
    </row>
    <row r="1235" spans="2:29" x14ac:dyDescent="0.25">
      <c r="B1235" s="19"/>
      <c r="C1235" s="19"/>
      <c r="D1235" s="19"/>
      <c r="E1235" s="19"/>
      <c r="F1235" s="19"/>
      <c r="G1235" s="19"/>
      <c r="H1235" s="19"/>
      <c r="I1235" s="19"/>
      <c r="J1235" s="19"/>
      <c r="K1235" s="19"/>
      <c r="L1235" s="19"/>
      <c r="M1235" s="19"/>
      <c r="N1235" s="19"/>
      <c r="O1235" s="19"/>
      <c r="P1235" s="19"/>
      <c r="Q1235" s="19"/>
      <c r="R1235" s="19"/>
      <c r="S1235" s="19"/>
      <c r="T1235" s="19"/>
      <c r="U1235" s="19"/>
      <c r="V1235" s="19"/>
      <c r="W1235" s="19"/>
      <c r="X1235" s="19"/>
      <c r="Y1235" s="19"/>
      <c r="Z1235" s="19"/>
      <c r="AA1235" s="19"/>
      <c r="AB1235" s="19"/>
      <c r="AC1235" s="19"/>
    </row>
    <row r="1236" spans="2:29" x14ac:dyDescent="0.25">
      <c r="B1236" s="19"/>
      <c r="C1236" s="19"/>
      <c r="D1236" s="19"/>
      <c r="E1236" s="19"/>
      <c r="F1236" s="19"/>
      <c r="G1236" s="19"/>
      <c r="H1236" s="19"/>
      <c r="I1236" s="19"/>
      <c r="J1236" s="19"/>
      <c r="K1236" s="19"/>
      <c r="L1236" s="19"/>
      <c r="M1236" s="19"/>
      <c r="N1236" s="19"/>
      <c r="O1236" s="19"/>
      <c r="P1236" s="19"/>
      <c r="Q1236" s="19"/>
      <c r="R1236" s="19"/>
      <c r="S1236" s="19"/>
      <c r="T1236" s="19"/>
      <c r="U1236" s="19"/>
      <c r="V1236" s="19"/>
      <c r="W1236" s="19"/>
      <c r="X1236" s="19"/>
      <c r="Y1236" s="19"/>
      <c r="Z1236" s="19"/>
      <c r="AA1236" s="19"/>
      <c r="AB1236" s="19"/>
      <c r="AC1236" s="19"/>
    </row>
    <row r="1237" spans="2:29" x14ac:dyDescent="0.25">
      <c r="B1237" s="19"/>
      <c r="C1237" s="19"/>
      <c r="D1237" s="19"/>
      <c r="E1237" s="19"/>
      <c r="F1237" s="19"/>
      <c r="G1237" s="19"/>
      <c r="H1237" s="19"/>
      <c r="I1237" s="19"/>
      <c r="J1237" s="19"/>
      <c r="K1237" s="19"/>
      <c r="L1237" s="19"/>
      <c r="M1237" s="19"/>
      <c r="N1237" s="19"/>
      <c r="O1237" s="19"/>
      <c r="P1237" s="19"/>
      <c r="Q1237" s="19"/>
      <c r="R1237" s="19"/>
      <c r="S1237" s="19"/>
      <c r="T1237" s="19"/>
      <c r="U1237" s="19"/>
      <c r="V1237" s="19"/>
      <c r="W1237" s="19"/>
      <c r="X1237" s="19"/>
      <c r="Y1237" s="19"/>
      <c r="Z1237" s="19"/>
      <c r="AA1237" s="19"/>
      <c r="AB1237" s="19"/>
      <c r="AC1237" s="19"/>
    </row>
    <row r="1238" spans="2:29" x14ac:dyDescent="0.25">
      <c r="B1238" s="19"/>
      <c r="C1238" s="19"/>
      <c r="D1238" s="19"/>
      <c r="E1238" s="19"/>
      <c r="F1238" s="19"/>
      <c r="G1238" s="19"/>
      <c r="H1238" s="19"/>
      <c r="I1238" s="19"/>
      <c r="J1238" s="19"/>
      <c r="K1238" s="19"/>
      <c r="L1238" s="19"/>
      <c r="M1238" s="19"/>
      <c r="N1238" s="19"/>
      <c r="O1238" s="19"/>
      <c r="P1238" s="19"/>
      <c r="Q1238" s="19"/>
      <c r="R1238" s="19"/>
      <c r="S1238" s="19"/>
      <c r="T1238" s="19"/>
      <c r="U1238" s="19"/>
      <c r="V1238" s="19"/>
      <c r="W1238" s="19"/>
      <c r="X1238" s="19"/>
      <c r="Y1238" s="19"/>
      <c r="Z1238" s="19"/>
      <c r="AA1238" s="19"/>
      <c r="AB1238" s="19"/>
      <c r="AC1238" s="19"/>
    </row>
    <row r="1239" spans="2:29" x14ac:dyDescent="0.25">
      <c r="B1239" s="19"/>
      <c r="C1239" s="19"/>
      <c r="D1239" s="19"/>
      <c r="E1239" s="19"/>
      <c r="F1239" s="19"/>
      <c r="G1239" s="19"/>
      <c r="H1239" s="19"/>
      <c r="I1239" s="19"/>
      <c r="J1239" s="19"/>
      <c r="K1239" s="19"/>
      <c r="L1239" s="19"/>
      <c r="M1239" s="19"/>
      <c r="N1239" s="19"/>
      <c r="O1239" s="19"/>
      <c r="P1239" s="19"/>
      <c r="Q1239" s="19"/>
      <c r="R1239" s="19"/>
      <c r="S1239" s="19"/>
      <c r="T1239" s="19"/>
      <c r="U1239" s="19"/>
      <c r="V1239" s="19"/>
      <c r="W1239" s="19"/>
      <c r="X1239" s="19"/>
      <c r="Y1239" s="19"/>
      <c r="Z1239" s="19"/>
      <c r="AA1239" s="19"/>
      <c r="AB1239" s="19"/>
      <c r="AC1239" s="19"/>
    </row>
    <row r="1240" spans="2:29" x14ac:dyDescent="0.25">
      <c r="B1240" s="19"/>
      <c r="C1240" s="19"/>
      <c r="D1240" s="19"/>
      <c r="E1240" s="19"/>
      <c r="F1240" s="19"/>
      <c r="G1240" s="19"/>
      <c r="H1240" s="19"/>
      <c r="I1240" s="19"/>
      <c r="J1240" s="19"/>
      <c r="K1240" s="19"/>
      <c r="L1240" s="19"/>
      <c r="M1240" s="19"/>
      <c r="N1240" s="19"/>
      <c r="O1240" s="19"/>
      <c r="P1240" s="19"/>
      <c r="Q1240" s="19"/>
      <c r="R1240" s="19"/>
      <c r="S1240" s="19"/>
      <c r="T1240" s="19"/>
      <c r="U1240" s="19"/>
      <c r="V1240" s="19"/>
      <c r="W1240" s="19"/>
      <c r="X1240" s="19"/>
      <c r="Y1240" s="19"/>
      <c r="Z1240" s="19"/>
      <c r="AA1240" s="19"/>
      <c r="AB1240" s="19"/>
      <c r="AC1240" s="19"/>
    </row>
    <row r="1241" spans="2:29" x14ac:dyDescent="0.25">
      <c r="B1241" s="19"/>
      <c r="C1241" s="19"/>
      <c r="D1241" s="19"/>
      <c r="E1241" s="19"/>
      <c r="F1241" s="19"/>
      <c r="G1241" s="19"/>
      <c r="H1241" s="19"/>
      <c r="I1241" s="19"/>
      <c r="J1241" s="19"/>
      <c r="K1241" s="19"/>
      <c r="L1241" s="19"/>
      <c r="M1241" s="19"/>
      <c r="N1241" s="19"/>
      <c r="O1241" s="19"/>
      <c r="P1241" s="19"/>
      <c r="Q1241" s="19"/>
      <c r="R1241" s="19"/>
      <c r="S1241" s="19"/>
      <c r="T1241" s="19"/>
      <c r="U1241" s="19"/>
      <c r="V1241" s="19"/>
      <c r="W1241" s="19"/>
      <c r="X1241" s="19"/>
      <c r="Y1241" s="19"/>
      <c r="Z1241" s="19"/>
      <c r="AA1241" s="19"/>
      <c r="AB1241" s="19"/>
      <c r="AC1241" s="19"/>
    </row>
    <row r="1242" spans="2:29" x14ac:dyDescent="0.25">
      <c r="B1242" s="19"/>
      <c r="C1242" s="19"/>
      <c r="D1242" s="19"/>
      <c r="E1242" s="19"/>
      <c r="F1242" s="19"/>
      <c r="G1242" s="19"/>
      <c r="H1242" s="19"/>
      <c r="I1242" s="19"/>
      <c r="J1242" s="19"/>
      <c r="K1242" s="19"/>
      <c r="L1242" s="19"/>
      <c r="M1242" s="19"/>
      <c r="N1242" s="19"/>
      <c r="O1242" s="19"/>
      <c r="P1242" s="19"/>
      <c r="Q1242" s="19"/>
      <c r="R1242" s="19"/>
      <c r="S1242" s="19"/>
      <c r="T1242" s="19"/>
      <c r="U1242" s="19"/>
      <c r="V1242" s="19"/>
      <c r="W1242" s="19"/>
      <c r="X1242" s="19"/>
      <c r="Y1242" s="19"/>
      <c r="Z1242" s="19"/>
      <c r="AA1242" s="19"/>
      <c r="AB1242" s="19"/>
      <c r="AC1242" s="19"/>
    </row>
    <row r="1243" spans="2:29" x14ac:dyDescent="0.25">
      <c r="B1243" s="19"/>
      <c r="C1243" s="19"/>
      <c r="D1243" s="19"/>
      <c r="E1243" s="19"/>
      <c r="F1243" s="19"/>
      <c r="G1243" s="19"/>
      <c r="H1243" s="19"/>
      <c r="I1243" s="19"/>
      <c r="J1243" s="19"/>
      <c r="K1243" s="19"/>
      <c r="L1243" s="19"/>
      <c r="M1243" s="19"/>
      <c r="N1243" s="19"/>
      <c r="O1243" s="19"/>
      <c r="P1243" s="19"/>
      <c r="Q1243" s="19"/>
      <c r="R1243" s="19"/>
      <c r="S1243" s="19"/>
      <c r="T1243" s="19"/>
      <c r="U1243" s="19"/>
      <c r="V1243" s="19"/>
      <c r="W1243" s="19"/>
      <c r="X1243" s="19"/>
      <c r="Y1243" s="19"/>
      <c r="Z1243" s="19"/>
      <c r="AA1243" s="19"/>
      <c r="AB1243" s="19"/>
      <c r="AC1243" s="19"/>
    </row>
    <row r="1244" spans="2:29" x14ac:dyDescent="0.25">
      <c r="B1244" s="19"/>
      <c r="C1244" s="19"/>
      <c r="D1244" s="19"/>
      <c r="E1244" s="19"/>
      <c r="F1244" s="19"/>
      <c r="G1244" s="19"/>
      <c r="H1244" s="19"/>
      <c r="I1244" s="19"/>
      <c r="J1244" s="19"/>
      <c r="K1244" s="19"/>
      <c r="L1244" s="19"/>
      <c r="M1244" s="19"/>
      <c r="N1244" s="19"/>
      <c r="O1244" s="19"/>
      <c r="P1244" s="19"/>
      <c r="Q1244" s="19"/>
      <c r="R1244" s="19"/>
      <c r="S1244" s="19"/>
      <c r="T1244" s="19"/>
      <c r="U1244" s="19"/>
      <c r="V1244" s="19"/>
      <c r="W1244" s="19"/>
      <c r="X1244" s="19"/>
      <c r="Y1244" s="19"/>
      <c r="Z1244" s="19"/>
      <c r="AA1244" s="19"/>
      <c r="AB1244" s="19"/>
      <c r="AC1244" s="19"/>
    </row>
    <row r="1245" spans="2:29" x14ac:dyDescent="0.25">
      <c r="B1245" s="19"/>
      <c r="C1245" s="19"/>
      <c r="D1245" s="19"/>
      <c r="E1245" s="19"/>
      <c r="F1245" s="19"/>
      <c r="G1245" s="19"/>
      <c r="H1245" s="19"/>
      <c r="I1245" s="19"/>
      <c r="J1245" s="19"/>
      <c r="K1245" s="19"/>
      <c r="L1245" s="19"/>
      <c r="M1245" s="19"/>
      <c r="N1245" s="19"/>
      <c r="O1245" s="19"/>
      <c r="P1245" s="19"/>
      <c r="Q1245" s="19"/>
      <c r="R1245" s="19"/>
      <c r="S1245" s="19"/>
      <c r="T1245" s="19"/>
      <c r="U1245" s="19"/>
      <c r="V1245" s="19"/>
      <c r="W1245" s="19"/>
      <c r="X1245" s="19"/>
      <c r="Y1245" s="19"/>
      <c r="Z1245" s="19"/>
      <c r="AA1245" s="19"/>
      <c r="AB1245" s="19"/>
      <c r="AC1245" s="19"/>
    </row>
    <row r="1246" spans="2:29" x14ac:dyDescent="0.25">
      <c r="B1246" s="19"/>
      <c r="C1246" s="19"/>
      <c r="D1246" s="19"/>
      <c r="E1246" s="19"/>
      <c r="F1246" s="19"/>
      <c r="G1246" s="19"/>
      <c r="H1246" s="19"/>
      <c r="I1246" s="19"/>
      <c r="J1246" s="19"/>
      <c r="K1246" s="19"/>
      <c r="L1246" s="19"/>
      <c r="M1246" s="19"/>
      <c r="N1246" s="19"/>
      <c r="O1246" s="19"/>
      <c r="P1246" s="19"/>
      <c r="Q1246" s="19"/>
      <c r="R1246" s="19"/>
      <c r="S1246" s="19"/>
      <c r="T1246" s="19"/>
      <c r="U1246" s="19"/>
      <c r="V1246" s="19"/>
      <c r="W1246" s="19"/>
      <c r="X1246" s="19"/>
      <c r="Y1246" s="19"/>
      <c r="Z1246" s="19"/>
      <c r="AA1246" s="19"/>
      <c r="AB1246" s="19"/>
      <c r="AC1246" s="19"/>
    </row>
    <row r="1247" spans="2:29" x14ac:dyDescent="0.25">
      <c r="B1247" s="19"/>
      <c r="C1247" s="19"/>
      <c r="D1247" s="19"/>
      <c r="E1247" s="19"/>
      <c r="F1247" s="19"/>
      <c r="G1247" s="19"/>
      <c r="H1247" s="19"/>
      <c r="I1247" s="19"/>
      <c r="J1247" s="19"/>
      <c r="K1247" s="19"/>
      <c r="L1247" s="19"/>
      <c r="M1247" s="19"/>
      <c r="N1247" s="19"/>
      <c r="O1247" s="19"/>
      <c r="P1247" s="19"/>
      <c r="Q1247" s="19"/>
      <c r="R1247" s="19"/>
      <c r="S1247" s="19"/>
      <c r="T1247" s="19"/>
      <c r="U1247" s="19"/>
      <c r="V1247" s="19"/>
      <c r="W1247" s="19"/>
      <c r="X1247" s="19"/>
      <c r="Y1247" s="19"/>
      <c r="Z1247" s="19"/>
      <c r="AA1247" s="19"/>
      <c r="AB1247" s="19"/>
      <c r="AC1247" s="19"/>
    </row>
    <row r="1248" spans="2:29" x14ac:dyDescent="0.25">
      <c r="B1248" s="19"/>
      <c r="C1248" s="19"/>
      <c r="D1248" s="19"/>
      <c r="E1248" s="19"/>
      <c r="F1248" s="19"/>
      <c r="G1248" s="19"/>
      <c r="H1248" s="19"/>
      <c r="I1248" s="19"/>
      <c r="J1248" s="19"/>
      <c r="K1248" s="19"/>
      <c r="L1248" s="19"/>
      <c r="M1248" s="19"/>
      <c r="N1248" s="19"/>
      <c r="O1248" s="19"/>
      <c r="P1248" s="19"/>
      <c r="Q1248" s="19"/>
      <c r="R1248" s="19"/>
      <c r="S1248" s="19"/>
      <c r="T1248" s="19"/>
      <c r="U1248" s="19"/>
      <c r="V1248" s="19"/>
      <c r="W1248" s="19"/>
      <c r="X1248" s="19"/>
      <c r="Y1248" s="19"/>
      <c r="Z1248" s="19"/>
      <c r="AA1248" s="19"/>
      <c r="AB1248" s="19"/>
      <c r="AC1248" s="19"/>
    </row>
    <row r="1249" spans="2:29" x14ac:dyDescent="0.25">
      <c r="B1249" s="19"/>
      <c r="C1249" s="19"/>
      <c r="D1249" s="19"/>
      <c r="E1249" s="19"/>
      <c r="F1249" s="19"/>
      <c r="G1249" s="19"/>
      <c r="H1249" s="19"/>
      <c r="I1249" s="19"/>
      <c r="J1249" s="19"/>
      <c r="K1249" s="19"/>
      <c r="L1249" s="19"/>
      <c r="M1249" s="19"/>
      <c r="N1249" s="19"/>
      <c r="O1249" s="19"/>
      <c r="P1249" s="19"/>
      <c r="Q1249" s="19"/>
      <c r="R1249" s="19"/>
      <c r="S1249" s="19"/>
      <c r="T1249" s="19"/>
      <c r="U1249" s="19"/>
      <c r="V1249" s="19"/>
      <c r="W1249" s="19"/>
      <c r="X1249" s="19"/>
      <c r="Y1249" s="19"/>
      <c r="Z1249" s="19"/>
      <c r="AA1249" s="19"/>
      <c r="AB1249" s="19"/>
      <c r="AC1249" s="19"/>
    </row>
    <row r="1250" spans="2:29" x14ac:dyDescent="0.25">
      <c r="B1250" s="19"/>
      <c r="C1250" s="19"/>
      <c r="D1250" s="19"/>
      <c r="E1250" s="19"/>
      <c r="F1250" s="19"/>
      <c r="G1250" s="19"/>
      <c r="H1250" s="19"/>
      <c r="I1250" s="19"/>
      <c r="J1250" s="19"/>
      <c r="K1250" s="19"/>
      <c r="L1250" s="19"/>
      <c r="M1250" s="19"/>
      <c r="N1250" s="19"/>
      <c r="O1250" s="19"/>
      <c r="P1250" s="19"/>
      <c r="Q1250" s="19"/>
      <c r="R1250" s="19"/>
      <c r="S1250" s="19"/>
      <c r="T1250" s="19"/>
      <c r="U1250" s="19"/>
      <c r="V1250" s="19"/>
      <c r="W1250" s="19"/>
      <c r="X1250" s="19"/>
      <c r="Y1250" s="19"/>
      <c r="Z1250" s="19"/>
      <c r="AA1250" s="19"/>
      <c r="AB1250" s="19"/>
      <c r="AC1250" s="19"/>
    </row>
    <row r="1251" spans="2:29" x14ac:dyDescent="0.25">
      <c r="B1251" s="19"/>
      <c r="C1251" s="19"/>
      <c r="D1251" s="19"/>
      <c r="E1251" s="19"/>
      <c r="F1251" s="19"/>
      <c r="G1251" s="19"/>
      <c r="H1251" s="19"/>
      <c r="I1251" s="19"/>
      <c r="J1251" s="19"/>
      <c r="K1251" s="19"/>
      <c r="L1251" s="19"/>
      <c r="M1251" s="19"/>
      <c r="N1251" s="19"/>
      <c r="O1251" s="19"/>
      <c r="P1251" s="19"/>
      <c r="Q1251" s="19"/>
      <c r="R1251" s="19"/>
      <c r="S1251" s="19"/>
      <c r="T1251" s="19"/>
      <c r="U1251" s="19"/>
      <c r="V1251" s="19"/>
      <c r="W1251" s="19"/>
      <c r="X1251" s="19"/>
      <c r="Y1251" s="19"/>
      <c r="Z1251" s="19"/>
      <c r="AA1251" s="19"/>
      <c r="AB1251" s="19"/>
      <c r="AC1251" s="19"/>
    </row>
    <row r="1252" spans="2:29" x14ac:dyDescent="0.25">
      <c r="B1252" s="19"/>
      <c r="C1252" s="19"/>
      <c r="D1252" s="19"/>
      <c r="E1252" s="19"/>
      <c r="F1252" s="19"/>
      <c r="G1252" s="19"/>
      <c r="H1252" s="19"/>
      <c r="I1252" s="19"/>
      <c r="J1252" s="19"/>
      <c r="K1252" s="19"/>
      <c r="L1252" s="19"/>
      <c r="M1252" s="19"/>
      <c r="N1252" s="19"/>
      <c r="O1252" s="19"/>
      <c r="P1252" s="19"/>
      <c r="Q1252" s="19"/>
      <c r="R1252" s="19"/>
      <c r="S1252" s="19"/>
      <c r="T1252" s="19"/>
      <c r="U1252" s="19"/>
      <c r="V1252" s="19"/>
      <c r="W1252" s="19"/>
      <c r="X1252" s="19"/>
      <c r="Y1252" s="19"/>
      <c r="Z1252" s="19"/>
      <c r="AA1252" s="19"/>
      <c r="AB1252" s="19"/>
      <c r="AC1252" s="19"/>
    </row>
    <row r="1253" spans="2:29" x14ac:dyDescent="0.25">
      <c r="B1253" s="19"/>
      <c r="C1253" s="19"/>
      <c r="D1253" s="19"/>
      <c r="E1253" s="19"/>
      <c r="F1253" s="19"/>
      <c r="G1253" s="19"/>
      <c r="H1253" s="19"/>
      <c r="I1253" s="19"/>
      <c r="J1253" s="19"/>
      <c r="K1253" s="19"/>
      <c r="L1253" s="19"/>
      <c r="M1253" s="19"/>
      <c r="N1253" s="19"/>
      <c r="O1253" s="19"/>
      <c r="P1253" s="19"/>
      <c r="Q1253" s="19"/>
      <c r="R1253" s="19"/>
      <c r="S1253" s="19"/>
      <c r="T1253" s="19"/>
      <c r="U1253" s="19"/>
      <c r="V1253" s="19"/>
      <c r="W1253" s="19"/>
      <c r="X1253" s="19"/>
      <c r="Y1253" s="19"/>
      <c r="Z1253" s="19"/>
      <c r="AA1253" s="19"/>
      <c r="AB1253" s="19"/>
      <c r="AC1253" s="19"/>
    </row>
    <row r="1254" spans="2:29" x14ac:dyDescent="0.25">
      <c r="B1254" s="19"/>
      <c r="C1254" s="19"/>
      <c r="D1254" s="19"/>
      <c r="E1254" s="19"/>
      <c r="F1254" s="19"/>
      <c r="G1254" s="19"/>
      <c r="H1254" s="19"/>
      <c r="I1254" s="19"/>
      <c r="J1254" s="19"/>
      <c r="K1254" s="19"/>
      <c r="L1254" s="19"/>
      <c r="M1254" s="19"/>
      <c r="N1254" s="19"/>
      <c r="O1254" s="19"/>
      <c r="P1254" s="19"/>
      <c r="Q1254" s="19"/>
      <c r="R1254" s="19"/>
      <c r="S1254" s="19"/>
      <c r="T1254" s="19"/>
      <c r="U1254" s="19"/>
      <c r="V1254" s="19"/>
      <c r="W1254" s="19"/>
      <c r="X1254" s="19"/>
      <c r="Y1254" s="19"/>
      <c r="Z1254" s="19"/>
      <c r="AA1254" s="19"/>
      <c r="AB1254" s="19"/>
      <c r="AC1254" s="19"/>
    </row>
    <row r="1255" spans="2:29" x14ac:dyDescent="0.25">
      <c r="B1255" s="19"/>
      <c r="C1255" s="19"/>
      <c r="D1255" s="19"/>
      <c r="E1255" s="19"/>
      <c r="F1255" s="19"/>
      <c r="G1255" s="19"/>
      <c r="H1255" s="19"/>
      <c r="I1255" s="19"/>
      <c r="J1255" s="19"/>
      <c r="K1255" s="19"/>
      <c r="L1255" s="19"/>
      <c r="M1255" s="19"/>
      <c r="N1255" s="19"/>
      <c r="O1255" s="19"/>
      <c r="P1255" s="19"/>
      <c r="Q1255" s="19"/>
      <c r="R1255" s="19"/>
      <c r="S1255" s="19"/>
      <c r="T1255" s="19"/>
      <c r="U1255" s="19"/>
      <c r="V1255" s="19"/>
      <c r="W1255" s="19"/>
      <c r="X1255" s="19"/>
      <c r="Y1255" s="19"/>
      <c r="Z1255" s="19"/>
      <c r="AA1255" s="19"/>
      <c r="AB1255" s="19"/>
      <c r="AC1255" s="19"/>
    </row>
    <row r="1256" spans="2:29" x14ac:dyDescent="0.25">
      <c r="B1256" s="19"/>
      <c r="C1256" s="19"/>
      <c r="D1256" s="19"/>
      <c r="E1256" s="19"/>
      <c r="F1256" s="19"/>
      <c r="G1256" s="19"/>
      <c r="H1256" s="19"/>
      <c r="I1256" s="19"/>
      <c r="J1256" s="19"/>
      <c r="K1256" s="19"/>
      <c r="L1256" s="19"/>
      <c r="M1256" s="19"/>
      <c r="N1256" s="19"/>
      <c r="O1256" s="19"/>
      <c r="P1256" s="19"/>
      <c r="Q1256" s="19"/>
      <c r="R1256" s="19"/>
      <c r="S1256" s="19"/>
      <c r="T1256" s="19"/>
      <c r="U1256" s="19"/>
      <c r="V1256" s="19"/>
      <c r="W1256" s="19"/>
      <c r="X1256" s="19"/>
      <c r="Y1256" s="19"/>
      <c r="Z1256" s="19"/>
      <c r="AA1256" s="19"/>
      <c r="AB1256" s="19"/>
      <c r="AC1256" s="19"/>
    </row>
    <row r="1257" spans="2:29" x14ac:dyDescent="0.25">
      <c r="B1257" s="19"/>
      <c r="C1257" s="19"/>
      <c r="D1257" s="19"/>
      <c r="E1257" s="19"/>
      <c r="F1257" s="19"/>
      <c r="G1257" s="19"/>
      <c r="H1257" s="19"/>
      <c r="I1257" s="19"/>
      <c r="J1257" s="19"/>
      <c r="K1257" s="19"/>
      <c r="L1257" s="19"/>
      <c r="M1257" s="19"/>
      <c r="N1257" s="19"/>
      <c r="O1257" s="19"/>
      <c r="P1257" s="19"/>
      <c r="Q1257" s="19"/>
      <c r="R1257" s="19"/>
      <c r="S1257" s="19"/>
      <c r="T1257" s="19"/>
      <c r="U1257" s="19"/>
      <c r="V1257" s="19"/>
      <c r="W1257" s="19"/>
      <c r="X1257" s="19"/>
      <c r="Y1257" s="19"/>
      <c r="Z1257" s="19"/>
      <c r="AA1257" s="19"/>
      <c r="AB1257" s="19"/>
      <c r="AC1257" s="19"/>
    </row>
    <row r="1258" spans="2:29" x14ac:dyDescent="0.25">
      <c r="B1258" s="19"/>
      <c r="C1258" s="19"/>
      <c r="D1258" s="19"/>
      <c r="E1258" s="19"/>
      <c r="F1258" s="19"/>
      <c r="G1258" s="19"/>
      <c r="H1258" s="19"/>
      <c r="I1258" s="19"/>
      <c r="J1258" s="19"/>
      <c r="K1258" s="19"/>
      <c r="L1258" s="19"/>
      <c r="M1258" s="19"/>
      <c r="N1258" s="19"/>
      <c r="O1258" s="19"/>
      <c r="P1258" s="19"/>
      <c r="Q1258" s="19"/>
      <c r="R1258" s="19"/>
      <c r="S1258" s="19"/>
      <c r="T1258" s="19"/>
      <c r="U1258" s="19"/>
      <c r="V1258" s="19"/>
      <c r="W1258" s="19"/>
      <c r="X1258" s="19"/>
      <c r="Y1258" s="19"/>
      <c r="Z1258" s="19"/>
      <c r="AA1258" s="19"/>
      <c r="AB1258" s="19"/>
      <c r="AC1258" s="19"/>
    </row>
    <row r="1259" spans="2:29" x14ac:dyDescent="0.25">
      <c r="B1259" s="19"/>
      <c r="C1259" s="19"/>
      <c r="D1259" s="19"/>
      <c r="E1259" s="19"/>
      <c r="F1259" s="19"/>
      <c r="G1259" s="19"/>
      <c r="H1259" s="19"/>
      <c r="I1259" s="19"/>
      <c r="J1259" s="19"/>
      <c r="K1259" s="19"/>
      <c r="L1259" s="19"/>
      <c r="M1259" s="19"/>
      <c r="N1259" s="19"/>
      <c r="O1259" s="19"/>
      <c r="P1259" s="19"/>
      <c r="Q1259" s="19"/>
      <c r="R1259" s="19"/>
      <c r="S1259" s="19"/>
      <c r="T1259" s="19"/>
      <c r="U1259" s="19"/>
      <c r="V1259" s="19"/>
      <c r="W1259" s="19"/>
      <c r="X1259" s="19"/>
      <c r="Y1259" s="19"/>
      <c r="Z1259" s="19"/>
      <c r="AA1259" s="19"/>
      <c r="AB1259" s="19"/>
      <c r="AC1259" s="19"/>
    </row>
    <row r="1260" spans="2:29" x14ac:dyDescent="0.25">
      <c r="B1260" s="19"/>
      <c r="C1260" s="19"/>
      <c r="D1260" s="19"/>
      <c r="E1260" s="19"/>
      <c r="F1260" s="19"/>
      <c r="G1260" s="19"/>
      <c r="H1260" s="19"/>
      <c r="I1260" s="19"/>
      <c r="J1260" s="19"/>
      <c r="K1260" s="19"/>
      <c r="L1260" s="19"/>
      <c r="M1260" s="19"/>
      <c r="N1260" s="19"/>
      <c r="O1260" s="19"/>
      <c r="P1260" s="19"/>
      <c r="Q1260" s="19"/>
      <c r="R1260" s="19"/>
      <c r="S1260" s="19"/>
      <c r="T1260" s="19"/>
      <c r="U1260" s="19"/>
      <c r="V1260" s="19"/>
      <c r="W1260" s="19"/>
      <c r="X1260" s="19"/>
      <c r="Y1260" s="19"/>
      <c r="Z1260" s="19"/>
      <c r="AA1260" s="19"/>
      <c r="AB1260" s="19"/>
      <c r="AC1260" s="19"/>
    </row>
    <row r="1261" spans="2:29" x14ac:dyDescent="0.25">
      <c r="B1261" s="19"/>
      <c r="C1261" s="19"/>
      <c r="D1261" s="19"/>
      <c r="E1261" s="19"/>
      <c r="F1261" s="19"/>
      <c r="G1261" s="19"/>
      <c r="H1261" s="19"/>
      <c r="I1261" s="19"/>
      <c r="J1261" s="19"/>
      <c r="K1261" s="19"/>
      <c r="L1261" s="19"/>
      <c r="M1261" s="19"/>
      <c r="N1261" s="19"/>
      <c r="O1261" s="19"/>
      <c r="P1261" s="19"/>
      <c r="Q1261" s="19"/>
      <c r="R1261" s="19"/>
      <c r="S1261" s="19"/>
      <c r="T1261" s="19"/>
      <c r="U1261" s="19"/>
      <c r="V1261" s="19"/>
      <c r="W1261" s="19"/>
      <c r="X1261" s="19"/>
      <c r="Y1261" s="19"/>
      <c r="Z1261" s="19"/>
      <c r="AA1261" s="19"/>
      <c r="AB1261" s="19"/>
      <c r="AC1261" s="19"/>
    </row>
    <row r="1262" spans="2:29" x14ac:dyDescent="0.25">
      <c r="B1262" s="19"/>
      <c r="C1262" s="19"/>
      <c r="D1262" s="19"/>
      <c r="E1262" s="19"/>
      <c r="F1262" s="19"/>
      <c r="G1262" s="19"/>
      <c r="H1262" s="19"/>
      <c r="I1262" s="19"/>
      <c r="J1262" s="19"/>
      <c r="K1262" s="19"/>
      <c r="L1262" s="19"/>
      <c r="M1262" s="19"/>
      <c r="N1262" s="19"/>
      <c r="O1262" s="19"/>
      <c r="P1262" s="19"/>
      <c r="Q1262" s="19"/>
      <c r="R1262" s="19"/>
      <c r="S1262" s="19"/>
      <c r="T1262" s="19"/>
      <c r="U1262" s="19"/>
      <c r="V1262" s="19"/>
      <c r="W1262" s="19"/>
      <c r="X1262" s="19"/>
      <c r="Y1262" s="19"/>
      <c r="Z1262" s="19"/>
      <c r="AA1262" s="19"/>
      <c r="AB1262" s="19"/>
      <c r="AC1262" s="19"/>
    </row>
    <row r="1263" spans="2:29" x14ac:dyDescent="0.25">
      <c r="B1263" s="19"/>
      <c r="C1263" s="19"/>
      <c r="D1263" s="19"/>
      <c r="E1263" s="19"/>
      <c r="F1263" s="19"/>
      <c r="G1263" s="19"/>
      <c r="H1263" s="19"/>
      <c r="I1263" s="19"/>
      <c r="J1263" s="19"/>
      <c r="K1263" s="19"/>
      <c r="L1263" s="19"/>
      <c r="M1263" s="19"/>
      <c r="N1263" s="19"/>
      <c r="O1263" s="19"/>
      <c r="P1263" s="19"/>
      <c r="Q1263" s="19"/>
      <c r="R1263" s="19"/>
      <c r="S1263" s="19"/>
      <c r="T1263" s="19"/>
      <c r="U1263" s="19"/>
      <c r="V1263" s="19"/>
      <c r="W1263" s="19"/>
      <c r="X1263" s="19"/>
      <c r="Y1263" s="19"/>
      <c r="Z1263" s="19"/>
      <c r="AA1263" s="19"/>
      <c r="AB1263" s="19"/>
      <c r="AC1263" s="19"/>
    </row>
    <row r="1264" spans="2:29" x14ac:dyDescent="0.25">
      <c r="B1264" s="19"/>
      <c r="C1264" s="19"/>
      <c r="D1264" s="19"/>
      <c r="E1264" s="19"/>
      <c r="F1264" s="19"/>
      <c r="G1264" s="19"/>
      <c r="H1264" s="19"/>
      <c r="I1264" s="19"/>
      <c r="J1264" s="19"/>
      <c r="K1264" s="19"/>
      <c r="L1264" s="19"/>
      <c r="M1264" s="19"/>
      <c r="N1264" s="19"/>
      <c r="O1264" s="19"/>
      <c r="P1264" s="19"/>
      <c r="Q1264" s="19"/>
      <c r="R1264" s="19"/>
      <c r="S1264" s="19"/>
      <c r="T1264" s="19"/>
      <c r="U1264" s="19"/>
      <c r="V1264" s="19"/>
      <c r="W1264" s="19"/>
      <c r="X1264" s="19"/>
      <c r="Y1264" s="19"/>
      <c r="Z1264" s="19"/>
      <c r="AA1264" s="19"/>
      <c r="AB1264" s="19"/>
      <c r="AC1264" s="19"/>
    </row>
    <row r="1265" spans="2:29" x14ac:dyDescent="0.25">
      <c r="B1265" s="19"/>
      <c r="C1265" s="19"/>
      <c r="D1265" s="19"/>
      <c r="E1265" s="19"/>
      <c r="F1265" s="19"/>
      <c r="G1265" s="19"/>
      <c r="H1265" s="19"/>
      <c r="I1265" s="19"/>
      <c r="J1265" s="19"/>
      <c r="K1265" s="19"/>
      <c r="L1265" s="19"/>
      <c r="M1265" s="19"/>
      <c r="N1265" s="19"/>
      <c r="O1265" s="19"/>
      <c r="P1265" s="19"/>
      <c r="Q1265" s="19"/>
      <c r="R1265" s="19"/>
      <c r="S1265" s="19"/>
      <c r="T1265" s="19"/>
      <c r="U1265" s="19"/>
      <c r="V1265" s="19"/>
      <c r="W1265" s="19"/>
      <c r="X1265" s="19"/>
      <c r="Y1265" s="19"/>
      <c r="Z1265" s="19"/>
      <c r="AA1265" s="19"/>
      <c r="AB1265" s="19"/>
      <c r="AC1265" s="19"/>
    </row>
    <row r="1266" spans="2:29" x14ac:dyDescent="0.25">
      <c r="B1266" s="19"/>
      <c r="C1266" s="19"/>
      <c r="D1266" s="19"/>
      <c r="E1266" s="19"/>
      <c r="F1266" s="19"/>
      <c r="G1266" s="19"/>
      <c r="H1266" s="19"/>
      <c r="I1266" s="19"/>
      <c r="J1266" s="19"/>
      <c r="K1266" s="19"/>
      <c r="L1266" s="19"/>
      <c r="M1266" s="19"/>
      <c r="N1266" s="19"/>
      <c r="O1266" s="19"/>
      <c r="P1266" s="19"/>
      <c r="Q1266" s="19"/>
      <c r="R1266" s="19"/>
      <c r="S1266" s="19"/>
      <c r="T1266" s="19"/>
      <c r="U1266" s="19"/>
      <c r="V1266" s="19"/>
      <c r="W1266" s="19"/>
      <c r="X1266" s="19"/>
      <c r="Y1266" s="19"/>
      <c r="Z1266" s="19"/>
      <c r="AA1266" s="19"/>
      <c r="AB1266" s="19"/>
      <c r="AC1266" s="19"/>
    </row>
    <row r="1267" spans="2:29" x14ac:dyDescent="0.25">
      <c r="B1267" s="19"/>
      <c r="C1267" s="19"/>
      <c r="D1267" s="19"/>
      <c r="E1267" s="19"/>
      <c r="F1267" s="19"/>
      <c r="G1267" s="19"/>
      <c r="H1267" s="19"/>
      <c r="I1267" s="19"/>
      <c r="J1267" s="19"/>
      <c r="K1267" s="19"/>
      <c r="L1267" s="19"/>
      <c r="M1267" s="19"/>
      <c r="N1267" s="19"/>
      <c r="O1267" s="19"/>
      <c r="P1267" s="19"/>
      <c r="Q1267" s="19"/>
      <c r="R1267" s="19"/>
      <c r="S1267" s="19"/>
      <c r="T1267" s="19"/>
      <c r="U1267" s="19"/>
      <c r="V1267" s="19"/>
      <c r="W1267" s="19"/>
      <c r="X1267" s="19"/>
      <c r="Y1267" s="19"/>
      <c r="Z1267" s="19"/>
      <c r="AA1267" s="19"/>
      <c r="AB1267" s="19"/>
      <c r="AC1267" s="19"/>
    </row>
    <row r="1268" spans="2:29" x14ac:dyDescent="0.25">
      <c r="B1268" s="19"/>
      <c r="C1268" s="19"/>
      <c r="D1268" s="19"/>
      <c r="E1268" s="19"/>
      <c r="F1268" s="19"/>
      <c r="G1268" s="19"/>
      <c r="H1268" s="19"/>
      <c r="I1268" s="19"/>
      <c r="J1268" s="19"/>
      <c r="K1268" s="19"/>
      <c r="L1268" s="19"/>
      <c r="M1268" s="19"/>
      <c r="N1268" s="19"/>
      <c r="O1268" s="19"/>
      <c r="P1268" s="19"/>
      <c r="Q1268" s="19"/>
      <c r="R1268" s="19"/>
      <c r="S1268" s="19"/>
      <c r="T1268" s="19"/>
      <c r="U1268" s="19"/>
      <c r="V1268" s="19"/>
      <c r="W1268" s="19"/>
      <c r="X1268" s="19"/>
      <c r="Y1268" s="19"/>
      <c r="Z1268" s="19"/>
      <c r="AA1268" s="19"/>
      <c r="AB1268" s="19"/>
      <c r="AC1268" s="19"/>
    </row>
    <row r="1269" spans="2:29" x14ac:dyDescent="0.25">
      <c r="B1269" s="19"/>
      <c r="C1269" s="19"/>
      <c r="D1269" s="19"/>
      <c r="E1269" s="19"/>
      <c r="F1269" s="19"/>
      <c r="G1269" s="19"/>
      <c r="H1269" s="19"/>
      <c r="I1269" s="19"/>
      <c r="J1269" s="19"/>
      <c r="K1269" s="19"/>
      <c r="L1269" s="19"/>
      <c r="M1269" s="19"/>
      <c r="N1269" s="19"/>
      <c r="O1269" s="19"/>
      <c r="P1269" s="19"/>
      <c r="Q1269" s="19"/>
      <c r="R1269" s="19"/>
      <c r="S1269" s="19"/>
      <c r="T1269" s="19"/>
      <c r="U1269" s="19"/>
      <c r="V1269" s="19"/>
      <c r="W1269" s="19"/>
      <c r="X1269" s="19"/>
      <c r="Y1269" s="19"/>
      <c r="Z1269" s="19"/>
      <c r="AA1269" s="19"/>
      <c r="AB1269" s="19"/>
      <c r="AC1269" s="19"/>
    </row>
    <row r="1270" spans="2:29" x14ac:dyDescent="0.25">
      <c r="B1270" s="19"/>
      <c r="C1270" s="19"/>
      <c r="D1270" s="19"/>
      <c r="E1270" s="19"/>
      <c r="F1270" s="19"/>
      <c r="G1270" s="19"/>
      <c r="H1270" s="19"/>
      <c r="I1270" s="19"/>
      <c r="J1270" s="19"/>
      <c r="K1270" s="19"/>
      <c r="L1270" s="19"/>
      <c r="M1270" s="19"/>
      <c r="N1270" s="19"/>
      <c r="O1270" s="19"/>
      <c r="P1270" s="19"/>
      <c r="Q1270" s="19"/>
      <c r="R1270" s="19"/>
      <c r="S1270" s="19"/>
      <c r="T1270" s="19"/>
      <c r="U1270" s="19"/>
      <c r="V1270" s="19"/>
      <c r="W1270" s="19"/>
      <c r="X1270" s="19"/>
      <c r="Y1270" s="19"/>
      <c r="Z1270" s="19"/>
      <c r="AA1270" s="19"/>
      <c r="AB1270" s="19"/>
      <c r="AC1270" s="19"/>
    </row>
    <row r="1271" spans="2:29" x14ac:dyDescent="0.25">
      <c r="B1271" s="19"/>
      <c r="C1271" s="19"/>
      <c r="D1271" s="19"/>
      <c r="E1271" s="19"/>
      <c r="F1271" s="19"/>
      <c r="G1271" s="19"/>
      <c r="H1271" s="19"/>
      <c r="I1271" s="19"/>
      <c r="J1271" s="19"/>
      <c r="K1271" s="19"/>
      <c r="L1271" s="19"/>
      <c r="M1271" s="19"/>
      <c r="N1271" s="19"/>
      <c r="O1271" s="19"/>
      <c r="P1271" s="19"/>
      <c r="Q1271" s="19"/>
      <c r="R1271" s="19"/>
      <c r="S1271" s="19"/>
      <c r="T1271" s="19"/>
      <c r="U1271" s="19"/>
      <c r="V1271" s="19"/>
      <c r="W1271" s="19"/>
      <c r="X1271" s="19"/>
      <c r="Y1271" s="19"/>
      <c r="Z1271" s="19"/>
      <c r="AA1271" s="19"/>
      <c r="AB1271" s="19"/>
      <c r="AC1271" s="19"/>
    </row>
    <row r="1272" spans="2:29" x14ac:dyDescent="0.25">
      <c r="B1272" s="19"/>
      <c r="C1272" s="19"/>
      <c r="D1272" s="19"/>
      <c r="E1272" s="19"/>
      <c r="F1272" s="19"/>
      <c r="G1272" s="19"/>
      <c r="H1272" s="19"/>
      <c r="I1272" s="19"/>
      <c r="J1272" s="19"/>
      <c r="K1272" s="19"/>
      <c r="L1272" s="19"/>
      <c r="M1272" s="19"/>
      <c r="N1272" s="19"/>
      <c r="O1272" s="19"/>
      <c r="P1272" s="19"/>
      <c r="Q1272" s="19"/>
      <c r="R1272" s="19"/>
      <c r="S1272" s="19"/>
      <c r="T1272" s="19"/>
      <c r="U1272" s="19"/>
      <c r="V1272" s="19"/>
      <c r="W1272" s="19"/>
      <c r="X1272" s="19"/>
      <c r="Y1272" s="19"/>
      <c r="Z1272" s="19"/>
      <c r="AA1272" s="19"/>
      <c r="AB1272" s="19"/>
      <c r="AC1272" s="19"/>
    </row>
    <row r="1273" spans="2:29" x14ac:dyDescent="0.25">
      <c r="B1273" s="19"/>
      <c r="C1273" s="19"/>
      <c r="D1273" s="19"/>
      <c r="E1273" s="19"/>
      <c r="F1273" s="19"/>
      <c r="G1273" s="19"/>
      <c r="H1273" s="19"/>
      <c r="I1273" s="19"/>
      <c r="J1273" s="19"/>
      <c r="K1273" s="19"/>
      <c r="L1273" s="19"/>
      <c r="M1273" s="19"/>
      <c r="N1273" s="19"/>
      <c r="O1273" s="19"/>
      <c r="P1273" s="19"/>
      <c r="Q1273" s="19"/>
      <c r="R1273" s="19"/>
      <c r="S1273" s="19"/>
      <c r="T1273" s="19"/>
      <c r="U1273" s="19"/>
      <c r="V1273" s="19"/>
      <c r="W1273" s="19"/>
      <c r="X1273" s="19"/>
      <c r="Y1273" s="19"/>
      <c r="Z1273" s="19"/>
      <c r="AA1273" s="19"/>
      <c r="AB1273" s="19"/>
      <c r="AC1273" s="19"/>
    </row>
    <row r="1274" spans="2:29" x14ac:dyDescent="0.25">
      <c r="B1274" s="19"/>
      <c r="C1274" s="19"/>
      <c r="D1274" s="19"/>
      <c r="E1274" s="19"/>
      <c r="F1274" s="19"/>
      <c r="G1274" s="19"/>
      <c r="H1274" s="19"/>
      <c r="I1274" s="19"/>
      <c r="J1274" s="19"/>
      <c r="K1274" s="19"/>
      <c r="L1274" s="19"/>
      <c r="M1274" s="19"/>
      <c r="N1274" s="19"/>
      <c r="O1274" s="19"/>
      <c r="P1274" s="19"/>
      <c r="Q1274" s="19"/>
      <c r="R1274" s="19"/>
      <c r="S1274" s="19"/>
      <c r="T1274" s="19"/>
      <c r="U1274" s="19"/>
      <c r="V1274" s="19"/>
      <c r="W1274" s="19"/>
      <c r="X1274" s="19"/>
      <c r="Y1274" s="19"/>
      <c r="Z1274" s="19"/>
      <c r="AA1274" s="19"/>
      <c r="AB1274" s="19"/>
      <c r="AC1274" s="19"/>
    </row>
    <row r="1275" spans="2:29" x14ac:dyDescent="0.25">
      <c r="B1275" s="19"/>
      <c r="C1275" s="19"/>
      <c r="D1275" s="19"/>
      <c r="E1275" s="19"/>
      <c r="F1275" s="19"/>
      <c r="G1275" s="19"/>
      <c r="H1275" s="19"/>
      <c r="I1275" s="19"/>
      <c r="J1275" s="19"/>
      <c r="K1275" s="19"/>
      <c r="L1275" s="19"/>
      <c r="M1275" s="19"/>
      <c r="N1275" s="19"/>
      <c r="O1275" s="19"/>
      <c r="P1275" s="19"/>
      <c r="Q1275" s="19"/>
      <c r="R1275" s="19"/>
      <c r="S1275" s="19"/>
      <c r="T1275" s="19"/>
      <c r="U1275" s="19"/>
      <c r="V1275" s="19"/>
      <c r="W1275" s="19"/>
      <c r="X1275" s="19"/>
      <c r="Y1275" s="19"/>
      <c r="Z1275" s="19"/>
      <c r="AA1275" s="19"/>
      <c r="AB1275" s="19"/>
      <c r="AC1275" s="19"/>
    </row>
    <row r="1276" spans="2:29" x14ac:dyDescent="0.25">
      <c r="B1276" s="19"/>
      <c r="C1276" s="19"/>
      <c r="D1276" s="19"/>
      <c r="E1276" s="19"/>
      <c r="F1276" s="19"/>
      <c r="G1276" s="19"/>
      <c r="H1276" s="19"/>
      <c r="I1276" s="19"/>
      <c r="J1276" s="19"/>
      <c r="K1276" s="19"/>
      <c r="L1276" s="19"/>
      <c r="M1276" s="19"/>
      <c r="N1276" s="19"/>
      <c r="O1276" s="19"/>
      <c r="P1276" s="19"/>
      <c r="Q1276" s="19"/>
      <c r="R1276" s="19"/>
      <c r="S1276" s="19"/>
      <c r="T1276" s="19"/>
      <c r="U1276" s="19"/>
      <c r="V1276" s="19"/>
      <c r="W1276" s="19"/>
      <c r="X1276" s="19"/>
      <c r="Y1276" s="19"/>
      <c r="Z1276" s="19"/>
      <c r="AA1276" s="19"/>
      <c r="AB1276" s="19"/>
      <c r="AC1276" s="19"/>
    </row>
    <row r="1277" spans="2:29" x14ac:dyDescent="0.25">
      <c r="B1277" s="19"/>
      <c r="C1277" s="19"/>
      <c r="D1277" s="19"/>
      <c r="E1277" s="19"/>
      <c r="F1277" s="19"/>
      <c r="G1277" s="19"/>
      <c r="H1277" s="19"/>
      <c r="I1277" s="19"/>
      <c r="J1277" s="19"/>
      <c r="K1277" s="19"/>
      <c r="L1277" s="19"/>
      <c r="M1277" s="19"/>
      <c r="N1277" s="19"/>
      <c r="O1277" s="19"/>
      <c r="P1277" s="19"/>
      <c r="Q1277" s="19"/>
      <c r="R1277" s="19"/>
      <c r="S1277" s="19"/>
      <c r="T1277" s="19"/>
      <c r="U1277" s="19"/>
      <c r="V1277" s="19"/>
      <c r="W1277" s="19"/>
      <c r="X1277" s="19"/>
      <c r="Y1277" s="19"/>
      <c r="Z1277" s="19"/>
      <c r="AA1277" s="19"/>
      <c r="AB1277" s="19"/>
      <c r="AC1277" s="19"/>
    </row>
    <row r="1278" spans="2:29" x14ac:dyDescent="0.25">
      <c r="B1278" s="19"/>
      <c r="C1278" s="19"/>
      <c r="D1278" s="19"/>
      <c r="E1278" s="19"/>
      <c r="F1278" s="19"/>
      <c r="G1278" s="19"/>
      <c r="H1278" s="19"/>
      <c r="I1278" s="19"/>
      <c r="J1278" s="19"/>
      <c r="K1278" s="19"/>
      <c r="L1278" s="19"/>
      <c r="M1278" s="19"/>
      <c r="N1278" s="19"/>
      <c r="O1278" s="19"/>
      <c r="P1278" s="19"/>
      <c r="Q1278" s="19"/>
      <c r="R1278" s="19"/>
      <c r="S1278" s="19"/>
      <c r="T1278" s="19"/>
      <c r="U1278" s="19"/>
      <c r="V1278" s="19"/>
      <c r="W1278" s="19"/>
      <c r="X1278" s="19"/>
      <c r="Y1278" s="19"/>
      <c r="Z1278" s="19"/>
      <c r="AA1278" s="19"/>
      <c r="AB1278" s="19"/>
      <c r="AC1278" s="19"/>
    </row>
    <row r="1279" spans="2:29" x14ac:dyDescent="0.25">
      <c r="B1279" s="19"/>
      <c r="C1279" s="19"/>
      <c r="D1279" s="19"/>
      <c r="E1279" s="19"/>
      <c r="F1279" s="19"/>
      <c r="G1279" s="19"/>
      <c r="H1279" s="19"/>
      <c r="I1279" s="19"/>
      <c r="J1279" s="19"/>
      <c r="K1279" s="19"/>
      <c r="L1279" s="19"/>
      <c r="M1279" s="19"/>
      <c r="N1279" s="19"/>
      <c r="O1279" s="19"/>
      <c r="P1279" s="19"/>
      <c r="Q1279" s="19"/>
      <c r="R1279" s="19"/>
      <c r="S1279" s="19"/>
      <c r="T1279" s="19"/>
      <c r="U1279" s="19"/>
      <c r="V1279" s="19"/>
      <c r="W1279" s="19"/>
      <c r="X1279" s="19"/>
      <c r="Y1279" s="19"/>
      <c r="Z1279" s="19"/>
      <c r="AA1279" s="19"/>
      <c r="AB1279" s="19"/>
      <c r="AC1279" s="19"/>
    </row>
    <row r="1280" spans="2:29" x14ac:dyDescent="0.25">
      <c r="B1280" s="19"/>
      <c r="C1280" s="19"/>
      <c r="D1280" s="19"/>
      <c r="E1280" s="19"/>
      <c r="F1280" s="19"/>
      <c r="G1280" s="19"/>
      <c r="H1280" s="19"/>
      <c r="I1280" s="19"/>
      <c r="J1280" s="19"/>
      <c r="K1280" s="19"/>
      <c r="L1280" s="19"/>
      <c r="M1280" s="19"/>
      <c r="N1280" s="19"/>
      <c r="O1280" s="19"/>
      <c r="P1280" s="19"/>
      <c r="Q1280" s="19"/>
      <c r="R1280" s="19"/>
      <c r="S1280" s="19"/>
      <c r="T1280" s="19"/>
      <c r="U1280" s="19"/>
      <c r="V1280" s="19"/>
      <c r="W1280" s="19"/>
      <c r="X1280" s="19"/>
      <c r="Y1280" s="19"/>
      <c r="Z1280" s="19"/>
      <c r="AA1280" s="19"/>
      <c r="AB1280" s="19"/>
      <c r="AC1280" s="19"/>
    </row>
    <row r="1281" spans="2:29" x14ac:dyDescent="0.25">
      <c r="B1281" s="19"/>
      <c r="C1281" s="19"/>
      <c r="D1281" s="19"/>
      <c r="E1281" s="19"/>
      <c r="F1281" s="19"/>
      <c r="G1281" s="19"/>
      <c r="H1281" s="19"/>
      <c r="I1281" s="19"/>
      <c r="J1281" s="19"/>
      <c r="K1281" s="19"/>
      <c r="L1281" s="19"/>
      <c r="M1281" s="19"/>
      <c r="N1281" s="19"/>
      <c r="O1281" s="19"/>
      <c r="P1281" s="19"/>
      <c r="Q1281" s="19"/>
      <c r="R1281" s="19"/>
      <c r="S1281" s="19"/>
      <c r="T1281" s="19"/>
      <c r="U1281" s="19"/>
      <c r="V1281" s="19"/>
      <c r="W1281" s="19"/>
      <c r="X1281" s="19"/>
      <c r="Y1281" s="19"/>
      <c r="Z1281" s="19"/>
      <c r="AA1281" s="19"/>
      <c r="AB1281" s="19"/>
      <c r="AC1281" s="19"/>
    </row>
    <row r="1282" spans="2:29" x14ac:dyDescent="0.25">
      <c r="B1282" s="19"/>
      <c r="C1282" s="19"/>
      <c r="D1282" s="19"/>
      <c r="E1282" s="19"/>
      <c r="F1282" s="19"/>
      <c r="G1282" s="19"/>
      <c r="H1282" s="19"/>
      <c r="I1282" s="19"/>
      <c r="J1282" s="19"/>
      <c r="K1282" s="19"/>
      <c r="L1282" s="19"/>
      <c r="M1282" s="19"/>
      <c r="N1282" s="19"/>
      <c r="O1282" s="19"/>
      <c r="P1282" s="19"/>
      <c r="Q1282" s="19"/>
      <c r="R1282" s="19"/>
      <c r="S1282" s="19"/>
      <c r="T1282" s="19"/>
      <c r="U1282" s="19"/>
      <c r="V1282" s="19"/>
      <c r="W1282" s="19"/>
      <c r="X1282" s="19"/>
      <c r="Y1282" s="19"/>
      <c r="Z1282" s="19"/>
      <c r="AA1282" s="19"/>
      <c r="AB1282" s="19"/>
      <c r="AC1282" s="19"/>
    </row>
    <row r="1283" spans="2:29" x14ac:dyDescent="0.25">
      <c r="B1283" s="19"/>
      <c r="C1283" s="19"/>
      <c r="D1283" s="19"/>
      <c r="E1283" s="19"/>
      <c r="F1283" s="19"/>
      <c r="G1283" s="19"/>
      <c r="H1283" s="19"/>
      <c r="I1283" s="19"/>
      <c r="J1283" s="19"/>
      <c r="K1283" s="19"/>
      <c r="L1283" s="19"/>
      <c r="M1283" s="19"/>
      <c r="N1283" s="19"/>
      <c r="O1283" s="19"/>
      <c r="P1283" s="19"/>
      <c r="Q1283" s="19"/>
      <c r="R1283" s="19"/>
      <c r="S1283" s="19"/>
      <c r="T1283" s="19"/>
      <c r="U1283" s="19"/>
      <c r="V1283" s="19"/>
      <c r="W1283" s="19"/>
      <c r="X1283" s="19"/>
      <c r="Y1283" s="19"/>
      <c r="Z1283" s="19"/>
      <c r="AA1283" s="19"/>
      <c r="AB1283" s="19"/>
      <c r="AC1283" s="19"/>
    </row>
    <row r="1284" spans="2:29" x14ac:dyDescent="0.25">
      <c r="B1284" s="19"/>
      <c r="C1284" s="19"/>
      <c r="D1284" s="19"/>
      <c r="E1284" s="19"/>
      <c r="F1284" s="19"/>
      <c r="G1284" s="19"/>
      <c r="H1284" s="19"/>
      <c r="I1284" s="19"/>
      <c r="J1284" s="19"/>
      <c r="K1284" s="19"/>
      <c r="L1284" s="19"/>
      <c r="M1284" s="19"/>
      <c r="N1284" s="19"/>
      <c r="O1284" s="19"/>
      <c r="P1284" s="19"/>
      <c r="Q1284" s="19"/>
      <c r="R1284" s="19"/>
      <c r="S1284" s="19"/>
      <c r="T1284" s="19"/>
      <c r="U1284" s="19"/>
      <c r="V1284" s="19"/>
      <c r="W1284" s="19"/>
      <c r="X1284" s="19"/>
      <c r="Y1284" s="19"/>
      <c r="Z1284" s="19"/>
      <c r="AA1284" s="19"/>
      <c r="AB1284" s="19"/>
      <c r="AC1284" s="19"/>
    </row>
    <row r="1285" spans="2:29" x14ac:dyDescent="0.25">
      <c r="B1285" s="19"/>
      <c r="C1285" s="19"/>
      <c r="D1285" s="19"/>
      <c r="E1285" s="19"/>
      <c r="F1285" s="19"/>
      <c r="G1285" s="19"/>
      <c r="H1285" s="19"/>
      <c r="I1285" s="19"/>
      <c r="J1285" s="19"/>
      <c r="K1285" s="19"/>
      <c r="L1285" s="19"/>
      <c r="M1285" s="19"/>
      <c r="N1285" s="19"/>
      <c r="O1285" s="19"/>
      <c r="P1285" s="19"/>
      <c r="Q1285" s="19"/>
      <c r="R1285" s="19"/>
      <c r="S1285" s="19"/>
      <c r="T1285" s="19"/>
      <c r="U1285" s="19"/>
      <c r="V1285" s="19"/>
      <c r="W1285" s="19"/>
      <c r="X1285" s="19"/>
      <c r="Y1285" s="19"/>
      <c r="Z1285" s="19"/>
      <c r="AA1285" s="19"/>
      <c r="AB1285" s="19"/>
      <c r="AC1285" s="19"/>
    </row>
    <row r="1286" spans="2:29" x14ac:dyDescent="0.25">
      <c r="B1286" s="19"/>
      <c r="C1286" s="19"/>
      <c r="D1286" s="19"/>
      <c r="E1286" s="19"/>
      <c r="F1286" s="19"/>
      <c r="G1286" s="19"/>
      <c r="H1286" s="19"/>
      <c r="I1286" s="19"/>
      <c r="J1286" s="19"/>
      <c r="K1286" s="19"/>
      <c r="L1286" s="19"/>
      <c r="M1286" s="19"/>
      <c r="N1286" s="19"/>
      <c r="O1286" s="19"/>
      <c r="P1286" s="19"/>
      <c r="Q1286" s="19"/>
      <c r="R1286" s="19"/>
      <c r="S1286" s="19"/>
      <c r="T1286" s="19"/>
      <c r="U1286" s="19"/>
      <c r="V1286" s="19"/>
      <c r="W1286" s="19"/>
      <c r="X1286" s="19"/>
      <c r="Y1286" s="19"/>
      <c r="Z1286" s="19"/>
      <c r="AA1286" s="19"/>
      <c r="AB1286" s="19"/>
      <c r="AC1286" s="19"/>
    </row>
    <row r="1287" spans="2:29" x14ac:dyDescent="0.25">
      <c r="B1287" s="19"/>
      <c r="C1287" s="19"/>
      <c r="D1287" s="19"/>
      <c r="E1287" s="19"/>
      <c r="F1287" s="19"/>
      <c r="G1287" s="19"/>
      <c r="H1287" s="19"/>
      <c r="I1287" s="19"/>
      <c r="J1287" s="19"/>
      <c r="K1287" s="19"/>
      <c r="L1287" s="19"/>
      <c r="M1287" s="19"/>
      <c r="N1287" s="19"/>
      <c r="O1287" s="19"/>
      <c r="P1287" s="19"/>
      <c r="Q1287" s="19"/>
      <c r="R1287" s="19"/>
      <c r="S1287" s="19"/>
      <c r="T1287" s="19"/>
      <c r="U1287" s="19"/>
      <c r="V1287" s="19"/>
      <c r="W1287" s="19"/>
      <c r="X1287" s="19"/>
      <c r="Y1287" s="19"/>
      <c r="Z1287" s="19"/>
      <c r="AA1287" s="19"/>
      <c r="AB1287" s="19"/>
      <c r="AC1287" s="19"/>
    </row>
    <row r="1288" spans="2:29" x14ac:dyDescent="0.25">
      <c r="B1288" s="19"/>
      <c r="C1288" s="19"/>
      <c r="D1288" s="19"/>
      <c r="E1288" s="19"/>
      <c r="F1288" s="19"/>
      <c r="G1288" s="19"/>
      <c r="H1288" s="19"/>
      <c r="I1288" s="19"/>
      <c r="J1288" s="19"/>
      <c r="K1288" s="19"/>
      <c r="L1288" s="19"/>
      <c r="M1288" s="19"/>
      <c r="N1288" s="19"/>
      <c r="O1288" s="19"/>
      <c r="P1288" s="19"/>
      <c r="Q1288" s="19"/>
      <c r="R1288" s="19"/>
      <c r="S1288" s="19"/>
      <c r="T1288" s="19"/>
      <c r="U1288" s="19"/>
      <c r="V1288" s="19"/>
      <c r="W1288" s="19"/>
      <c r="X1288" s="19"/>
      <c r="Y1288" s="19"/>
      <c r="Z1288" s="19"/>
      <c r="AA1288" s="19"/>
      <c r="AB1288" s="19"/>
      <c r="AC1288" s="19"/>
    </row>
    <row r="1289" spans="2:29" x14ac:dyDescent="0.25">
      <c r="B1289" s="19"/>
      <c r="C1289" s="19"/>
      <c r="D1289" s="19"/>
      <c r="E1289" s="19"/>
      <c r="F1289" s="19"/>
      <c r="G1289" s="19"/>
      <c r="H1289" s="19"/>
      <c r="I1289" s="19"/>
      <c r="J1289" s="19"/>
      <c r="K1289" s="19"/>
      <c r="L1289" s="19"/>
      <c r="M1289" s="19"/>
      <c r="N1289" s="19"/>
      <c r="O1289" s="19"/>
      <c r="P1289" s="19"/>
      <c r="Q1289" s="19"/>
      <c r="R1289" s="19"/>
      <c r="S1289" s="19"/>
      <c r="T1289" s="19"/>
      <c r="U1289" s="19"/>
      <c r="V1289" s="19"/>
      <c r="W1289" s="19"/>
      <c r="X1289" s="19"/>
      <c r="Y1289" s="19"/>
      <c r="Z1289" s="19"/>
      <c r="AA1289" s="19"/>
      <c r="AB1289" s="19"/>
      <c r="AC1289" s="19"/>
    </row>
    <row r="1290" spans="2:29" x14ac:dyDescent="0.25">
      <c r="B1290" s="19"/>
      <c r="C1290" s="19"/>
      <c r="D1290" s="19"/>
      <c r="E1290" s="19"/>
      <c r="F1290" s="19"/>
      <c r="G1290" s="19"/>
      <c r="H1290" s="19"/>
      <c r="I1290" s="19"/>
      <c r="J1290" s="19"/>
      <c r="K1290" s="19"/>
      <c r="L1290" s="19"/>
      <c r="M1290" s="19"/>
      <c r="N1290" s="19"/>
      <c r="O1290" s="19"/>
      <c r="P1290" s="19"/>
      <c r="Q1290" s="19"/>
      <c r="R1290" s="19"/>
      <c r="S1290" s="19"/>
      <c r="T1290" s="19"/>
      <c r="U1290" s="19"/>
      <c r="V1290" s="19"/>
      <c r="W1290" s="19"/>
      <c r="X1290" s="19"/>
      <c r="Y1290" s="19"/>
      <c r="Z1290" s="19"/>
      <c r="AA1290" s="19"/>
      <c r="AB1290" s="19"/>
      <c r="AC1290" s="19"/>
    </row>
    <row r="1291" spans="2:29" x14ac:dyDescent="0.25">
      <c r="B1291" s="19"/>
      <c r="C1291" s="19"/>
      <c r="D1291" s="19"/>
      <c r="E1291" s="19"/>
      <c r="F1291" s="19"/>
      <c r="G1291" s="19"/>
      <c r="H1291" s="19"/>
      <c r="I1291" s="19"/>
      <c r="J1291" s="19"/>
      <c r="K1291" s="19"/>
      <c r="L1291" s="19"/>
      <c r="M1291" s="19"/>
      <c r="N1291" s="19"/>
      <c r="O1291" s="19"/>
      <c r="P1291" s="19"/>
      <c r="Q1291" s="19"/>
      <c r="R1291" s="19"/>
      <c r="S1291" s="19"/>
      <c r="T1291" s="19"/>
      <c r="U1291" s="19"/>
      <c r="V1291" s="19"/>
      <c r="W1291" s="19"/>
      <c r="X1291" s="19"/>
      <c r="Y1291" s="19"/>
      <c r="Z1291" s="19"/>
      <c r="AA1291" s="19"/>
      <c r="AB1291" s="19"/>
      <c r="AC1291" s="19"/>
    </row>
    <row r="1292" spans="2:29" x14ac:dyDescent="0.25">
      <c r="B1292" s="19"/>
      <c r="C1292" s="19"/>
      <c r="D1292" s="19"/>
      <c r="E1292" s="19"/>
      <c r="F1292" s="19"/>
      <c r="G1292" s="19"/>
      <c r="H1292" s="19"/>
      <c r="I1292" s="19"/>
      <c r="J1292" s="19"/>
      <c r="K1292" s="19"/>
      <c r="L1292" s="19"/>
      <c r="M1292" s="19"/>
      <c r="N1292" s="19"/>
      <c r="O1292" s="19"/>
      <c r="P1292" s="19"/>
      <c r="Q1292" s="19"/>
      <c r="R1292" s="19"/>
      <c r="S1292" s="19"/>
      <c r="T1292" s="19"/>
      <c r="U1292" s="19"/>
      <c r="V1292" s="19"/>
      <c r="W1292" s="19"/>
      <c r="X1292" s="19"/>
      <c r="Y1292" s="19"/>
      <c r="Z1292" s="19"/>
      <c r="AA1292" s="19"/>
      <c r="AB1292" s="19"/>
      <c r="AC1292" s="19"/>
    </row>
    <row r="1293" spans="2:29" x14ac:dyDescent="0.25">
      <c r="B1293" s="19"/>
      <c r="C1293" s="19"/>
      <c r="D1293" s="19"/>
      <c r="E1293" s="19"/>
      <c r="F1293" s="19"/>
      <c r="G1293" s="19"/>
      <c r="H1293" s="19"/>
      <c r="I1293" s="19"/>
      <c r="J1293" s="19"/>
      <c r="K1293" s="19"/>
      <c r="L1293" s="19"/>
      <c r="M1293" s="19"/>
      <c r="N1293" s="19"/>
      <c r="O1293" s="19"/>
      <c r="P1293" s="19"/>
      <c r="Q1293" s="19"/>
      <c r="R1293" s="19"/>
      <c r="S1293" s="19"/>
      <c r="T1293" s="19"/>
      <c r="U1293" s="19"/>
      <c r="V1293" s="19"/>
      <c r="W1293" s="19"/>
      <c r="X1293" s="19"/>
      <c r="Y1293" s="19"/>
      <c r="Z1293" s="19"/>
      <c r="AA1293" s="19"/>
      <c r="AB1293" s="19"/>
      <c r="AC1293" s="19"/>
    </row>
    <row r="1294" spans="2:29" x14ac:dyDescent="0.25">
      <c r="B1294" s="19"/>
      <c r="C1294" s="19"/>
      <c r="D1294" s="19"/>
      <c r="E1294" s="19"/>
      <c r="F1294" s="19"/>
      <c r="G1294" s="19"/>
      <c r="H1294" s="19"/>
      <c r="I1294" s="19"/>
      <c r="J1294" s="19"/>
      <c r="K1294" s="19"/>
      <c r="L1294" s="19"/>
      <c r="M1294" s="19"/>
      <c r="N1294" s="19"/>
      <c r="O1294" s="19"/>
      <c r="P1294" s="19"/>
      <c r="Q1294" s="19"/>
      <c r="R1294" s="19"/>
      <c r="S1294" s="19"/>
      <c r="T1294" s="19"/>
      <c r="U1294" s="19"/>
      <c r="V1294" s="19"/>
      <c r="W1294" s="19"/>
      <c r="X1294" s="19"/>
      <c r="Y1294" s="19"/>
      <c r="Z1294" s="19"/>
      <c r="AA1294" s="19"/>
      <c r="AB1294" s="19"/>
      <c r="AC1294" s="19"/>
    </row>
    <row r="1295" spans="2:29" x14ac:dyDescent="0.25">
      <c r="B1295" s="19"/>
      <c r="C1295" s="19"/>
      <c r="D1295" s="19"/>
      <c r="E1295" s="19"/>
      <c r="F1295" s="19"/>
      <c r="G1295" s="19"/>
      <c r="H1295" s="19"/>
      <c r="I1295" s="19"/>
      <c r="J1295" s="19"/>
      <c r="K1295" s="19"/>
      <c r="L1295" s="19"/>
      <c r="M1295" s="19"/>
      <c r="N1295" s="19"/>
      <c r="O1295" s="19"/>
      <c r="P1295" s="19"/>
      <c r="Q1295" s="19"/>
      <c r="R1295" s="19"/>
      <c r="S1295" s="19"/>
      <c r="T1295" s="19"/>
      <c r="U1295" s="19"/>
      <c r="V1295" s="19"/>
      <c r="W1295" s="19"/>
      <c r="X1295" s="19"/>
      <c r="Y1295" s="19"/>
      <c r="Z1295" s="19"/>
      <c r="AA1295" s="19"/>
      <c r="AB1295" s="19"/>
      <c r="AC1295" s="19"/>
    </row>
    <row r="1296" spans="2:29" x14ac:dyDescent="0.25">
      <c r="B1296" s="19"/>
      <c r="C1296" s="19"/>
      <c r="D1296" s="19"/>
      <c r="E1296" s="19"/>
      <c r="F1296" s="19"/>
      <c r="G1296" s="19"/>
      <c r="H1296" s="19"/>
      <c r="I1296" s="19"/>
      <c r="J1296" s="19"/>
      <c r="K1296" s="19"/>
      <c r="L1296" s="19"/>
      <c r="M1296" s="19"/>
      <c r="N1296" s="19"/>
      <c r="O1296" s="19"/>
      <c r="P1296" s="19"/>
      <c r="Q1296" s="19"/>
      <c r="R1296" s="19"/>
      <c r="S1296" s="19"/>
      <c r="T1296" s="19"/>
      <c r="U1296" s="19"/>
      <c r="V1296" s="19"/>
      <c r="W1296" s="19"/>
      <c r="X1296" s="19"/>
      <c r="Y1296" s="19"/>
      <c r="Z1296" s="19"/>
      <c r="AA1296" s="19"/>
      <c r="AB1296" s="19"/>
      <c r="AC1296" s="19"/>
    </row>
    <row r="1297" spans="2:29" x14ac:dyDescent="0.25">
      <c r="B1297" s="19"/>
      <c r="C1297" s="19"/>
      <c r="D1297" s="19"/>
      <c r="E1297" s="19"/>
      <c r="F1297" s="19"/>
      <c r="G1297" s="19"/>
      <c r="H1297" s="19"/>
      <c r="I1297" s="19"/>
      <c r="J1297" s="19"/>
      <c r="K1297" s="19"/>
      <c r="L1297" s="19"/>
      <c r="M1297" s="19"/>
      <c r="N1297" s="19"/>
      <c r="O1297" s="19"/>
      <c r="P1297" s="19"/>
      <c r="Q1297" s="19"/>
      <c r="R1297" s="19"/>
      <c r="S1297" s="19"/>
      <c r="T1297" s="19"/>
      <c r="U1297" s="19"/>
      <c r="V1297" s="19"/>
      <c r="W1297" s="19"/>
      <c r="X1297" s="19"/>
      <c r="Y1297" s="19"/>
      <c r="Z1297" s="19"/>
      <c r="AA1297" s="19"/>
      <c r="AB1297" s="19"/>
      <c r="AC1297" s="19"/>
    </row>
    <row r="1298" spans="2:29" x14ac:dyDescent="0.25">
      <c r="B1298" s="19"/>
      <c r="C1298" s="19"/>
      <c r="D1298" s="19"/>
      <c r="E1298" s="19"/>
      <c r="F1298" s="19"/>
      <c r="G1298" s="19"/>
      <c r="H1298" s="19"/>
      <c r="I1298" s="19"/>
      <c r="J1298" s="19"/>
      <c r="K1298" s="19"/>
      <c r="L1298" s="19"/>
      <c r="M1298" s="19"/>
      <c r="N1298" s="19"/>
      <c r="O1298" s="19"/>
      <c r="P1298" s="19"/>
      <c r="Q1298" s="19"/>
      <c r="R1298" s="19"/>
      <c r="S1298" s="19"/>
      <c r="T1298" s="19"/>
      <c r="U1298" s="19"/>
      <c r="V1298" s="19"/>
      <c r="W1298" s="19"/>
      <c r="X1298" s="19"/>
      <c r="Y1298" s="19"/>
      <c r="Z1298" s="19"/>
      <c r="AA1298" s="19"/>
      <c r="AB1298" s="19"/>
      <c r="AC1298" s="19"/>
    </row>
    <row r="1299" spans="2:29" x14ac:dyDescent="0.25">
      <c r="B1299" s="19"/>
      <c r="C1299" s="19"/>
      <c r="D1299" s="19"/>
      <c r="E1299" s="19"/>
      <c r="F1299" s="19"/>
      <c r="G1299" s="19"/>
      <c r="H1299" s="19"/>
      <c r="I1299" s="19"/>
      <c r="J1299" s="19"/>
      <c r="K1299" s="19"/>
      <c r="L1299" s="19"/>
      <c r="M1299" s="19"/>
      <c r="N1299" s="19"/>
      <c r="O1299" s="19"/>
      <c r="P1299" s="19"/>
      <c r="Q1299" s="19"/>
      <c r="R1299" s="19"/>
      <c r="S1299" s="19"/>
      <c r="T1299" s="19"/>
      <c r="U1299" s="19"/>
      <c r="V1299" s="19"/>
      <c r="W1299" s="19"/>
      <c r="X1299" s="19"/>
      <c r="Y1299" s="19"/>
      <c r="Z1299" s="19"/>
      <c r="AA1299" s="19"/>
      <c r="AB1299" s="19"/>
      <c r="AC1299" s="19"/>
    </row>
    <row r="1300" spans="2:29" x14ac:dyDescent="0.25">
      <c r="B1300" s="19"/>
      <c r="C1300" s="19"/>
      <c r="D1300" s="19"/>
      <c r="E1300" s="19"/>
      <c r="F1300" s="19"/>
      <c r="G1300" s="19"/>
      <c r="H1300" s="19"/>
      <c r="I1300" s="19"/>
      <c r="J1300" s="19"/>
      <c r="K1300" s="19"/>
      <c r="L1300" s="19"/>
      <c r="M1300" s="19"/>
      <c r="N1300" s="19"/>
      <c r="O1300" s="19"/>
      <c r="P1300" s="19"/>
      <c r="Q1300" s="19"/>
      <c r="R1300" s="19"/>
      <c r="S1300" s="19"/>
      <c r="T1300" s="19"/>
      <c r="U1300" s="19"/>
      <c r="V1300" s="19"/>
      <c r="W1300" s="19"/>
      <c r="X1300" s="19"/>
      <c r="Y1300" s="19"/>
      <c r="Z1300" s="19"/>
      <c r="AA1300" s="19"/>
      <c r="AB1300" s="19"/>
      <c r="AC1300" s="19"/>
    </row>
    <row r="1301" spans="2:29" x14ac:dyDescent="0.25">
      <c r="B1301" s="19"/>
      <c r="C1301" s="19"/>
      <c r="D1301" s="19"/>
      <c r="E1301" s="19"/>
      <c r="F1301" s="19"/>
      <c r="G1301" s="19"/>
      <c r="H1301" s="19"/>
      <c r="I1301" s="19"/>
      <c r="J1301" s="19"/>
      <c r="K1301" s="19"/>
      <c r="L1301" s="19"/>
      <c r="M1301" s="19"/>
      <c r="N1301" s="19"/>
      <c r="O1301" s="19"/>
      <c r="P1301" s="19"/>
      <c r="Q1301" s="19"/>
      <c r="R1301" s="19"/>
      <c r="S1301" s="19"/>
      <c r="T1301" s="19"/>
      <c r="U1301" s="19"/>
      <c r="V1301" s="19"/>
      <c r="W1301" s="19"/>
      <c r="X1301" s="19"/>
      <c r="Y1301" s="19"/>
      <c r="Z1301" s="19"/>
      <c r="AA1301" s="19"/>
      <c r="AB1301" s="19"/>
      <c r="AC1301" s="19"/>
    </row>
    <row r="1302" spans="2:29" x14ac:dyDescent="0.25">
      <c r="B1302" s="19"/>
      <c r="C1302" s="19"/>
      <c r="D1302" s="19"/>
      <c r="E1302" s="19"/>
      <c r="F1302" s="19"/>
      <c r="G1302" s="19"/>
      <c r="H1302" s="19"/>
      <c r="I1302" s="19"/>
      <c r="J1302" s="19"/>
      <c r="K1302" s="19"/>
      <c r="L1302" s="19"/>
      <c r="M1302" s="19"/>
      <c r="N1302" s="19"/>
      <c r="O1302" s="19"/>
      <c r="P1302" s="19"/>
      <c r="Q1302" s="19"/>
      <c r="R1302" s="19"/>
      <c r="S1302" s="19"/>
      <c r="T1302" s="19"/>
      <c r="U1302" s="19"/>
      <c r="V1302" s="19"/>
      <c r="W1302" s="19"/>
      <c r="X1302" s="19"/>
      <c r="Y1302" s="19"/>
      <c r="Z1302" s="19"/>
      <c r="AA1302" s="19"/>
      <c r="AB1302" s="19"/>
      <c r="AC1302" s="19"/>
    </row>
    <row r="1303" spans="2:29" x14ac:dyDescent="0.25">
      <c r="B1303" s="19"/>
      <c r="C1303" s="19"/>
      <c r="D1303" s="19"/>
      <c r="E1303" s="19"/>
      <c r="F1303" s="19"/>
      <c r="G1303" s="19"/>
      <c r="H1303" s="19"/>
      <c r="I1303" s="19"/>
      <c r="J1303" s="19"/>
      <c r="K1303" s="19"/>
      <c r="L1303" s="19"/>
      <c r="M1303" s="19"/>
      <c r="N1303" s="19"/>
      <c r="O1303" s="19"/>
      <c r="P1303" s="19"/>
      <c r="Q1303" s="19"/>
      <c r="R1303" s="19"/>
      <c r="S1303" s="19"/>
      <c r="T1303" s="19"/>
      <c r="U1303" s="19"/>
      <c r="V1303" s="19"/>
      <c r="W1303" s="19"/>
      <c r="X1303" s="19"/>
      <c r="Y1303" s="19"/>
      <c r="Z1303" s="19"/>
      <c r="AA1303" s="19"/>
      <c r="AB1303" s="19"/>
      <c r="AC1303" s="19"/>
    </row>
    <row r="1304" spans="2:29" x14ac:dyDescent="0.25">
      <c r="B1304" s="19"/>
      <c r="C1304" s="19"/>
      <c r="D1304" s="19"/>
      <c r="E1304" s="19"/>
      <c r="F1304" s="19"/>
      <c r="G1304" s="19"/>
      <c r="H1304" s="19"/>
      <c r="I1304" s="19"/>
      <c r="J1304" s="19"/>
      <c r="K1304" s="19"/>
      <c r="L1304" s="19"/>
      <c r="M1304" s="19"/>
      <c r="N1304" s="19"/>
      <c r="O1304" s="19"/>
      <c r="P1304" s="19"/>
      <c r="Q1304" s="19"/>
      <c r="R1304" s="19"/>
      <c r="S1304" s="19"/>
      <c r="T1304" s="19"/>
      <c r="U1304" s="19"/>
      <c r="V1304" s="19"/>
      <c r="W1304" s="19"/>
      <c r="X1304" s="19"/>
      <c r="Y1304" s="19"/>
      <c r="Z1304" s="19"/>
      <c r="AA1304" s="19"/>
      <c r="AB1304" s="19"/>
      <c r="AC1304" s="19"/>
    </row>
    <row r="1305" spans="2:29" x14ac:dyDescent="0.25">
      <c r="B1305" s="19"/>
      <c r="C1305" s="19"/>
      <c r="D1305" s="19"/>
      <c r="E1305" s="19"/>
      <c r="F1305" s="19"/>
      <c r="G1305" s="19"/>
      <c r="H1305" s="19"/>
      <c r="I1305" s="19"/>
      <c r="J1305" s="19"/>
      <c r="K1305" s="19"/>
      <c r="L1305" s="19"/>
      <c r="M1305" s="19"/>
      <c r="N1305" s="19"/>
      <c r="O1305" s="19"/>
      <c r="P1305" s="19"/>
      <c r="Q1305" s="19"/>
      <c r="R1305" s="19"/>
      <c r="S1305" s="19"/>
      <c r="T1305" s="19"/>
      <c r="U1305" s="19"/>
      <c r="V1305" s="19"/>
      <c r="W1305" s="19"/>
      <c r="X1305" s="19"/>
      <c r="Y1305" s="19"/>
      <c r="Z1305" s="19"/>
      <c r="AA1305" s="19"/>
      <c r="AB1305" s="19"/>
      <c r="AC1305" s="19"/>
    </row>
    <row r="1306" spans="2:29" x14ac:dyDescent="0.25">
      <c r="B1306" s="19"/>
      <c r="C1306" s="19"/>
      <c r="D1306" s="19"/>
      <c r="E1306" s="19"/>
      <c r="F1306" s="19"/>
      <c r="G1306" s="19"/>
      <c r="H1306" s="19"/>
      <c r="I1306" s="19"/>
      <c r="J1306" s="19"/>
      <c r="K1306" s="19"/>
      <c r="L1306" s="19"/>
      <c r="M1306" s="19"/>
      <c r="N1306" s="19"/>
      <c r="O1306" s="19"/>
      <c r="P1306" s="19"/>
      <c r="Q1306" s="19"/>
      <c r="R1306" s="19"/>
      <c r="S1306" s="19"/>
      <c r="T1306" s="19"/>
      <c r="U1306" s="19"/>
      <c r="V1306" s="19"/>
      <c r="W1306" s="19"/>
      <c r="X1306" s="19"/>
      <c r="Y1306" s="19"/>
      <c r="Z1306" s="19"/>
      <c r="AA1306" s="19"/>
      <c r="AB1306" s="19"/>
      <c r="AC1306" s="19"/>
    </row>
    <row r="1307" spans="2:29" x14ac:dyDescent="0.25">
      <c r="B1307" s="19"/>
      <c r="C1307" s="19"/>
      <c r="D1307" s="19"/>
      <c r="E1307" s="19"/>
      <c r="F1307" s="19"/>
      <c r="G1307" s="19"/>
      <c r="H1307" s="19"/>
      <c r="I1307" s="19"/>
      <c r="J1307" s="19"/>
      <c r="K1307" s="19"/>
      <c r="L1307" s="19"/>
      <c r="M1307" s="19"/>
      <c r="N1307" s="19"/>
      <c r="O1307" s="19"/>
      <c r="P1307" s="19"/>
      <c r="Q1307" s="19"/>
      <c r="R1307" s="19"/>
      <c r="S1307" s="19"/>
      <c r="T1307" s="19"/>
      <c r="U1307" s="19"/>
      <c r="V1307" s="19"/>
      <c r="W1307" s="19"/>
      <c r="X1307" s="19"/>
      <c r="Y1307" s="19"/>
      <c r="Z1307" s="19"/>
      <c r="AA1307" s="19"/>
      <c r="AB1307" s="19"/>
      <c r="AC1307" s="19"/>
    </row>
    <row r="1308" spans="2:29" x14ac:dyDescent="0.25">
      <c r="B1308" s="19"/>
      <c r="C1308" s="19"/>
      <c r="D1308" s="19"/>
      <c r="E1308" s="19"/>
      <c r="F1308" s="19"/>
      <c r="G1308" s="19"/>
      <c r="H1308" s="19"/>
      <c r="I1308" s="19"/>
      <c r="J1308" s="19"/>
      <c r="K1308" s="19"/>
      <c r="L1308" s="19"/>
      <c r="M1308" s="19"/>
      <c r="N1308" s="19"/>
      <c r="O1308" s="19"/>
      <c r="P1308" s="19"/>
      <c r="Q1308" s="19"/>
      <c r="R1308" s="19"/>
      <c r="S1308" s="19"/>
      <c r="T1308" s="19"/>
      <c r="U1308" s="19"/>
      <c r="V1308" s="19"/>
      <c r="W1308" s="19"/>
      <c r="X1308" s="19"/>
      <c r="Y1308" s="19"/>
      <c r="Z1308" s="19"/>
      <c r="AA1308" s="19"/>
      <c r="AB1308" s="19"/>
      <c r="AC1308" s="19"/>
    </row>
    <row r="1309" spans="2:29" x14ac:dyDescent="0.25">
      <c r="B1309" s="19"/>
      <c r="C1309" s="19"/>
      <c r="D1309" s="19"/>
      <c r="E1309" s="19"/>
      <c r="F1309" s="19"/>
      <c r="G1309" s="19"/>
      <c r="H1309" s="19"/>
      <c r="I1309" s="19"/>
      <c r="J1309" s="19"/>
      <c r="K1309" s="19"/>
      <c r="L1309" s="19"/>
      <c r="M1309" s="19"/>
      <c r="N1309" s="19"/>
      <c r="O1309" s="19"/>
      <c r="P1309" s="19"/>
      <c r="Q1309" s="19"/>
      <c r="R1309" s="19"/>
      <c r="S1309" s="19"/>
      <c r="T1309" s="19"/>
      <c r="U1309" s="19"/>
      <c r="V1309" s="19"/>
      <c r="W1309" s="19"/>
      <c r="X1309" s="19"/>
      <c r="Y1309" s="19"/>
      <c r="Z1309" s="19"/>
      <c r="AA1309" s="19"/>
      <c r="AB1309" s="19"/>
      <c r="AC1309" s="19"/>
    </row>
    <row r="1310" spans="2:29" x14ac:dyDescent="0.25">
      <c r="B1310" s="19"/>
      <c r="C1310" s="19"/>
      <c r="D1310" s="19"/>
      <c r="E1310" s="19"/>
      <c r="F1310" s="19"/>
      <c r="G1310" s="19"/>
      <c r="H1310" s="19"/>
      <c r="I1310" s="19"/>
      <c r="J1310" s="19"/>
      <c r="K1310" s="19"/>
      <c r="L1310" s="19"/>
      <c r="M1310" s="19"/>
      <c r="N1310" s="19"/>
      <c r="O1310" s="19"/>
      <c r="P1310" s="19"/>
      <c r="Q1310" s="19"/>
      <c r="R1310" s="19"/>
      <c r="S1310" s="19"/>
      <c r="T1310" s="19"/>
      <c r="U1310" s="19"/>
      <c r="V1310" s="19"/>
      <c r="W1310" s="19"/>
      <c r="X1310" s="19"/>
      <c r="Y1310" s="19"/>
      <c r="Z1310" s="19"/>
      <c r="AA1310" s="19"/>
      <c r="AB1310" s="19"/>
      <c r="AC1310" s="19"/>
    </row>
    <row r="1311" spans="2:29" x14ac:dyDescent="0.25">
      <c r="B1311" s="19"/>
      <c r="C1311" s="19"/>
      <c r="D1311" s="19"/>
      <c r="E1311" s="19"/>
      <c r="F1311" s="19"/>
      <c r="G1311" s="19"/>
      <c r="H1311" s="19"/>
      <c r="I1311" s="19"/>
      <c r="J1311" s="19"/>
      <c r="K1311" s="19"/>
      <c r="L1311" s="19"/>
      <c r="M1311" s="19"/>
      <c r="N1311" s="19"/>
      <c r="O1311" s="19"/>
      <c r="P1311" s="19"/>
      <c r="Q1311" s="19"/>
      <c r="R1311" s="19"/>
      <c r="S1311" s="19"/>
      <c r="T1311" s="19"/>
      <c r="U1311" s="19"/>
      <c r="V1311" s="19"/>
      <c r="W1311" s="19"/>
      <c r="X1311" s="19"/>
      <c r="Y1311" s="19"/>
      <c r="Z1311" s="19"/>
      <c r="AA1311" s="19"/>
      <c r="AB1311" s="19"/>
      <c r="AC1311" s="19"/>
    </row>
    <row r="1312" spans="2:29" x14ac:dyDescent="0.25">
      <c r="B1312" s="19"/>
      <c r="C1312" s="19"/>
      <c r="D1312" s="19"/>
      <c r="E1312" s="19"/>
      <c r="F1312" s="19"/>
      <c r="G1312" s="19"/>
      <c r="H1312" s="19"/>
      <c r="I1312" s="19"/>
      <c r="J1312" s="19"/>
      <c r="K1312" s="19"/>
      <c r="L1312" s="19"/>
      <c r="M1312" s="19"/>
      <c r="N1312" s="19"/>
      <c r="O1312" s="19"/>
      <c r="P1312" s="19"/>
      <c r="Q1312" s="19"/>
      <c r="R1312" s="19"/>
      <c r="S1312" s="19"/>
      <c r="T1312" s="19"/>
      <c r="U1312" s="19"/>
      <c r="V1312" s="19"/>
      <c r="W1312" s="19"/>
      <c r="X1312" s="19"/>
      <c r="Y1312" s="19"/>
      <c r="Z1312" s="19"/>
      <c r="AA1312" s="19"/>
      <c r="AB1312" s="19"/>
      <c r="AC1312" s="19"/>
    </row>
    <row r="1313" spans="2:29" x14ac:dyDescent="0.25">
      <c r="B1313" s="19"/>
      <c r="C1313" s="19"/>
      <c r="D1313" s="19"/>
      <c r="E1313" s="19"/>
      <c r="F1313" s="19"/>
      <c r="G1313" s="19"/>
      <c r="H1313" s="19"/>
      <c r="I1313" s="19"/>
      <c r="J1313" s="19"/>
      <c r="K1313" s="19"/>
      <c r="L1313" s="19"/>
      <c r="M1313" s="19"/>
      <c r="N1313" s="19"/>
      <c r="O1313" s="19"/>
      <c r="P1313" s="19"/>
      <c r="Q1313" s="19"/>
      <c r="R1313" s="19"/>
      <c r="S1313" s="19"/>
      <c r="T1313" s="19"/>
      <c r="U1313" s="19"/>
      <c r="V1313" s="19"/>
      <c r="W1313" s="19"/>
      <c r="X1313" s="19"/>
      <c r="Y1313" s="19"/>
      <c r="Z1313" s="19"/>
      <c r="AA1313" s="19"/>
      <c r="AB1313" s="19"/>
      <c r="AC1313" s="19"/>
    </row>
    <row r="1314" spans="2:29" x14ac:dyDescent="0.25">
      <c r="B1314" s="19"/>
      <c r="C1314" s="19"/>
      <c r="D1314" s="19"/>
      <c r="E1314" s="19"/>
      <c r="F1314" s="19"/>
      <c r="G1314" s="19"/>
      <c r="H1314" s="19"/>
      <c r="I1314" s="19"/>
      <c r="J1314" s="19"/>
      <c r="K1314" s="19"/>
      <c r="L1314" s="19"/>
      <c r="M1314" s="19"/>
      <c r="N1314" s="19"/>
      <c r="O1314" s="19"/>
      <c r="P1314" s="19"/>
      <c r="Q1314" s="19"/>
      <c r="R1314" s="19"/>
      <c r="S1314" s="19"/>
      <c r="T1314" s="19"/>
      <c r="U1314" s="19"/>
      <c r="V1314" s="19"/>
      <c r="W1314" s="19"/>
      <c r="X1314" s="19"/>
      <c r="Y1314" s="19"/>
      <c r="Z1314" s="19"/>
      <c r="AA1314" s="19"/>
      <c r="AB1314" s="19"/>
      <c r="AC1314" s="19"/>
    </row>
    <row r="1315" spans="2:29" x14ac:dyDescent="0.25">
      <c r="B1315" s="19"/>
      <c r="C1315" s="19"/>
      <c r="D1315" s="19"/>
      <c r="E1315" s="19"/>
      <c r="F1315" s="19"/>
      <c r="G1315" s="19"/>
      <c r="H1315" s="19"/>
      <c r="I1315" s="19"/>
      <c r="J1315" s="19"/>
      <c r="K1315" s="19"/>
      <c r="L1315" s="19"/>
      <c r="M1315" s="19"/>
      <c r="N1315" s="19"/>
      <c r="O1315" s="19"/>
      <c r="P1315" s="19"/>
      <c r="Q1315" s="19"/>
      <c r="R1315" s="19"/>
      <c r="S1315" s="19"/>
      <c r="T1315" s="19"/>
      <c r="U1315" s="19"/>
      <c r="V1315" s="19"/>
      <c r="W1315" s="19"/>
      <c r="X1315" s="19"/>
      <c r="Y1315" s="19"/>
      <c r="Z1315" s="19"/>
      <c r="AA1315" s="19"/>
      <c r="AB1315" s="19"/>
      <c r="AC1315" s="19"/>
    </row>
    <row r="1316" spans="2:29" x14ac:dyDescent="0.25">
      <c r="B1316" s="19"/>
      <c r="C1316" s="19"/>
      <c r="D1316" s="19"/>
      <c r="E1316" s="19"/>
      <c r="F1316" s="19"/>
      <c r="G1316" s="19"/>
      <c r="H1316" s="19"/>
      <c r="I1316" s="19"/>
      <c r="J1316" s="19"/>
      <c r="K1316" s="19"/>
      <c r="L1316" s="19"/>
      <c r="M1316" s="19"/>
      <c r="N1316" s="19"/>
      <c r="O1316" s="19"/>
      <c r="P1316" s="19"/>
      <c r="Q1316" s="19"/>
      <c r="R1316" s="19"/>
      <c r="S1316" s="19"/>
      <c r="T1316" s="19"/>
      <c r="U1316" s="19"/>
      <c r="V1316" s="19"/>
      <c r="W1316" s="19"/>
      <c r="X1316" s="19"/>
      <c r="Y1316" s="19"/>
      <c r="Z1316" s="19"/>
      <c r="AA1316" s="19"/>
      <c r="AB1316" s="19"/>
      <c r="AC1316" s="19"/>
    </row>
    <row r="1317" spans="2:29" x14ac:dyDescent="0.25">
      <c r="B1317" s="19"/>
      <c r="C1317" s="19"/>
      <c r="D1317" s="19"/>
      <c r="E1317" s="19"/>
      <c r="F1317" s="19"/>
      <c r="G1317" s="19"/>
      <c r="H1317" s="19"/>
      <c r="I1317" s="19"/>
      <c r="J1317" s="19"/>
      <c r="K1317" s="19"/>
      <c r="L1317" s="19"/>
      <c r="M1317" s="19"/>
      <c r="N1317" s="19"/>
      <c r="O1317" s="19"/>
      <c r="P1317" s="19"/>
      <c r="Q1317" s="19"/>
      <c r="R1317" s="19"/>
      <c r="S1317" s="19"/>
      <c r="T1317" s="19"/>
      <c r="U1317" s="19"/>
      <c r="V1317" s="19"/>
      <c r="W1317" s="19"/>
      <c r="X1317" s="19"/>
      <c r="Y1317" s="19"/>
      <c r="Z1317" s="19"/>
      <c r="AA1317" s="19"/>
      <c r="AB1317" s="19"/>
      <c r="AC1317" s="19"/>
    </row>
    <row r="1318" spans="2:29" x14ac:dyDescent="0.25">
      <c r="B1318" s="19"/>
      <c r="C1318" s="19"/>
      <c r="D1318" s="19"/>
      <c r="E1318" s="19"/>
      <c r="F1318" s="19"/>
      <c r="G1318" s="19"/>
      <c r="H1318" s="19"/>
      <c r="I1318" s="19"/>
      <c r="J1318" s="19"/>
      <c r="K1318" s="19"/>
      <c r="L1318" s="19"/>
      <c r="M1318" s="19"/>
      <c r="N1318" s="19"/>
      <c r="O1318" s="19"/>
      <c r="P1318" s="19"/>
      <c r="Q1318" s="19"/>
      <c r="R1318" s="19"/>
      <c r="S1318" s="19"/>
      <c r="T1318" s="19"/>
      <c r="U1318" s="19"/>
      <c r="V1318" s="19"/>
      <c r="W1318" s="19"/>
      <c r="X1318" s="19"/>
      <c r="Y1318" s="19"/>
      <c r="Z1318" s="19"/>
      <c r="AA1318" s="19"/>
      <c r="AB1318" s="19"/>
      <c r="AC1318" s="19"/>
    </row>
    <row r="1319" spans="2:29" x14ac:dyDescent="0.25">
      <c r="B1319" s="19"/>
      <c r="C1319" s="19"/>
      <c r="D1319" s="19"/>
      <c r="E1319" s="19"/>
      <c r="F1319" s="19"/>
      <c r="G1319" s="19"/>
      <c r="H1319" s="19"/>
      <c r="I1319" s="19"/>
      <c r="J1319" s="19"/>
      <c r="K1319" s="19"/>
      <c r="L1319" s="19"/>
      <c r="M1319" s="19"/>
      <c r="N1319" s="19"/>
      <c r="O1319" s="19"/>
      <c r="P1319" s="19"/>
      <c r="Q1319" s="19"/>
      <c r="R1319" s="19"/>
      <c r="S1319" s="19"/>
      <c r="T1319" s="19"/>
      <c r="U1319" s="19"/>
      <c r="V1319" s="19"/>
      <c r="W1319" s="19"/>
      <c r="X1319" s="19"/>
      <c r="Y1319" s="19"/>
      <c r="Z1319" s="19"/>
      <c r="AA1319" s="19"/>
      <c r="AB1319" s="19"/>
      <c r="AC1319" s="19"/>
    </row>
    <row r="1320" spans="2:29" x14ac:dyDescent="0.25">
      <c r="B1320" s="19"/>
      <c r="C1320" s="19"/>
      <c r="D1320" s="19"/>
      <c r="E1320" s="19"/>
      <c r="F1320" s="19"/>
      <c r="G1320" s="19"/>
      <c r="H1320" s="19"/>
      <c r="I1320" s="19"/>
      <c r="J1320" s="19"/>
      <c r="K1320" s="19"/>
      <c r="L1320" s="19"/>
      <c r="M1320" s="19"/>
      <c r="N1320" s="19"/>
      <c r="O1320" s="19"/>
      <c r="P1320" s="19"/>
      <c r="Q1320" s="19"/>
      <c r="R1320" s="19"/>
      <c r="S1320" s="19"/>
      <c r="T1320" s="19"/>
      <c r="U1320" s="19"/>
      <c r="V1320" s="19"/>
      <c r="W1320" s="19"/>
      <c r="X1320" s="19"/>
      <c r="Y1320" s="19"/>
      <c r="Z1320" s="19"/>
      <c r="AA1320" s="19"/>
      <c r="AB1320" s="19"/>
      <c r="AC1320" s="19"/>
    </row>
    <row r="1321" spans="2:29" x14ac:dyDescent="0.25">
      <c r="B1321" s="19"/>
      <c r="C1321" s="19"/>
      <c r="D1321" s="19"/>
      <c r="E1321" s="19"/>
      <c r="F1321" s="19"/>
      <c r="G1321" s="19"/>
      <c r="H1321" s="19"/>
      <c r="I1321" s="19"/>
      <c r="J1321" s="19"/>
      <c r="K1321" s="19"/>
      <c r="L1321" s="19"/>
      <c r="M1321" s="19"/>
      <c r="N1321" s="19"/>
      <c r="O1321" s="19"/>
      <c r="P1321" s="19"/>
      <c r="Q1321" s="19"/>
      <c r="R1321" s="19"/>
      <c r="S1321" s="19"/>
      <c r="T1321" s="19"/>
      <c r="U1321" s="19"/>
      <c r="V1321" s="19"/>
      <c r="W1321" s="19"/>
      <c r="X1321" s="19"/>
      <c r="Y1321" s="19"/>
      <c r="Z1321" s="19"/>
      <c r="AA1321" s="19"/>
      <c r="AB1321" s="19"/>
      <c r="AC1321" s="19"/>
    </row>
    <row r="1322" spans="2:29" x14ac:dyDescent="0.25">
      <c r="B1322" s="19"/>
      <c r="C1322" s="19"/>
      <c r="D1322" s="19"/>
      <c r="E1322" s="19"/>
      <c r="F1322" s="19"/>
      <c r="G1322" s="19"/>
      <c r="H1322" s="19"/>
      <c r="I1322" s="19"/>
      <c r="J1322" s="19"/>
      <c r="K1322" s="19"/>
      <c r="L1322" s="19"/>
      <c r="M1322" s="19"/>
      <c r="N1322" s="19"/>
      <c r="O1322" s="19"/>
      <c r="P1322" s="19"/>
      <c r="Q1322" s="19"/>
      <c r="R1322" s="19"/>
      <c r="S1322" s="19"/>
      <c r="T1322" s="19"/>
      <c r="U1322" s="19"/>
      <c r="V1322" s="19"/>
      <c r="W1322" s="19"/>
      <c r="X1322" s="19"/>
      <c r="Y1322" s="19"/>
      <c r="Z1322" s="19"/>
      <c r="AA1322" s="19"/>
      <c r="AB1322" s="19"/>
      <c r="AC1322" s="19"/>
    </row>
    <row r="1323" spans="2:29" x14ac:dyDescent="0.25">
      <c r="B1323" s="19"/>
      <c r="C1323" s="19"/>
      <c r="D1323" s="19"/>
      <c r="E1323" s="19"/>
      <c r="F1323" s="19"/>
      <c r="G1323" s="19"/>
      <c r="H1323" s="19"/>
      <c r="I1323" s="19"/>
      <c r="J1323" s="19"/>
      <c r="K1323" s="19"/>
      <c r="L1323" s="19"/>
      <c r="M1323" s="19"/>
      <c r="N1323" s="19"/>
      <c r="O1323" s="19"/>
      <c r="P1323" s="19"/>
      <c r="Q1323" s="19"/>
      <c r="R1323" s="19"/>
      <c r="S1323" s="19"/>
      <c r="T1323" s="19"/>
      <c r="U1323" s="19"/>
      <c r="V1323" s="19"/>
      <c r="W1323" s="19"/>
      <c r="X1323" s="19"/>
      <c r="Y1323" s="19"/>
      <c r="Z1323" s="19"/>
      <c r="AA1323" s="19"/>
      <c r="AB1323" s="19"/>
      <c r="AC1323" s="19"/>
    </row>
    <row r="1324" spans="2:29" x14ac:dyDescent="0.25">
      <c r="B1324" s="19"/>
      <c r="C1324" s="19"/>
      <c r="D1324" s="19"/>
      <c r="E1324" s="19"/>
      <c r="F1324" s="19"/>
      <c r="G1324" s="19"/>
      <c r="H1324" s="19"/>
      <c r="I1324" s="19"/>
      <c r="J1324" s="19"/>
      <c r="K1324" s="19"/>
      <c r="L1324" s="19"/>
      <c r="M1324" s="19"/>
      <c r="N1324" s="19"/>
      <c r="O1324" s="19"/>
      <c r="P1324" s="19"/>
      <c r="Q1324" s="19"/>
      <c r="R1324" s="19"/>
      <c r="S1324" s="19"/>
      <c r="T1324" s="19"/>
      <c r="U1324" s="19"/>
      <c r="V1324" s="19"/>
      <c r="W1324" s="19"/>
      <c r="X1324" s="19"/>
      <c r="Y1324" s="19"/>
      <c r="Z1324" s="19"/>
      <c r="AA1324" s="19"/>
      <c r="AB1324" s="19"/>
      <c r="AC1324" s="19"/>
    </row>
    <row r="1325" spans="2:29" x14ac:dyDescent="0.25">
      <c r="B1325" s="19"/>
      <c r="C1325" s="19"/>
      <c r="D1325" s="19"/>
      <c r="E1325" s="19"/>
      <c r="F1325" s="19"/>
      <c r="G1325" s="19"/>
      <c r="H1325" s="19"/>
      <c r="I1325" s="19"/>
      <c r="J1325" s="19"/>
      <c r="K1325" s="19"/>
      <c r="L1325" s="19"/>
      <c r="M1325" s="19"/>
      <c r="N1325" s="19"/>
      <c r="O1325" s="19"/>
      <c r="P1325" s="19"/>
      <c r="Q1325" s="19"/>
      <c r="R1325" s="19"/>
      <c r="S1325" s="19"/>
      <c r="T1325" s="19"/>
      <c r="U1325" s="19"/>
      <c r="V1325" s="19"/>
      <c r="W1325" s="19"/>
      <c r="X1325" s="19"/>
      <c r="Y1325" s="19"/>
      <c r="Z1325" s="19"/>
      <c r="AA1325" s="19"/>
      <c r="AB1325" s="19"/>
      <c r="AC1325" s="19"/>
    </row>
    <row r="1326" spans="2:29" x14ac:dyDescent="0.25">
      <c r="B1326" s="19"/>
      <c r="C1326" s="19"/>
      <c r="D1326" s="19"/>
      <c r="E1326" s="19"/>
      <c r="F1326" s="19"/>
      <c r="G1326" s="19"/>
      <c r="H1326" s="19"/>
      <c r="I1326" s="19"/>
      <c r="J1326" s="19"/>
      <c r="K1326" s="19"/>
      <c r="L1326" s="19"/>
      <c r="M1326" s="19"/>
      <c r="N1326" s="19"/>
      <c r="O1326" s="19"/>
      <c r="P1326" s="19"/>
      <c r="Q1326" s="19"/>
      <c r="R1326" s="19"/>
      <c r="S1326" s="19"/>
      <c r="T1326" s="19"/>
      <c r="U1326" s="19"/>
      <c r="V1326" s="19"/>
      <c r="W1326" s="19"/>
      <c r="X1326" s="19"/>
      <c r="Y1326" s="19"/>
      <c r="Z1326" s="19"/>
      <c r="AA1326" s="19"/>
      <c r="AB1326" s="19"/>
      <c r="AC1326" s="19"/>
    </row>
    <row r="1327" spans="2:29" x14ac:dyDescent="0.25">
      <c r="B1327" s="19"/>
      <c r="C1327" s="19"/>
      <c r="D1327" s="19"/>
      <c r="E1327" s="19"/>
      <c r="F1327" s="19"/>
      <c r="G1327" s="19"/>
      <c r="H1327" s="19"/>
      <c r="I1327" s="19"/>
      <c r="J1327" s="19"/>
      <c r="K1327" s="19"/>
      <c r="L1327" s="19"/>
      <c r="M1327" s="19"/>
      <c r="N1327" s="19"/>
      <c r="O1327" s="19"/>
      <c r="P1327" s="19"/>
      <c r="Q1327" s="19"/>
      <c r="R1327" s="19"/>
      <c r="S1327" s="19"/>
      <c r="T1327" s="19"/>
      <c r="U1327" s="19"/>
      <c r="V1327" s="19"/>
      <c r="W1327" s="19"/>
      <c r="X1327" s="19"/>
      <c r="Y1327" s="19"/>
      <c r="Z1327" s="19"/>
      <c r="AA1327" s="19"/>
      <c r="AB1327" s="19"/>
      <c r="AC1327" s="19"/>
    </row>
    <row r="1328" spans="2:29" x14ac:dyDescent="0.25">
      <c r="B1328" s="19"/>
      <c r="C1328" s="19"/>
      <c r="D1328" s="19"/>
      <c r="E1328" s="19"/>
      <c r="F1328" s="19"/>
      <c r="G1328" s="19"/>
      <c r="H1328" s="19"/>
      <c r="I1328" s="19"/>
      <c r="J1328" s="19"/>
      <c r="K1328" s="19"/>
      <c r="L1328" s="19"/>
      <c r="M1328" s="19"/>
      <c r="N1328" s="19"/>
      <c r="O1328" s="19"/>
      <c r="P1328" s="19"/>
      <c r="Q1328" s="19"/>
      <c r="R1328" s="19"/>
      <c r="S1328" s="19"/>
      <c r="T1328" s="19"/>
      <c r="U1328" s="19"/>
      <c r="V1328" s="19"/>
      <c r="W1328" s="19"/>
      <c r="X1328" s="19"/>
      <c r="Y1328" s="19"/>
      <c r="Z1328" s="19"/>
      <c r="AA1328" s="19"/>
      <c r="AB1328" s="19"/>
      <c r="AC1328" s="19"/>
    </row>
    <row r="1329" spans="2:29" x14ac:dyDescent="0.25">
      <c r="B1329" s="19"/>
      <c r="C1329" s="19"/>
      <c r="D1329" s="19"/>
      <c r="E1329" s="19"/>
      <c r="F1329" s="19"/>
      <c r="G1329" s="19"/>
      <c r="H1329" s="19"/>
      <c r="I1329" s="19"/>
      <c r="J1329" s="19"/>
      <c r="K1329" s="19"/>
      <c r="L1329" s="19"/>
      <c r="M1329" s="19"/>
      <c r="N1329" s="19"/>
      <c r="O1329" s="19"/>
      <c r="P1329" s="19"/>
      <c r="Q1329" s="19"/>
      <c r="R1329" s="19"/>
      <c r="S1329" s="19"/>
      <c r="T1329" s="19"/>
      <c r="U1329" s="19"/>
      <c r="V1329" s="19"/>
      <c r="W1329" s="19"/>
      <c r="X1329" s="19"/>
      <c r="Y1329" s="19"/>
      <c r="Z1329" s="19"/>
      <c r="AA1329" s="19"/>
      <c r="AB1329" s="19"/>
      <c r="AC1329" s="19"/>
    </row>
    <row r="1330" spans="2:29" x14ac:dyDescent="0.25">
      <c r="B1330" s="19"/>
      <c r="C1330" s="19"/>
      <c r="D1330" s="19"/>
      <c r="E1330" s="19"/>
      <c r="F1330" s="19"/>
      <c r="G1330" s="19"/>
      <c r="H1330" s="19"/>
      <c r="I1330" s="19"/>
      <c r="J1330" s="19"/>
      <c r="K1330" s="19"/>
      <c r="L1330" s="19"/>
      <c r="M1330" s="19"/>
      <c r="N1330" s="19"/>
      <c r="O1330" s="19"/>
      <c r="P1330" s="19"/>
      <c r="Q1330" s="19"/>
      <c r="R1330" s="19"/>
      <c r="S1330" s="19"/>
      <c r="T1330" s="19"/>
      <c r="U1330" s="19"/>
      <c r="V1330" s="19"/>
      <c r="W1330" s="19"/>
      <c r="X1330" s="19"/>
      <c r="Y1330" s="19"/>
      <c r="Z1330" s="19"/>
      <c r="AA1330" s="19"/>
      <c r="AB1330" s="19"/>
      <c r="AC1330" s="19"/>
    </row>
    <row r="1331" spans="2:29" x14ac:dyDescent="0.25">
      <c r="B1331" s="19"/>
      <c r="C1331" s="19"/>
      <c r="D1331" s="19"/>
      <c r="E1331" s="19"/>
      <c r="F1331" s="19"/>
      <c r="G1331" s="19"/>
      <c r="H1331" s="19"/>
      <c r="I1331" s="19"/>
      <c r="J1331" s="19"/>
      <c r="K1331" s="19"/>
      <c r="L1331" s="19"/>
      <c r="M1331" s="19"/>
      <c r="N1331" s="19"/>
      <c r="O1331" s="19"/>
      <c r="P1331" s="19"/>
      <c r="Q1331" s="19"/>
      <c r="R1331" s="19"/>
      <c r="S1331" s="19"/>
      <c r="T1331" s="19"/>
      <c r="U1331" s="19"/>
      <c r="V1331" s="19"/>
      <c r="W1331" s="19"/>
      <c r="X1331" s="19"/>
      <c r="Y1331" s="19"/>
      <c r="Z1331" s="19"/>
      <c r="AA1331" s="19"/>
      <c r="AB1331" s="19"/>
      <c r="AC1331" s="19"/>
    </row>
    <row r="1332" spans="2:29" x14ac:dyDescent="0.25">
      <c r="B1332" s="19"/>
      <c r="C1332" s="19"/>
      <c r="D1332" s="19"/>
      <c r="E1332" s="19"/>
      <c r="F1332" s="19"/>
      <c r="G1332" s="19"/>
      <c r="H1332" s="19"/>
      <c r="I1332" s="19"/>
      <c r="J1332" s="19"/>
      <c r="K1332" s="19"/>
      <c r="L1332" s="19"/>
      <c r="M1332" s="19"/>
      <c r="N1332" s="19"/>
      <c r="O1332" s="19"/>
      <c r="P1332" s="19"/>
      <c r="Q1332" s="19"/>
      <c r="R1332" s="19"/>
      <c r="S1332" s="19"/>
      <c r="T1332" s="19"/>
      <c r="U1332" s="19"/>
      <c r="V1332" s="19"/>
      <c r="W1332" s="19"/>
      <c r="X1332" s="19"/>
      <c r="Y1332" s="19"/>
      <c r="Z1332" s="19"/>
      <c r="AA1332" s="19"/>
      <c r="AB1332" s="19"/>
      <c r="AC1332" s="19"/>
    </row>
    <row r="1333" spans="2:29" x14ac:dyDescent="0.25">
      <c r="B1333" s="19"/>
      <c r="C1333" s="19"/>
      <c r="D1333" s="19"/>
      <c r="E1333" s="19"/>
      <c r="F1333" s="19"/>
      <c r="G1333" s="19"/>
      <c r="H1333" s="19"/>
      <c r="I1333" s="19"/>
      <c r="J1333" s="19"/>
      <c r="K1333" s="19"/>
      <c r="L1333" s="19"/>
      <c r="M1333" s="19"/>
      <c r="N1333" s="19"/>
      <c r="O1333" s="19"/>
      <c r="P1333" s="19"/>
      <c r="Q1333" s="19"/>
      <c r="R1333" s="19"/>
      <c r="S1333" s="19"/>
      <c r="T1333" s="19"/>
      <c r="U1333" s="19"/>
      <c r="V1333" s="19"/>
      <c r="W1333" s="19"/>
      <c r="X1333" s="19"/>
      <c r="Y1333" s="19"/>
      <c r="Z1333" s="19"/>
      <c r="AA1333" s="19"/>
      <c r="AB1333" s="19"/>
      <c r="AC1333" s="19"/>
    </row>
    <row r="1334" spans="2:29" x14ac:dyDescent="0.25">
      <c r="B1334" s="19"/>
      <c r="C1334" s="19"/>
      <c r="D1334" s="19"/>
      <c r="E1334" s="19"/>
      <c r="F1334" s="19"/>
      <c r="G1334" s="19"/>
      <c r="H1334" s="19"/>
      <c r="I1334" s="19"/>
      <c r="J1334" s="19"/>
      <c r="K1334" s="19"/>
      <c r="L1334" s="19"/>
      <c r="M1334" s="19"/>
      <c r="N1334" s="19"/>
      <c r="O1334" s="19"/>
      <c r="P1334" s="19"/>
      <c r="Q1334" s="19"/>
      <c r="R1334" s="19"/>
      <c r="S1334" s="19"/>
      <c r="T1334" s="19"/>
      <c r="U1334" s="19"/>
      <c r="V1334" s="19"/>
      <c r="W1334" s="19"/>
      <c r="X1334" s="19"/>
      <c r="Y1334" s="19"/>
      <c r="Z1334" s="19"/>
      <c r="AA1334" s="19"/>
      <c r="AB1334" s="19"/>
      <c r="AC1334" s="19"/>
    </row>
    <row r="1335" spans="2:29" x14ac:dyDescent="0.25">
      <c r="B1335" s="19"/>
      <c r="C1335" s="19"/>
      <c r="D1335" s="19"/>
      <c r="E1335" s="19"/>
      <c r="F1335" s="19"/>
      <c r="G1335" s="19"/>
      <c r="H1335" s="19"/>
      <c r="I1335" s="19"/>
      <c r="J1335" s="19"/>
      <c r="K1335" s="19"/>
      <c r="L1335" s="19"/>
      <c r="M1335" s="19"/>
      <c r="N1335" s="19"/>
      <c r="O1335" s="19"/>
      <c r="P1335" s="19"/>
      <c r="Q1335" s="19"/>
      <c r="R1335" s="19"/>
      <c r="S1335" s="19"/>
      <c r="T1335" s="19"/>
      <c r="U1335" s="19"/>
      <c r="V1335" s="19"/>
      <c r="W1335" s="19"/>
      <c r="X1335" s="19"/>
      <c r="Y1335" s="19"/>
      <c r="Z1335" s="19"/>
      <c r="AA1335" s="19"/>
      <c r="AB1335" s="19"/>
      <c r="AC1335" s="19"/>
    </row>
    <row r="1336" spans="2:29" x14ac:dyDescent="0.25">
      <c r="B1336" s="19"/>
      <c r="C1336" s="19"/>
      <c r="D1336" s="19"/>
      <c r="E1336" s="19"/>
      <c r="F1336" s="19"/>
      <c r="G1336" s="19"/>
      <c r="H1336" s="19"/>
      <c r="I1336" s="19"/>
      <c r="J1336" s="19"/>
      <c r="K1336" s="19"/>
      <c r="L1336" s="19"/>
      <c r="M1336" s="19"/>
      <c r="N1336" s="19"/>
      <c r="O1336" s="19"/>
      <c r="P1336" s="19"/>
      <c r="Q1336" s="19"/>
      <c r="R1336" s="19"/>
      <c r="S1336" s="19"/>
      <c r="T1336" s="19"/>
      <c r="U1336" s="19"/>
      <c r="V1336" s="19"/>
      <c r="W1336" s="19"/>
      <c r="X1336" s="19"/>
      <c r="Y1336" s="19"/>
      <c r="Z1336" s="19"/>
      <c r="AA1336" s="19"/>
      <c r="AB1336" s="19"/>
      <c r="AC1336" s="19"/>
    </row>
    <row r="1337" spans="2:29" x14ac:dyDescent="0.25">
      <c r="B1337" s="19"/>
      <c r="C1337" s="19"/>
      <c r="D1337" s="19"/>
      <c r="E1337" s="19"/>
      <c r="F1337" s="19"/>
      <c r="G1337" s="19"/>
      <c r="H1337" s="19"/>
      <c r="I1337" s="19"/>
      <c r="J1337" s="19"/>
      <c r="K1337" s="19"/>
      <c r="L1337" s="19"/>
      <c r="M1337" s="19"/>
      <c r="N1337" s="19"/>
      <c r="O1337" s="19"/>
      <c r="P1337" s="19"/>
      <c r="Q1337" s="19"/>
      <c r="R1337" s="19"/>
      <c r="S1337" s="19"/>
      <c r="T1337" s="19"/>
      <c r="U1337" s="19"/>
      <c r="V1337" s="19"/>
      <c r="W1337" s="19"/>
      <c r="X1337" s="19"/>
      <c r="Y1337" s="19"/>
      <c r="Z1337" s="19"/>
      <c r="AA1337" s="19"/>
      <c r="AB1337" s="19"/>
      <c r="AC1337" s="19"/>
    </row>
    <row r="1338" spans="2:29" x14ac:dyDescent="0.25">
      <c r="B1338" s="19"/>
      <c r="C1338" s="19"/>
      <c r="D1338" s="19"/>
      <c r="E1338" s="19"/>
      <c r="F1338" s="19"/>
      <c r="G1338" s="19"/>
      <c r="H1338" s="19"/>
      <c r="I1338" s="19"/>
      <c r="J1338" s="19"/>
      <c r="K1338" s="19"/>
      <c r="L1338" s="19"/>
      <c r="M1338" s="19"/>
      <c r="N1338" s="19"/>
      <c r="O1338" s="19"/>
      <c r="P1338" s="19"/>
      <c r="Q1338" s="19"/>
      <c r="R1338" s="19"/>
      <c r="S1338" s="19"/>
      <c r="T1338" s="19"/>
      <c r="U1338" s="19"/>
      <c r="V1338" s="19"/>
      <c r="W1338" s="19"/>
      <c r="X1338" s="19"/>
      <c r="Y1338" s="19"/>
      <c r="Z1338" s="19"/>
      <c r="AA1338" s="19"/>
      <c r="AB1338" s="19"/>
      <c r="AC1338" s="19"/>
    </row>
    <row r="1339" spans="2:29" x14ac:dyDescent="0.25">
      <c r="B1339" s="19"/>
      <c r="C1339" s="19"/>
      <c r="D1339" s="19"/>
      <c r="E1339" s="19"/>
      <c r="F1339" s="19"/>
      <c r="G1339" s="19"/>
      <c r="H1339" s="19"/>
      <c r="I1339" s="19"/>
      <c r="J1339" s="19"/>
      <c r="K1339" s="19"/>
      <c r="L1339" s="19"/>
      <c r="M1339" s="19"/>
      <c r="N1339" s="19"/>
      <c r="O1339" s="19"/>
      <c r="P1339" s="19"/>
      <c r="Q1339" s="19"/>
      <c r="R1339" s="19"/>
      <c r="S1339" s="19"/>
      <c r="T1339" s="19"/>
      <c r="U1339" s="19"/>
      <c r="V1339" s="19"/>
      <c r="W1339" s="19"/>
      <c r="X1339" s="19"/>
      <c r="Y1339" s="19"/>
      <c r="Z1339" s="19"/>
      <c r="AA1339" s="19"/>
      <c r="AB1339" s="19"/>
      <c r="AC1339" s="19"/>
    </row>
    <row r="1340" spans="2:29" x14ac:dyDescent="0.25">
      <c r="B1340" s="19"/>
      <c r="C1340" s="19"/>
      <c r="D1340" s="19"/>
      <c r="E1340" s="19"/>
      <c r="F1340" s="19"/>
      <c r="G1340" s="19"/>
      <c r="H1340" s="19"/>
      <c r="I1340" s="19"/>
      <c r="J1340" s="19"/>
      <c r="K1340" s="19"/>
      <c r="L1340" s="19"/>
      <c r="M1340" s="19"/>
      <c r="N1340" s="19"/>
      <c r="O1340" s="19"/>
      <c r="P1340" s="19"/>
      <c r="Q1340" s="19"/>
      <c r="R1340" s="19"/>
      <c r="S1340" s="19"/>
      <c r="T1340" s="19"/>
      <c r="U1340" s="19"/>
      <c r="V1340" s="19"/>
      <c r="W1340" s="19"/>
      <c r="X1340" s="19"/>
      <c r="Y1340" s="19"/>
      <c r="Z1340" s="19"/>
      <c r="AA1340" s="19"/>
      <c r="AB1340" s="19"/>
      <c r="AC1340" s="19"/>
    </row>
    <row r="1341" spans="2:29" x14ac:dyDescent="0.25">
      <c r="B1341" s="19"/>
      <c r="C1341" s="19"/>
      <c r="D1341" s="19"/>
      <c r="E1341" s="19"/>
      <c r="F1341" s="19"/>
      <c r="G1341" s="19"/>
      <c r="H1341" s="19"/>
      <c r="I1341" s="19"/>
      <c r="J1341" s="19"/>
      <c r="K1341" s="19"/>
      <c r="L1341" s="19"/>
      <c r="M1341" s="19"/>
      <c r="N1341" s="19"/>
      <c r="O1341" s="19"/>
      <c r="P1341" s="19"/>
      <c r="Q1341" s="19"/>
      <c r="R1341" s="19"/>
      <c r="S1341" s="19"/>
      <c r="T1341" s="19"/>
      <c r="U1341" s="19"/>
      <c r="V1341" s="19"/>
      <c r="W1341" s="19"/>
      <c r="X1341" s="19"/>
      <c r="Y1341" s="19"/>
      <c r="Z1341" s="19"/>
      <c r="AA1341" s="19"/>
      <c r="AB1341" s="19"/>
      <c r="AC1341" s="19"/>
    </row>
    <row r="1342" spans="2:29" x14ac:dyDescent="0.25">
      <c r="B1342" s="19"/>
      <c r="C1342" s="19"/>
      <c r="D1342" s="19"/>
      <c r="E1342" s="19"/>
      <c r="F1342" s="19"/>
      <c r="G1342" s="19"/>
      <c r="H1342" s="19"/>
      <c r="I1342" s="19"/>
      <c r="J1342" s="19"/>
      <c r="K1342" s="19"/>
      <c r="L1342" s="19"/>
      <c r="M1342" s="19"/>
      <c r="N1342" s="19"/>
      <c r="O1342" s="19"/>
      <c r="P1342" s="19"/>
      <c r="Q1342" s="19"/>
      <c r="R1342" s="19"/>
      <c r="S1342" s="19"/>
      <c r="T1342" s="19"/>
      <c r="U1342" s="19"/>
      <c r="V1342" s="19"/>
      <c r="W1342" s="19"/>
      <c r="X1342" s="19"/>
      <c r="Y1342" s="19"/>
      <c r="Z1342" s="19"/>
      <c r="AA1342" s="19"/>
      <c r="AB1342" s="19"/>
      <c r="AC1342" s="19"/>
    </row>
    <row r="1343" spans="2:29" x14ac:dyDescent="0.25">
      <c r="B1343" s="19"/>
      <c r="C1343" s="19"/>
      <c r="D1343" s="19"/>
      <c r="E1343" s="19"/>
      <c r="F1343" s="19"/>
      <c r="G1343" s="19"/>
      <c r="H1343" s="19"/>
      <c r="I1343" s="19"/>
      <c r="J1343" s="19"/>
      <c r="K1343" s="19"/>
      <c r="L1343" s="19"/>
      <c r="M1343" s="19"/>
      <c r="N1343" s="19"/>
      <c r="O1343" s="19"/>
      <c r="P1343" s="19"/>
      <c r="Q1343" s="19"/>
      <c r="R1343" s="19"/>
      <c r="S1343" s="19"/>
      <c r="T1343" s="19"/>
      <c r="U1343" s="19"/>
      <c r="V1343" s="19"/>
      <c r="W1343" s="19"/>
      <c r="X1343" s="19"/>
      <c r="Y1343" s="19"/>
      <c r="Z1343" s="19"/>
      <c r="AA1343" s="19"/>
      <c r="AB1343" s="19"/>
      <c r="AC1343" s="19"/>
    </row>
    <row r="1344" spans="2:29" x14ac:dyDescent="0.25">
      <c r="B1344" s="19"/>
      <c r="C1344" s="19"/>
      <c r="D1344" s="19"/>
      <c r="E1344" s="19"/>
      <c r="F1344" s="19"/>
      <c r="G1344" s="19"/>
      <c r="H1344" s="19"/>
      <c r="I1344" s="19"/>
      <c r="J1344" s="19"/>
      <c r="K1344" s="19"/>
      <c r="L1344" s="19"/>
      <c r="M1344" s="19"/>
      <c r="N1344" s="19"/>
      <c r="O1344" s="19"/>
      <c r="P1344" s="19"/>
      <c r="Q1344" s="19"/>
      <c r="R1344" s="19"/>
      <c r="S1344" s="19"/>
      <c r="T1344" s="19"/>
      <c r="U1344" s="19"/>
      <c r="V1344" s="19"/>
      <c r="W1344" s="19"/>
      <c r="X1344" s="19"/>
      <c r="Y1344" s="19"/>
      <c r="Z1344" s="19"/>
      <c r="AA1344" s="19"/>
      <c r="AB1344" s="19"/>
      <c r="AC1344" s="19"/>
    </row>
    <row r="1345" spans="2:29" x14ac:dyDescent="0.25">
      <c r="B1345" s="19"/>
      <c r="C1345" s="19"/>
      <c r="D1345" s="19"/>
      <c r="E1345" s="19"/>
      <c r="F1345" s="19"/>
      <c r="G1345" s="19"/>
      <c r="H1345" s="19"/>
      <c r="I1345" s="19"/>
      <c r="J1345" s="19"/>
      <c r="K1345" s="19"/>
      <c r="L1345" s="19"/>
      <c r="M1345" s="19"/>
      <c r="N1345" s="19"/>
      <c r="O1345" s="19"/>
      <c r="P1345" s="19"/>
      <c r="Q1345" s="19"/>
      <c r="R1345" s="19"/>
      <c r="S1345" s="19"/>
      <c r="T1345" s="19"/>
      <c r="U1345" s="19"/>
      <c r="V1345" s="19"/>
      <c r="W1345" s="19"/>
      <c r="X1345" s="19"/>
      <c r="Y1345" s="19"/>
      <c r="Z1345" s="19"/>
      <c r="AA1345" s="19"/>
      <c r="AB1345" s="19"/>
      <c r="AC1345" s="19"/>
    </row>
    <row r="1346" spans="2:29" x14ac:dyDescent="0.25">
      <c r="B1346" s="19"/>
      <c r="C1346" s="19"/>
      <c r="D1346" s="19"/>
      <c r="E1346" s="19"/>
      <c r="F1346" s="19"/>
      <c r="G1346" s="19"/>
      <c r="H1346" s="19"/>
      <c r="I1346" s="19"/>
      <c r="J1346" s="19"/>
      <c r="K1346" s="19"/>
      <c r="L1346" s="19"/>
      <c r="M1346" s="19"/>
      <c r="N1346" s="19"/>
      <c r="O1346" s="19"/>
      <c r="P1346" s="19"/>
      <c r="Q1346" s="19"/>
      <c r="R1346" s="19"/>
      <c r="S1346" s="19"/>
      <c r="T1346" s="19"/>
      <c r="U1346" s="19"/>
      <c r="V1346" s="19"/>
      <c r="W1346" s="19"/>
      <c r="X1346" s="19"/>
      <c r="Y1346" s="19"/>
      <c r="Z1346" s="19"/>
      <c r="AA1346" s="19"/>
      <c r="AB1346" s="19"/>
      <c r="AC1346" s="19"/>
    </row>
    <row r="1347" spans="2:29" x14ac:dyDescent="0.25">
      <c r="B1347" s="19"/>
      <c r="C1347" s="19"/>
      <c r="D1347" s="19"/>
      <c r="E1347" s="19"/>
      <c r="F1347" s="19"/>
      <c r="G1347" s="19"/>
      <c r="H1347" s="19"/>
      <c r="I1347" s="19"/>
      <c r="J1347" s="19"/>
      <c r="K1347" s="19"/>
      <c r="L1347" s="19"/>
      <c r="M1347" s="19"/>
      <c r="N1347" s="19"/>
      <c r="O1347" s="19"/>
      <c r="P1347" s="19"/>
      <c r="Q1347" s="19"/>
      <c r="R1347" s="19"/>
      <c r="S1347" s="19"/>
      <c r="T1347" s="19"/>
      <c r="U1347" s="19"/>
      <c r="V1347" s="19"/>
      <c r="W1347" s="19"/>
      <c r="X1347" s="19"/>
      <c r="Y1347" s="19"/>
      <c r="Z1347" s="19"/>
      <c r="AA1347" s="19"/>
      <c r="AB1347" s="19"/>
      <c r="AC1347" s="19"/>
    </row>
    <row r="1348" spans="2:29" x14ac:dyDescent="0.25">
      <c r="B1348" s="19"/>
      <c r="C1348" s="19"/>
      <c r="D1348" s="19"/>
      <c r="E1348" s="19"/>
      <c r="F1348" s="19"/>
      <c r="G1348" s="19"/>
      <c r="H1348" s="19"/>
      <c r="I1348" s="19"/>
      <c r="J1348" s="19"/>
      <c r="K1348" s="19"/>
      <c r="L1348" s="19"/>
      <c r="M1348" s="19"/>
      <c r="N1348" s="19"/>
      <c r="O1348" s="19"/>
      <c r="P1348" s="19"/>
      <c r="Q1348" s="19"/>
      <c r="R1348" s="19"/>
      <c r="S1348" s="19"/>
      <c r="T1348" s="19"/>
      <c r="U1348" s="19"/>
      <c r="V1348" s="19"/>
      <c r="W1348" s="19"/>
      <c r="X1348" s="19"/>
      <c r="Y1348" s="19"/>
      <c r="Z1348" s="19"/>
      <c r="AA1348" s="19"/>
      <c r="AB1348" s="19"/>
      <c r="AC1348" s="19"/>
    </row>
    <row r="1349" spans="2:29" x14ac:dyDescent="0.25">
      <c r="B1349" s="19"/>
      <c r="C1349" s="19"/>
      <c r="D1349" s="19"/>
      <c r="E1349" s="19"/>
      <c r="F1349" s="19"/>
      <c r="G1349" s="19"/>
      <c r="H1349" s="19"/>
      <c r="I1349" s="19"/>
      <c r="J1349" s="19"/>
      <c r="K1349" s="19"/>
      <c r="L1349" s="19"/>
      <c r="M1349" s="19"/>
      <c r="N1349" s="19"/>
      <c r="O1349" s="19"/>
      <c r="P1349" s="19"/>
      <c r="Q1349" s="19"/>
      <c r="R1349" s="19"/>
      <c r="S1349" s="19"/>
      <c r="T1349" s="19"/>
      <c r="U1349" s="19"/>
      <c r="V1349" s="19"/>
      <c r="W1349" s="19"/>
      <c r="X1349" s="19"/>
      <c r="Y1349" s="19"/>
      <c r="Z1349" s="19"/>
      <c r="AA1349" s="19"/>
      <c r="AB1349" s="19"/>
      <c r="AC1349" s="19"/>
    </row>
    <row r="1350" spans="2:29" x14ac:dyDescent="0.25">
      <c r="B1350" s="19"/>
      <c r="C1350" s="19"/>
      <c r="D1350" s="19"/>
      <c r="E1350" s="19"/>
      <c r="F1350" s="19"/>
      <c r="G1350" s="19"/>
      <c r="H1350" s="19"/>
      <c r="I1350" s="19"/>
      <c r="J1350" s="19"/>
      <c r="K1350" s="19"/>
      <c r="L1350" s="19"/>
      <c r="M1350" s="19"/>
      <c r="N1350" s="19"/>
      <c r="O1350" s="19"/>
      <c r="P1350" s="19"/>
      <c r="Q1350" s="19"/>
      <c r="R1350" s="19"/>
      <c r="S1350" s="19"/>
      <c r="T1350" s="19"/>
      <c r="U1350" s="19"/>
      <c r="V1350" s="19"/>
      <c r="W1350" s="19"/>
      <c r="X1350" s="19"/>
      <c r="Y1350" s="19"/>
      <c r="Z1350" s="19"/>
      <c r="AA1350" s="19"/>
      <c r="AB1350" s="19"/>
      <c r="AC1350" s="19"/>
    </row>
    <row r="1351" spans="2:29" x14ac:dyDescent="0.25">
      <c r="B1351" s="19"/>
      <c r="C1351" s="19"/>
      <c r="D1351" s="19"/>
      <c r="E1351" s="19"/>
      <c r="F1351" s="19"/>
      <c r="G1351" s="19"/>
      <c r="H1351" s="19"/>
      <c r="I1351" s="19"/>
      <c r="J1351" s="19"/>
      <c r="K1351" s="19"/>
      <c r="L1351" s="19"/>
      <c r="M1351" s="19"/>
      <c r="N1351" s="19"/>
      <c r="O1351" s="19"/>
      <c r="P1351" s="19"/>
      <c r="Q1351" s="19"/>
      <c r="R1351" s="19"/>
      <c r="S1351" s="19"/>
      <c r="T1351" s="19"/>
      <c r="U1351" s="19"/>
      <c r="V1351" s="19"/>
      <c r="W1351" s="19"/>
      <c r="X1351" s="19"/>
      <c r="Y1351" s="19"/>
      <c r="Z1351" s="19"/>
      <c r="AA1351" s="19"/>
      <c r="AB1351" s="19"/>
      <c r="AC1351" s="19"/>
    </row>
    <row r="1352" spans="2:29" x14ac:dyDescent="0.25">
      <c r="B1352" s="19"/>
      <c r="C1352" s="19"/>
      <c r="D1352" s="19"/>
      <c r="E1352" s="19"/>
      <c r="F1352" s="19"/>
      <c r="G1352" s="19"/>
      <c r="H1352" s="19"/>
      <c r="I1352" s="19"/>
      <c r="J1352" s="19"/>
      <c r="K1352" s="19"/>
      <c r="L1352" s="19"/>
      <c r="M1352" s="19"/>
      <c r="N1352" s="19"/>
      <c r="O1352" s="19"/>
      <c r="P1352" s="19"/>
      <c r="Q1352" s="19"/>
      <c r="R1352" s="19"/>
      <c r="S1352" s="19"/>
      <c r="T1352" s="19"/>
      <c r="U1352" s="19"/>
      <c r="V1352" s="19"/>
      <c r="W1352" s="19"/>
      <c r="X1352" s="19"/>
      <c r="Y1352" s="19"/>
      <c r="Z1352" s="19"/>
      <c r="AA1352" s="19"/>
      <c r="AB1352" s="19"/>
      <c r="AC1352" s="19"/>
    </row>
    <row r="1353" spans="2:29" x14ac:dyDescent="0.25">
      <c r="B1353" s="19"/>
      <c r="C1353" s="19"/>
      <c r="D1353" s="19"/>
      <c r="E1353" s="19"/>
      <c r="F1353" s="19"/>
      <c r="G1353" s="19"/>
      <c r="H1353" s="19"/>
      <c r="I1353" s="19"/>
      <c r="J1353" s="19"/>
      <c r="K1353" s="19"/>
      <c r="L1353" s="19"/>
      <c r="M1353" s="19"/>
      <c r="N1353" s="19"/>
      <c r="O1353" s="19"/>
      <c r="P1353" s="19"/>
      <c r="Q1353" s="19"/>
      <c r="R1353" s="19"/>
      <c r="S1353" s="19"/>
      <c r="T1353" s="19"/>
      <c r="U1353" s="19"/>
      <c r="V1353" s="19"/>
      <c r="W1353" s="19"/>
      <c r="X1353" s="19"/>
      <c r="Y1353" s="19"/>
      <c r="Z1353" s="19"/>
      <c r="AA1353" s="19"/>
      <c r="AB1353" s="19"/>
      <c r="AC1353" s="19"/>
    </row>
    <row r="1354" spans="2:29" x14ac:dyDescent="0.25">
      <c r="B1354" s="19"/>
      <c r="C1354" s="19"/>
      <c r="D1354" s="19"/>
      <c r="E1354" s="19"/>
      <c r="F1354" s="19"/>
      <c r="G1354" s="19"/>
      <c r="H1354" s="19"/>
      <c r="I1354" s="19"/>
      <c r="J1354" s="19"/>
      <c r="K1354" s="19"/>
      <c r="L1354" s="19"/>
      <c r="M1354" s="19"/>
      <c r="N1354" s="19"/>
      <c r="O1354" s="19"/>
      <c r="P1354" s="19"/>
      <c r="Q1354" s="19"/>
      <c r="R1354" s="19"/>
      <c r="S1354" s="19"/>
      <c r="T1354" s="19"/>
      <c r="U1354" s="19"/>
      <c r="V1354" s="19"/>
      <c r="W1354" s="19"/>
      <c r="X1354" s="19"/>
      <c r="Y1354" s="19"/>
      <c r="Z1354" s="19"/>
      <c r="AA1354" s="19"/>
      <c r="AB1354" s="19"/>
      <c r="AC1354" s="19"/>
    </row>
    <row r="1355" spans="2:29" x14ac:dyDescent="0.25">
      <c r="B1355" s="19"/>
      <c r="C1355" s="19"/>
      <c r="D1355" s="19"/>
      <c r="E1355" s="19"/>
      <c r="F1355" s="19"/>
      <c r="G1355" s="19"/>
      <c r="H1355" s="19"/>
      <c r="I1355" s="19"/>
      <c r="J1355" s="19"/>
      <c r="K1355" s="19"/>
      <c r="L1355" s="19"/>
      <c r="M1355" s="19"/>
      <c r="N1355" s="19"/>
      <c r="O1355" s="19"/>
      <c r="P1355" s="19"/>
      <c r="Q1355" s="19"/>
      <c r="R1355" s="19"/>
      <c r="S1355" s="19"/>
      <c r="T1355" s="19"/>
      <c r="U1355" s="19"/>
      <c r="V1355" s="19"/>
      <c r="W1355" s="19"/>
      <c r="X1355" s="19"/>
      <c r="Y1355" s="19"/>
      <c r="Z1355" s="19"/>
      <c r="AA1355" s="19"/>
      <c r="AB1355" s="19"/>
      <c r="AC1355" s="19"/>
    </row>
    <row r="1356" spans="2:29" x14ac:dyDescent="0.25">
      <c r="B1356" s="19"/>
      <c r="C1356" s="19"/>
      <c r="D1356" s="19"/>
      <c r="E1356" s="19"/>
      <c r="F1356" s="19"/>
      <c r="G1356" s="19"/>
      <c r="H1356" s="19"/>
      <c r="I1356" s="19"/>
      <c r="J1356" s="19"/>
      <c r="K1356" s="19"/>
      <c r="L1356" s="19"/>
      <c r="M1356" s="19"/>
      <c r="N1356" s="19"/>
      <c r="O1356" s="19"/>
      <c r="P1356" s="19"/>
      <c r="Q1356" s="19"/>
      <c r="R1356" s="19"/>
      <c r="S1356" s="19"/>
      <c r="T1356" s="19"/>
      <c r="U1356" s="19"/>
      <c r="V1356" s="19"/>
      <c r="W1356" s="19"/>
      <c r="X1356" s="19"/>
      <c r="Y1356" s="19"/>
      <c r="Z1356" s="19"/>
      <c r="AA1356" s="19"/>
      <c r="AB1356" s="19"/>
      <c r="AC1356" s="19"/>
    </row>
    <row r="1357" spans="2:29" x14ac:dyDescent="0.25">
      <c r="B1357" s="19"/>
      <c r="C1357" s="19"/>
      <c r="D1357" s="19"/>
      <c r="E1357" s="19"/>
      <c r="F1357" s="19"/>
      <c r="G1357" s="19"/>
      <c r="H1357" s="19"/>
      <c r="I1357" s="19"/>
      <c r="J1357" s="19"/>
      <c r="K1357" s="19"/>
      <c r="L1357" s="19"/>
      <c r="M1357" s="19"/>
      <c r="N1357" s="19"/>
      <c r="O1357" s="19"/>
      <c r="P1357" s="19"/>
      <c r="Q1357" s="19"/>
      <c r="R1357" s="19"/>
      <c r="S1357" s="19"/>
      <c r="T1357" s="19"/>
      <c r="U1357" s="19"/>
      <c r="V1357" s="19"/>
      <c r="W1357" s="19"/>
      <c r="X1357" s="19"/>
      <c r="Y1357" s="19"/>
      <c r="Z1357" s="19"/>
      <c r="AA1357" s="19"/>
      <c r="AB1357" s="19"/>
      <c r="AC1357" s="19"/>
    </row>
    <row r="1358" spans="2:29" x14ac:dyDescent="0.25">
      <c r="B1358" s="19"/>
      <c r="C1358" s="19"/>
      <c r="D1358" s="19"/>
      <c r="E1358" s="19"/>
      <c r="F1358" s="19"/>
      <c r="G1358" s="19"/>
      <c r="H1358" s="19"/>
      <c r="I1358" s="19"/>
      <c r="J1358" s="19"/>
      <c r="K1358" s="19"/>
      <c r="L1358" s="19"/>
      <c r="M1358" s="19"/>
      <c r="N1358" s="19"/>
      <c r="O1358" s="19"/>
      <c r="P1358" s="19"/>
      <c r="Q1358" s="19"/>
      <c r="R1358" s="19"/>
      <c r="S1358" s="19"/>
      <c r="T1358" s="19"/>
      <c r="U1358" s="19"/>
      <c r="V1358" s="19"/>
      <c r="W1358" s="19"/>
      <c r="X1358" s="19"/>
      <c r="Y1358" s="19"/>
      <c r="Z1358" s="19"/>
      <c r="AA1358" s="19"/>
      <c r="AB1358" s="19"/>
      <c r="AC1358" s="19"/>
    </row>
    <row r="1359" spans="2:29" x14ac:dyDescent="0.25">
      <c r="B1359" s="19"/>
      <c r="C1359" s="19"/>
      <c r="D1359" s="19"/>
      <c r="E1359" s="19"/>
      <c r="F1359" s="19"/>
      <c r="G1359" s="19"/>
      <c r="H1359" s="19"/>
      <c r="I1359" s="19"/>
      <c r="J1359" s="19"/>
      <c r="K1359" s="19"/>
      <c r="L1359" s="19"/>
      <c r="M1359" s="19"/>
      <c r="N1359" s="19"/>
      <c r="O1359" s="19"/>
      <c r="P1359" s="19"/>
      <c r="Q1359" s="19"/>
      <c r="R1359" s="19"/>
      <c r="S1359" s="19"/>
      <c r="T1359" s="19"/>
      <c r="U1359" s="19"/>
      <c r="V1359" s="19"/>
      <c r="W1359" s="19"/>
      <c r="X1359" s="19"/>
      <c r="Y1359" s="19"/>
      <c r="Z1359" s="19"/>
      <c r="AA1359" s="19"/>
      <c r="AB1359" s="19"/>
      <c r="AC1359" s="19"/>
    </row>
    <row r="1360" spans="2:29" x14ac:dyDescent="0.25">
      <c r="B1360" s="19"/>
      <c r="C1360" s="19"/>
      <c r="D1360" s="19"/>
      <c r="E1360" s="19"/>
      <c r="F1360" s="19"/>
      <c r="G1360" s="19"/>
      <c r="H1360" s="19"/>
      <c r="I1360" s="19"/>
      <c r="J1360" s="19"/>
      <c r="K1360" s="19"/>
      <c r="L1360" s="19"/>
      <c r="M1360" s="19"/>
      <c r="N1360" s="19"/>
      <c r="O1360" s="19"/>
      <c r="P1360" s="19"/>
      <c r="Q1360" s="19"/>
      <c r="R1360" s="19"/>
      <c r="S1360" s="19"/>
      <c r="T1360" s="19"/>
      <c r="U1360" s="19"/>
      <c r="V1360" s="19"/>
      <c r="W1360" s="19"/>
      <c r="X1360" s="19"/>
      <c r="Y1360" s="19"/>
      <c r="Z1360" s="19"/>
      <c r="AA1360" s="19"/>
      <c r="AB1360" s="19"/>
      <c r="AC1360" s="19"/>
    </row>
    <row r="1361" spans="2:29" x14ac:dyDescent="0.25">
      <c r="B1361" s="19"/>
      <c r="C1361" s="19"/>
      <c r="D1361" s="19"/>
      <c r="E1361" s="19"/>
      <c r="F1361" s="19"/>
      <c r="G1361" s="19"/>
      <c r="H1361" s="19"/>
      <c r="I1361" s="19"/>
      <c r="J1361" s="19"/>
      <c r="K1361" s="19"/>
      <c r="L1361" s="19"/>
      <c r="M1361" s="19"/>
      <c r="N1361" s="19"/>
      <c r="O1361" s="19"/>
      <c r="P1361" s="19"/>
      <c r="Q1361" s="19"/>
      <c r="R1361" s="19"/>
      <c r="S1361" s="19"/>
      <c r="T1361" s="19"/>
      <c r="U1361" s="19"/>
      <c r="V1361" s="19"/>
      <c r="W1361" s="19"/>
      <c r="X1361" s="19"/>
      <c r="Y1361" s="19"/>
      <c r="Z1361" s="19"/>
      <c r="AA1361" s="19"/>
      <c r="AB1361" s="19"/>
      <c r="AC1361" s="19"/>
    </row>
    <row r="1362" spans="2:29" x14ac:dyDescent="0.25">
      <c r="B1362" s="19"/>
      <c r="C1362" s="19"/>
      <c r="D1362" s="19"/>
      <c r="E1362" s="19"/>
      <c r="F1362" s="19"/>
      <c r="G1362" s="19"/>
      <c r="H1362" s="19"/>
      <c r="I1362" s="19"/>
      <c r="J1362" s="19"/>
      <c r="K1362" s="19"/>
      <c r="L1362" s="19"/>
      <c r="M1362" s="19"/>
      <c r="N1362" s="19"/>
      <c r="O1362" s="19"/>
      <c r="P1362" s="19"/>
      <c r="Q1362" s="19"/>
      <c r="R1362" s="19"/>
      <c r="S1362" s="19"/>
      <c r="T1362" s="19"/>
      <c r="U1362" s="19"/>
      <c r="V1362" s="19"/>
      <c r="W1362" s="19"/>
      <c r="X1362" s="19"/>
      <c r="Y1362" s="19"/>
      <c r="Z1362" s="19"/>
      <c r="AA1362" s="19"/>
      <c r="AB1362" s="19"/>
      <c r="AC1362" s="19"/>
    </row>
    <row r="1363" spans="2:29" x14ac:dyDescent="0.25">
      <c r="B1363" s="19"/>
      <c r="C1363" s="19"/>
      <c r="D1363" s="19"/>
      <c r="E1363" s="19"/>
      <c r="F1363" s="19"/>
      <c r="G1363" s="19"/>
      <c r="H1363" s="19"/>
      <c r="I1363" s="19"/>
      <c r="J1363" s="19"/>
      <c r="K1363" s="19"/>
      <c r="L1363" s="19"/>
      <c r="M1363" s="19"/>
      <c r="N1363" s="19"/>
      <c r="O1363" s="19"/>
      <c r="P1363" s="19"/>
      <c r="Q1363" s="19"/>
      <c r="R1363" s="19"/>
      <c r="S1363" s="19"/>
      <c r="T1363" s="19"/>
      <c r="U1363" s="19"/>
      <c r="V1363" s="19"/>
      <c r="W1363" s="19"/>
      <c r="X1363" s="19"/>
      <c r="Y1363" s="19"/>
      <c r="Z1363" s="19"/>
      <c r="AA1363" s="19"/>
      <c r="AB1363" s="19"/>
      <c r="AC1363" s="19"/>
    </row>
    <row r="1364" spans="2:29" x14ac:dyDescent="0.25">
      <c r="B1364" s="19"/>
      <c r="C1364" s="19"/>
      <c r="D1364" s="19"/>
      <c r="E1364" s="19"/>
      <c r="F1364" s="19"/>
      <c r="G1364" s="19"/>
      <c r="H1364" s="19"/>
      <c r="I1364" s="19"/>
      <c r="J1364" s="19"/>
      <c r="K1364" s="19"/>
      <c r="L1364" s="19"/>
      <c r="M1364" s="19"/>
      <c r="N1364" s="19"/>
      <c r="O1364" s="19"/>
      <c r="P1364" s="19"/>
      <c r="Q1364" s="19"/>
      <c r="R1364" s="19"/>
      <c r="S1364" s="19"/>
      <c r="T1364" s="19"/>
      <c r="U1364" s="19"/>
      <c r="V1364" s="19"/>
      <c r="W1364" s="19"/>
      <c r="X1364" s="19"/>
      <c r="Y1364" s="19"/>
      <c r="Z1364" s="19"/>
      <c r="AA1364" s="19"/>
      <c r="AB1364" s="19"/>
      <c r="AC1364" s="19"/>
    </row>
    <row r="1365" spans="2:29" x14ac:dyDescent="0.25">
      <c r="B1365" s="19"/>
      <c r="C1365" s="19"/>
      <c r="D1365" s="19"/>
      <c r="E1365" s="19"/>
      <c r="F1365" s="19"/>
      <c r="G1365" s="19"/>
      <c r="H1365" s="19"/>
      <c r="I1365" s="19"/>
      <c r="J1365" s="19"/>
      <c r="K1365" s="19"/>
      <c r="L1365" s="19"/>
      <c r="M1365" s="19"/>
      <c r="N1365" s="19"/>
      <c r="O1365" s="19"/>
      <c r="P1365" s="19"/>
      <c r="Q1365" s="19"/>
      <c r="R1365" s="19"/>
      <c r="S1365" s="19"/>
      <c r="T1365" s="19"/>
      <c r="U1365" s="19"/>
      <c r="V1365" s="19"/>
      <c r="W1365" s="19"/>
      <c r="X1365" s="19"/>
      <c r="Y1365" s="19"/>
      <c r="Z1365" s="19"/>
      <c r="AA1365" s="19"/>
      <c r="AB1365" s="19"/>
      <c r="AC1365" s="19"/>
    </row>
    <row r="1366" spans="2:29" x14ac:dyDescent="0.25">
      <c r="B1366" s="19"/>
      <c r="C1366" s="19"/>
      <c r="D1366" s="19"/>
      <c r="E1366" s="19"/>
      <c r="F1366" s="19"/>
      <c r="G1366" s="19"/>
      <c r="H1366" s="19"/>
      <c r="I1366" s="19"/>
      <c r="J1366" s="19"/>
      <c r="K1366" s="19"/>
      <c r="L1366" s="19"/>
      <c r="M1366" s="19"/>
      <c r="N1366" s="19"/>
      <c r="O1366" s="19"/>
      <c r="P1366" s="19"/>
      <c r="Q1366" s="19"/>
      <c r="R1366" s="19"/>
      <c r="S1366" s="19"/>
      <c r="T1366" s="19"/>
      <c r="U1366" s="19"/>
      <c r="V1366" s="19"/>
      <c r="W1366" s="19"/>
      <c r="X1366" s="19"/>
      <c r="Y1366" s="19"/>
      <c r="Z1366" s="19"/>
      <c r="AA1366" s="19"/>
      <c r="AB1366" s="19"/>
      <c r="AC1366" s="19"/>
    </row>
    <row r="1367" spans="2:29" x14ac:dyDescent="0.25">
      <c r="B1367" s="19"/>
      <c r="C1367" s="19"/>
      <c r="D1367" s="19"/>
      <c r="E1367" s="19"/>
      <c r="F1367" s="19"/>
      <c r="G1367" s="19"/>
      <c r="H1367" s="19"/>
      <c r="I1367" s="19"/>
      <c r="J1367" s="19"/>
      <c r="K1367" s="19"/>
      <c r="L1367" s="19"/>
      <c r="M1367" s="19"/>
      <c r="N1367" s="19"/>
      <c r="O1367" s="19"/>
      <c r="P1367" s="19"/>
      <c r="Q1367" s="19"/>
      <c r="R1367" s="19"/>
      <c r="S1367" s="19"/>
      <c r="T1367" s="19"/>
      <c r="U1367" s="19"/>
      <c r="V1367" s="19"/>
      <c r="W1367" s="19"/>
      <c r="X1367" s="19"/>
      <c r="Y1367" s="19"/>
      <c r="Z1367" s="19"/>
      <c r="AA1367" s="19"/>
      <c r="AB1367" s="19"/>
      <c r="AC1367" s="19"/>
    </row>
    <row r="1368" spans="2:29" x14ac:dyDescent="0.25">
      <c r="B1368" s="19"/>
      <c r="C1368" s="19"/>
      <c r="D1368" s="19"/>
      <c r="E1368" s="19"/>
      <c r="F1368" s="19"/>
      <c r="G1368" s="19"/>
      <c r="H1368" s="19"/>
      <c r="I1368" s="19"/>
      <c r="J1368" s="19"/>
      <c r="K1368" s="19"/>
      <c r="L1368" s="19"/>
      <c r="M1368" s="19"/>
      <c r="N1368" s="19"/>
      <c r="O1368" s="19"/>
      <c r="P1368" s="19"/>
      <c r="Q1368" s="19"/>
      <c r="R1368" s="19"/>
      <c r="S1368" s="19"/>
      <c r="T1368" s="19"/>
      <c r="U1368" s="19"/>
      <c r="V1368" s="19"/>
      <c r="W1368" s="19"/>
      <c r="X1368" s="19"/>
      <c r="Y1368" s="19"/>
      <c r="Z1368" s="19"/>
      <c r="AA1368" s="19"/>
      <c r="AB1368" s="19"/>
      <c r="AC1368" s="19"/>
    </row>
    <row r="1369" spans="2:29" x14ac:dyDescent="0.25">
      <c r="B1369" s="19"/>
      <c r="C1369" s="19"/>
      <c r="D1369" s="19"/>
      <c r="E1369" s="19"/>
      <c r="F1369" s="19"/>
      <c r="G1369" s="19"/>
      <c r="H1369" s="19"/>
      <c r="I1369" s="19"/>
      <c r="J1369" s="19"/>
      <c r="K1369" s="19"/>
      <c r="L1369" s="19"/>
      <c r="M1369" s="19"/>
      <c r="N1369" s="19"/>
      <c r="O1369" s="19"/>
      <c r="P1369" s="19"/>
      <c r="Q1369" s="19"/>
      <c r="R1369" s="19"/>
      <c r="S1369" s="19"/>
      <c r="T1369" s="19"/>
      <c r="U1369" s="19"/>
      <c r="V1369" s="19"/>
      <c r="W1369" s="19"/>
      <c r="X1369" s="19"/>
      <c r="Y1369" s="19"/>
      <c r="Z1369" s="19"/>
      <c r="AA1369" s="19"/>
      <c r="AB1369" s="19"/>
      <c r="AC1369" s="19"/>
    </row>
    <row r="1370" spans="2:29" x14ac:dyDescent="0.25">
      <c r="B1370" s="19"/>
      <c r="C1370" s="19"/>
      <c r="D1370" s="19"/>
      <c r="E1370" s="19"/>
      <c r="F1370" s="19"/>
      <c r="G1370" s="19"/>
      <c r="H1370" s="19"/>
      <c r="I1370" s="19"/>
      <c r="J1370" s="19"/>
      <c r="K1370" s="19"/>
      <c r="L1370" s="19"/>
      <c r="M1370" s="19"/>
      <c r="N1370" s="19"/>
      <c r="O1370" s="19"/>
      <c r="P1370" s="19"/>
      <c r="Q1370" s="19"/>
      <c r="R1370" s="19"/>
      <c r="S1370" s="19"/>
      <c r="T1370" s="19"/>
      <c r="U1370" s="19"/>
      <c r="V1370" s="19"/>
      <c r="W1370" s="19"/>
      <c r="X1370" s="19"/>
      <c r="Y1370" s="19"/>
      <c r="Z1370" s="19"/>
      <c r="AA1370" s="19"/>
      <c r="AB1370" s="19"/>
      <c r="AC1370" s="19"/>
    </row>
    <row r="1371" spans="2:29" x14ac:dyDescent="0.25">
      <c r="B1371" s="19"/>
      <c r="C1371" s="19"/>
      <c r="D1371" s="19"/>
      <c r="E1371" s="19"/>
      <c r="F1371" s="19"/>
      <c r="G1371" s="19"/>
      <c r="H1371" s="19"/>
      <c r="I1371" s="19"/>
      <c r="J1371" s="19"/>
      <c r="K1371" s="19"/>
      <c r="L1371" s="19"/>
      <c r="M1371" s="19"/>
      <c r="N1371" s="19"/>
      <c r="O1371" s="19"/>
      <c r="P1371" s="19"/>
      <c r="Q1371" s="19"/>
      <c r="R1371" s="19"/>
      <c r="S1371" s="19"/>
      <c r="T1371" s="19"/>
      <c r="U1371" s="19"/>
      <c r="V1371" s="19"/>
      <c r="W1371" s="19"/>
      <c r="X1371" s="19"/>
      <c r="Y1371" s="19"/>
      <c r="Z1371" s="19"/>
      <c r="AA1371" s="19"/>
      <c r="AB1371" s="19"/>
      <c r="AC1371" s="19"/>
    </row>
    <row r="1372" spans="2:29" x14ac:dyDescent="0.25">
      <c r="B1372" s="19"/>
      <c r="C1372" s="19"/>
      <c r="D1372" s="19"/>
      <c r="E1372" s="19"/>
      <c r="F1372" s="19"/>
      <c r="G1372" s="19"/>
      <c r="H1372" s="19"/>
      <c r="I1372" s="19"/>
      <c r="J1372" s="19"/>
      <c r="K1372" s="19"/>
      <c r="L1372" s="19"/>
      <c r="M1372" s="19"/>
      <c r="N1372" s="19"/>
      <c r="O1372" s="19"/>
      <c r="P1372" s="19"/>
      <c r="Q1372" s="19"/>
      <c r="R1372" s="19"/>
      <c r="S1372" s="19"/>
      <c r="T1372" s="19"/>
      <c r="U1372" s="19"/>
      <c r="V1372" s="19"/>
      <c r="W1372" s="19"/>
      <c r="X1372" s="19"/>
      <c r="Y1372" s="19"/>
      <c r="Z1372" s="19"/>
      <c r="AA1372" s="19"/>
      <c r="AB1372" s="19"/>
      <c r="AC1372" s="19"/>
    </row>
    <row r="1373" spans="2:29" x14ac:dyDescent="0.25">
      <c r="B1373" s="19"/>
      <c r="C1373" s="19"/>
      <c r="D1373" s="19"/>
      <c r="E1373" s="19"/>
      <c r="F1373" s="19"/>
      <c r="G1373" s="19"/>
      <c r="H1373" s="19"/>
      <c r="I1373" s="19"/>
      <c r="J1373" s="19"/>
      <c r="K1373" s="19"/>
      <c r="L1373" s="19"/>
      <c r="M1373" s="19"/>
      <c r="N1373" s="19"/>
      <c r="O1373" s="19"/>
      <c r="P1373" s="19"/>
      <c r="Q1373" s="19"/>
      <c r="R1373" s="19"/>
      <c r="S1373" s="19"/>
      <c r="T1373" s="19"/>
      <c r="U1373" s="19"/>
      <c r="V1373" s="19"/>
      <c r="W1373" s="19"/>
      <c r="X1373" s="19"/>
      <c r="Y1373" s="19"/>
      <c r="Z1373" s="19"/>
      <c r="AA1373" s="19"/>
      <c r="AB1373" s="19"/>
      <c r="AC1373" s="19"/>
    </row>
    <row r="1374" spans="2:29" x14ac:dyDescent="0.25">
      <c r="B1374" s="19"/>
      <c r="C1374" s="19"/>
      <c r="D1374" s="19"/>
      <c r="E1374" s="19"/>
      <c r="F1374" s="19"/>
      <c r="G1374" s="19"/>
      <c r="H1374" s="19"/>
      <c r="I1374" s="19"/>
      <c r="J1374" s="19"/>
      <c r="K1374" s="19"/>
      <c r="L1374" s="19"/>
      <c r="M1374" s="19"/>
      <c r="N1374" s="19"/>
      <c r="O1374" s="19"/>
      <c r="P1374" s="19"/>
      <c r="Q1374" s="19"/>
      <c r="R1374" s="19"/>
      <c r="S1374" s="19"/>
      <c r="T1374" s="19"/>
      <c r="U1374" s="19"/>
      <c r="V1374" s="19"/>
      <c r="W1374" s="19"/>
      <c r="X1374" s="19"/>
      <c r="Y1374" s="19"/>
      <c r="Z1374" s="19"/>
      <c r="AA1374" s="19"/>
      <c r="AB1374" s="19"/>
      <c r="AC1374" s="19"/>
    </row>
    <row r="1375" spans="2:29" x14ac:dyDescent="0.25">
      <c r="B1375" s="19"/>
      <c r="C1375" s="19"/>
      <c r="D1375" s="19"/>
      <c r="E1375" s="19"/>
      <c r="F1375" s="19"/>
      <c r="G1375" s="19"/>
      <c r="H1375" s="19"/>
      <c r="I1375" s="19"/>
      <c r="J1375" s="19"/>
      <c r="K1375" s="19"/>
      <c r="L1375" s="19"/>
      <c r="M1375" s="19"/>
      <c r="N1375" s="19"/>
      <c r="O1375" s="19"/>
      <c r="P1375" s="19"/>
      <c r="Q1375" s="19"/>
      <c r="R1375" s="19"/>
      <c r="S1375" s="19"/>
      <c r="T1375" s="19"/>
      <c r="U1375" s="19"/>
      <c r="V1375" s="19"/>
      <c r="W1375" s="19"/>
      <c r="X1375" s="19"/>
      <c r="Y1375" s="19"/>
      <c r="Z1375" s="19"/>
      <c r="AA1375" s="19"/>
      <c r="AB1375" s="19"/>
      <c r="AC1375" s="19"/>
    </row>
    <row r="1376" spans="2:29" x14ac:dyDescent="0.25">
      <c r="B1376" s="19"/>
      <c r="C1376" s="19"/>
      <c r="D1376" s="19"/>
      <c r="E1376" s="19"/>
      <c r="F1376" s="19"/>
      <c r="G1376" s="19"/>
      <c r="H1376" s="19"/>
      <c r="I1376" s="19"/>
      <c r="J1376" s="19"/>
      <c r="K1376" s="19"/>
      <c r="L1376" s="19"/>
      <c r="M1376" s="19"/>
      <c r="N1376" s="19"/>
      <c r="O1376" s="19"/>
      <c r="P1376" s="19"/>
      <c r="Q1376" s="19"/>
      <c r="R1376" s="19"/>
      <c r="S1376" s="19"/>
      <c r="T1376" s="19"/>
      <c r="U1376" s="19"/>
      <c r="V1376" s="19"/>
      <c r="W1376" s="19"/>
      <c r="X1376" s="19"/>
      <c r="Y1376" s="19"/>
      <c r="Z1376" s="19"/>
      <c r="AA1376" s="19"/>
      <c r="AB1376" s="19"/>
      <c r="AC1376" s="19"/>
    </row>
    <row r="1377" spans="2:29" x14ac:dyDescent="0.25">
      <c r="B1377" s="19"/>
      <c r="C1377" s="19"/>
      <c r="D1377" s="19"/>
      <c r="E1377" s="19"/>
      <c r="F1377" s="19"/>
      <c r="G1377" s="19"/>
      <c r="H1377" s="19"/>
      <c r="I1377" s="19"/>
      <c r="J1377" s="19"/>
      <c r="K1377" s="19"/>
      <c r="L1377" s="19"/>
      <c r="M1377" s="19"/>
      <c r="N1377" s="19"/>
      <c r="O1377" s="19"/>
      <c r="P1377" s="19"/>
      <c r="Q1377" s="19"/>
      <c r="R1377" s="19"/>
      <c r="S1377" s="19"/>
      <c r="T1377" s="19"/>
      <c r="U1377" s="19"/>
      <c r="V1377" s="19"/>
      <c r="W1377" s="19"/>
      <c r="X1377" s="19"/>
      <c r="Y1377" s="19"/>
      <c r="Z1377" s="19"/>
      <c r="AA1377" s="19"/>
      <c r="AB1377" s="19"/>
      <c r="AC1377" s="19"/>
    </row>
    <row r="1378" spans="2:29" x14ac:dyDescent="0.25">
      <c r="B1378" s="19"/>
      <c r="C1378" s="19"/>
      <c r="D1378" s="19"/>
      <c r="E1378" s="19"/>
      <c r="F1378" s="19"/>
      <c r="G1378" s="19"/>
      <c r="H1378" s="19"/>
      <c r="I1378" s="19"/>
      <c r="J1378" s="19"/>
      <c r="K1378" s="19"/>
      <c r="L1378" s="19"/>
      <c r="M1378" s="19"/>
      <c r="N1378" s="19"/>
      <c r="O1378" s="19"/>
      <c r="P1378" s="19"/>
      <c r="Q1378" s="19"/>
      <c r="R1378" s="19"/>
      <c r="S1378" s="19"/>
      <c r="T1378" s="19"/>
      <c r="U1378" s="19"/>
      <c r="V1378" s="19"/>
      <c r="W1378" s="19"/>
      <c r="X1378" s="19"/>
      <c r="Y1378" s="19"/>
      <c r="Z1378" s="19"/>
      <c r="AA1378" s="19"/>
      <c r="AB1378" s="19"/>
      <c r="AC1378" s="19"/>
    </row>
    <row r="1379" spans="2:29" x14ac:dyDescent="0.25">
      <c r="B1379" s="19"/>
      <c r="C1379" s="19"/>
      <c r="D1379" s="19"/>
      <c r="E1379" s="19"/>
      <c r="F1379" s="19"/>
      <c r="G1379" s="19"/>
      <c r="H1379" s="19"/>
      <c r="I1379" s="19"/>
      <c r="J1379" s="19"/>
      <c r="K1379" s="19"/>
      <c r="L1379" s="19"/>
      <c r="M1379" s="19"/>
      <c r="N1379" s="19"/>
      <c r="O1379" s="19"/>
      <c r="P1379" s="19"/>
      <c r="Q1379" s="19"/>
      <c r="R1379" s="19"/>
      <c r="S1379" s="19"/>
      <c r="T1379" s="19"/>
      <c r="U1379" s="19"/>
      <c r="V1379" s="19"/>
      <c r="W1379" s="19"/>
      <c r="X1379" s="19"/>
      <c r="Y1379" s="19"/>
      <c r="Z1379" s="19"/>
      <c r="AA1379" s="19"/>
      <c r="AB1379" s="19"/>
      <c r="AC1379" s="19"/>
    </row>
    <row r="1380" spans="2:29" x14ac:dyDescent="0.25">
      <c r="B1380" s="19"/>
      <c r="C1380" s="19"/>
      <c r="D1380" s="19"/>
      <c r="E1380" s="19"/>
      <c r="F1380" s="19"/>
      <c r="G1380" s="19"/>
      <c r="H1380" s="19"/>
      <c r="I1380" s="19"/>
      <c r="J1380" s="19"/>
      <c r="K1380" s="19"/>
      <c r="L1380" s="19"/>
      <c r="M1380" s="19"/>
      <c r="N1380" s="19"/>
      <c r="O1380" s="19"/>
      <c r="P1380" s="19"/>
      <c r="Q1380" s="19"/>
      <c r="R1380" s="19"/>
      <c r="S1380" s="19"/>
      <c r="T1380" s="19"/>
      <c r="U1380" s="19"/>
      <c r="V1380" s="19"/>
      <c r="W1380" s="19"/>
      <c r="X1380" s="19"/>
      <c r="Y1380" s="19"/>
      <c r="Z1380" s="19"/>
      <c r="AA1380" s="19"/>
      <c r="AB1380" s="19"/>
      <c r="AC1380" s="19"/>
    </row>
    <row r="1381" spans="2:29" x14ac:dyDescent="0.25">
      <c r="B1381" s="19"/>
      <c r="C1381" s="19"/>
      <c r="D1381" s="19"/>
      <c r="E1381" s="19"/>
      <c r="F1381" s="19"/>
      <c r="G1381" s="19"/>
      <c r="H1381" s="19"/>
      <c r="I1381" s="19"/>
      <c r="J1381" s="19"/>
      <c r="K1381" s="19"/>
      <c r="L1381" s="19"/>
      <c r="M1381" s="19"/>
      <c r="N1381" s="19"/>
      <c r="O1381" s="19"/>
      <c r="P1381" s="19"/>
      <c r="Q1381" s="19"/>
      <c r="R1381" s="19"/>
      <c r="S1381" s="19"/>
      <c r="T1381" s="19"/>
      <c r="U1381" s="19"/>
      <c r="V1381" s="19"/>
      <c r="W1381" s="19"/>
      <c r="X1381" s="19"/>
      <c r="Y1381" s="19"/>
      <c r="Z1381" s="19"/>
      <c r="AA1381" s="19"/>
      <c r="AB1381" s="19"/>
      <c r="AC1381" s="19"/>
    </row>
    <row r="1382" spans="2:29" x14ac:dyDescent="0.25">
      <c r="B1382" s="19"/>
      <c r="C1382" s="19"/>
      <c r="D1382" s="19"/>
      <c r="E1382" s="19"/>
      <c r="F1382" s="19"/>
      <c r="G1382" s="19"/>
      <c r="H1382" s="19"/>
      <c r="I1382" s="19"/>
      <c r="J1382" s="19"/>
      <c r="K1382" s="19"/>
      <c r="L1382" s="19"/>
      <c r="M1382" s="19"/>
      <c r="N1382" s="19"/>
      <c r="O1382" s="19"/>
      <c r="P1382" s="19"/>
      <c r="Q1382" s="19"/>
      <c r="R1382" s="19"/>
      <c r="S1382" s="19"/>
      <c r="T1382" s="19"/>
      <c r="U1382" s="19"/>
      <c r="V1382" s="19"/>
      <c r="W1382" s="19"/>
      <c r="X1382" s="19"/>
      <c r="Y1382" s="19"/>
      <c r="Z1382" s="19"/>
      <c r="AA1382" s="19"/>
      <c r="AB1382" s="19"/>
      <c r="AC1382" s="19"/>
    </row>
    <row r="1383" spans="2:29" x14ac:dyDescent="0.25">
      <c r="B1383" s="19"/>
      <c r="C1383" s="19"/>
      <c r="D1383" s="19"/>
      <c r="E1383" s="19"/>
      <c r="F1383" s="19"/>
      <c r="G1383" s="19"/>
      <c r="H1383" s="19"/>
      <c r="I1383" s="19"/>
      <c r="J1383" s="19"/>
      <c r="K1383" s="19"/>
      <c r="L1383" s="19"/>
      <c r="M1383" s="19"/>
      <c r="N1383" s="19"/>
      <c r="O1383" s="19"/>
      <c r="P1383" s="19"/>
      <c r="Q1383" s="19"/>
      <c r="R1383" s="19"/>
      <c r="S1383" s="19"/>
      <c r="T1383" s="19"/>
      <c r="U1383" s="19"/>
      <c r="V1383" s="19"/>
      <c r="W1383" s="19"/>
      <c r="X1383" s="19"/>
      <c r="Y1383" s="19"/>
      <c r="Z1383" s="19"/>
      <c r="AA1383" s="19"/>
      <c r="AB1383" s="19"/>
      <c r="AC1383" s="19"/>
    </row>
    <row r="1384" spans="2:29" x14ac:dyDescent="0.25">
      <c r="B1384" s="19"/>
      <c r="C1384" s="19"/>
      <c r="D1384" s="19"/>
      <c r="E1384" s="19"/>
      <c r="F1384" s="19"/>
      <c r="G1384" s="19"/>
      <c r="H1384" s="19"/>
      <c r="I1384" s="19"/>
      <c r="J1384" s="19"/>
      <c r="K1384" s="19"/>
      <c r="L1384" s="19"/>
      <c r="M1384" s="19"/>
      <c r="N1384" s="19"/>
      <c r="O1384" s="19"/>
      <c r="P1384" s="19"/>
      <c r="Q1384" s="19"/>
      <c r="R1384" s="19"/>
      <c r="S1384" s="19"/>
      <c r="T1384" s="19"/>
      <c r="U1384" s="19"/>
      <c r="V1384" s="19"/>
      <c r="W1384" s="19"/>
      <c r="X1384" s="19"/>
      <c r="Y1384" s="19"/>
      <c r="Z1384" s="19"/>
      <c r="AA1384" s="19"/>
      <c r="AB1384" s="19"/>
      <c r="AC1384" s="19"/>
    </row>
    <row r="1385" spans="2:29" x14ac:dyDescent="0.25">
      <c r="B1385" s="19"/>
      <c r="C1385" s="19"/>
      <c r="D1385" s="19"/>
      <c r="E1385" s="19"/>
      <c r="F1385" s="19"/>
      <c r="G1385" s="19"/>
      <c r="H1385" s="19"/>
      <c r="I1385" s="19"/>
      <c r="J1385" s="19"/>
      <c r="K1385" s="19"/>
      <c r="L1385" s="19"/>
      <c r="M1385" s="19"/>
      <c r="N1385" s="19"/>
      <c r="O1385" s="19"/>
      <c r="P1385" s="19"/>
      <c r="Q1385" s="19"/>
      <c r="R1385" s="19"/>
      <c r="S1385" s="19"/>
      <c r="T1385" s="19"/>
      <c r="U1385" s="19"/>
      <c r="V1385" s="19"/>
      <c r="W1385" s="19"/>
      <c r="X1385" s="19"/>
      <c r="Y1385" s="19"/>
      <c r="Z1385" s="19"/>
      <c r="AA1385" s="19"/>
      <c r="AB1385" s="19"/>
      <c r="AC1385" s="19"/>
    </row>
    <row r="1386" spans="2:29" x14ac:dyDescent="0.25">
      <c r="B1386" s="19"/>
      <c r="C1386" s="19"/>
      <c r="D1386" s="19"/>
      <c r="E1386" s="19"/>
      <c r="F1386" s="19"/>
      <c r="G1386" s="19"/>
      <c r="H1386" s="19"/>
      <c r="I1386" s="19"/>
      <c r="J1386" s="19"/>
      <c r="K1386" s="19"/>
      <c r="L1386" s="19"/>
      <c r="M1386" s="19"/>
      <c r="N1386" s="19"/>
      <c r="O1386" s="19"/>
      <c r="P1386" s="19"/>
      <c r="Q1386" s="19"/>
      <c r="R1386" s="19"/>
      <c r="S1386" s="19"/>
      <c r="T1386" s="19"/>
      <c r="U1386" s="19"/>
      <c r="V1386" s="19"/>
      <c r="W1386" s="19"/>
      <c r="X1386" s="19"/>
      <c r="Y1386" s="19"/>
      <c r="Z1386" s="19"/>
      <c r="AA1386" s="19"/>
      <c r="AB1386" s="19"/>
      <c r="AC1386" s="19"/>
    </row>
    <row r="1387" spans="2:29" x14ac:dyDescent="0.25">
      <c r="B1387" s="19"/>
      <c r="C1387" s="19"/>
      <c r="D1387" s="19"/>
      <c r="E1387" s="19"/>
      <c r="F1387" s="19"/>
      <c r="G1387" s="19"/>
      <c r="H1387" s="19"/>
      <c r="I1387" s="19"/>
      <c r="J1387" s="19"/>
      <c r="K1387" s="19"/>
      <c r="L1387" s="19"/>
      <c r="M1387" s="19"/>
      <c r="N1387" s="19"/>
      <c r="O1387" s="19"/>
      <c r="P1387" s="19"/>
      <c r="Q1387" s="19"/>
      <c r="R1387" s="19"/>
      <c r="S1387" s="19"/>
      <c r="T1387" s="19"/>
      <c r="U1387" s="19"/>
      <c r="V1387" s="19"/>
      <c r="W1387" s="19"/>
      <c r="X1387" s="19"/>
      <c r="Y1387" s="19"/>
      <c r="Z1387" s="19"/>
      <c r="AA1387" s="19"/>
      <c r="AB1387" s="19"/>
      <c r="AC1387" s="19"/>
    </row>
    <row r="1388" spans="2:29" x14ac:dyDescent="0.25">
      <c r="B1388" s="19"/>
      <c r="C1388" s="19"/>
      <c r="D1388" s="19"/>
      <c r="E1388" s="19"/>
      <c r="F1388" s="19"/>
      <c r="G1388" s="19"/>
      <c r="H1388" s="19"/>
      <c r="I1388" s="19"/>
      <c r="J1388" s="19"/>
      <c r="K1388" s="19"/>
      <c r="L1388" s="19"/>
      <c r="M1388" s="19"/>
      <c r="N1388" s="19"/>
      <c r="O1388" s="19"/>
      <c r="P1388" s="19"/>
      <c r="Q1388" s="19"/>
      <c r="R1388" s="19"/>
      <c r="S1388" s="19"/>
      <c r="T1388" s="19"/>
      <c r="U1388" s="19"/>
      <c r="V1388" s="19"/>
      <c r="W1388" s="19"/>
      <c r="X1388" s="19"/>
      <c r="Y1388" s="19"/>
      <c r="Z1388" s="19"/>
      <c r="AA1388" s="19"/>
      <c r="AB1388" s="19"/>
      <c r="AC1388" s="19"/>
    </row>
    <row r="1389" spans="2:29" x14ac:dyDescent="0.25">
      <c r="B1389" s="19"/>
      <c r="C1389" s="19"/>
      <c r="D1389" s="19"/>
      <c r="E1389" s="19"/>
      <c r="F1389" s="19"/>
      <c r="G1389" s="19"/>
      <c r="H1389" s="19"/>
      <c r="I1389" s="19"/>
      <c r="J1389" s="19"/>
      <c r="K1389" s="19"/>
      <c r="L1389" s="19"/>
      <c r="M1389" s="19"/>
      <c r="N1389" s="19"/>
      <c r="O1389" s="19"/>
      <c r="P1389" s="19"/>
      <c r="Q1389" s="19"/>
      <c r="R1389" s="19"/>
      <c r="S1389" s="19"/>
      <c r="T1389" s="19"/>
      <c r="U1389" s="19"/>
      <c r="V1389" s="19"/>
      <c r="W1389" s="19"/>
      <c r="X1389" s="19"/>
      <c r="Y1389" s="19"/>
      <c r="Z1389" s="19"/>
      <c r="AA1389" s="19"/>
      <c r="AB1389" s="19"/>
      <c r="AC1389" s="19"/>
    </row>
    <row r="1390" spans="2:29" x14ac:dyDescent="0.25">
      <c r="B1390" s="19"/>
      <c r="C1390" s="19"/>
      <c r="D1390" s="19"/>
      <c r="E1390" s="19"/>
      <c r="F1390" s="19"/>
      <c r="G1390" s="19"/>
      <c r="H1390" s="19"/>
      <c r="I1390" s="19"/>
      <c r="J1390" s="19"/>
      <c r="K1390" s="19"/>
      <c r="L1390" s="19"/>
      <c r="M1390" s="19"/>
      <c r="N1390" s="19"/>
      <c r="O1390" s="19"/>
      <c r="P1390" s="19"/>
      <c r="Q1390" s="19"/>
      <c r="R1390" s="19"/>
      <c r="S1390" s="19"/>
      <c r="T1390" s="19"/>
      <c r="U1390" s="19"/>
      <c r="V1390" s="19"/>
      <c r="W1390" s="19"/>
      <c r="X1390" s="19"/>
      <c r="Y1390" s="19"/>
      <c r="Z1390" s="19"/>
      <c r="AA1390" s="19"/>
      <c r="AB1390" s="19"/>
      <c r="AC1390" s="19"/>
    </row>
    <row r="1391" spans="2:29" x14ac:dyDescent="0.25">
      <c r="B1391" s="19"/>
      <c r="C1391" s="19"/>
      <c r="D1391" s="19"/>
      <c r="E1391" s="19"/>
      <c r="F1391" s="19"/>
      <c r="G1391" s="19"/>
      <c r="H1391" s="19"/>
      <c r="I1391" s="19"/>
      <c r="J1391" s="19"/>
      <c r="K1391" s="19"/>
      <c r="L1391" s="19"/>
      <c r="M1391" s="19"/>
      <c r="N1391" s="19"/>
      <c r="O1391" s="19"/>
      <c r="P1391" s="19"/>
      <c r="Q1391" s="19"/>
      <c r="R1391" s="19"/>
      <c r="S1391" s="19"/>
      <c r="T1391" s="19"/>
      <c r="U1391" s="19"/>
      <c r="V1391" s="19"/>
      <c r="W1391" s="19"/>
      <c r="X1391" s="19"/>
      <c r="Y1391" s="19"/>
      <c r="Z1391" s="19"/>
      <c r="AA1391" s="19"/>
      <c r="AB1391" s="19"/>
      <c r="AC1391" s="19"/>
    </row>
    <row r="1392" spans="2:29" x14ac:dyDescent="0.25">
      <c r="B1392" s="19"/>
      <c r="C1392" s="19"/>
      <c r="D1392" s="19"/>
      <c r="E1392" s="19"/>
      <c r="F1392" s="19"/>
      <c r="G1392" s="19"/>
      <c r="H1392" s="19"/>
      <c r="I1392" s="19"/>
      <c r="J1392" s="19"/>
      <c r="K1392" s="19"/>
      <c r="L1392" s="19"/>
      <c r="M1392" s="19"/>
      <c r="N1392" s="19"/>
      <c r="O1392" s="19"/>
      <c r="P1392" s="19"/>
      <c r="Q1392" s="19"/>
      <c r="R1392" s="19"/>
      <c r="S1392" s="19"/>
      <c r="T1392" s="19"/>
      <c r="U1392" s="19"/>
      <c r="V1392" s="19"/>
      <c r="W1392" s="19"/>
      <c r="X1392" s="19"/>
      <c r="Y1392" s="19"/>
      <c r="Z1392" s="19"/>
      <c r="AA1392" s="19"/>
      <c r="AB1392" s="19"/>
      <c r="AC1392" s="19"/>
    </row>
    <row r="1393" spans="2:29" x14ac:dyDescent="0.25">
      <c r="B1393" s="19"/>
      <c r="C1393" s="19"/>
      <c r="D1393" s="19"/>
      <c r="E1393" s="19"/>
      <c r="F1393" s="19"/>
      <c r="G1393" s="19"/>
      <c r="H1393" s="19"/>
      <c r="I1393" s="19"/>
      <c r="J1393" s="19"/>
      <c r="K1393" s="19"/>
      <c r="L1393" s="19"/>
      <c r="M1393" s="19"/>
      <c r="N1393" s="19"/>
      <c r="O1393" s="19"/>
      <c r="P1393" s="19"/>
      <c r="Q1393" s="19"/>
      <c r="R1393" s="19"/>
      <c r="S1393" s="19"/>
      <c r="T1393" s="19"/>
      <c r="U1393" s="19"/>
      <c r="V1393" s="19"/>
      <c r="W1393" s="19"/>
      <c r="X1393" s="19"/>
      <c r="Y1393" s="19"/>
      <c r="Z1393" s="19"/>
      <c r="AA1393" s="19"/>
      <c r="AB1393" s="19"/>
      <c r="AC1393" s="19"/>
    </row>
    <row r="1394" spans="2:29" x14ac:dyDescent="0.25">
      <c r="B1394" s="19"/>
      <c r="C1394" s="19"/>
      <c r="D1394" s="19"/>
      <c r="E1394" s="19"/>
      <c r="F1394" s="19"/>
      <c r="G1394" s="19"/>
      <c r="H1394" s="19"/>
      <c r="I1394" s="19"/>
      <c r="J1394" s="19"/>
      <c r="K1394" s="19"/>
      <c r="L1394" s="19"/>
      <c r="M1394" s="19"/>
      <c r="N1394" s="19"/>
      <c r="O1394" s="19"/>
      <c r="P1394" s="19"/>
      <c r="Q1394" s="19"/>
      <c r="R1394" s="19"/>
      <c r="S1394" s="19"/>
      <c r="T1394" s="19"/>
      <c r="U1394" s="19"/>
      <c r="V1394" s="19"/>
      <c r="W1394" s="19"/>
      <c r="X1394" s="19"/>
      <c r="Y1394" s="19"/>
      <c r="Z1394" s="19"/>
      <c r="AA1394" s="19"/>
      <c r="AB1394" s="19"/>
      <c r="AC1394" s="19"/>
    </row>
    <row r="1395" spans="2:29" x14ac:dyDescent="0.25">
      <c r="B1395" s="19"/>
      <c r="C1395" s="19"/>
      <c r="D1395" s="19"/>
      <c r="E1395" s="19"/>
      <c r="F1395" s="19"/>
      <c r="G1395" s="19"/>
      <c r="H1395" s="19"/>
      <c r="I1395" s="19"/>
      <c r="J1395" s="19"/>
      <c r="K1395" s="19"/>
      <c r="L1395" s="19"/>
      <c r="M1395" s="19"/>
      <c r="N1395" s="19"/>
      <c r="O1395" s="19"/>
      <c r="P1395" s="19"/>
      <c r="Q1395" s="19"/>
      <c r="R1395" s="19"/>
      <c r="S1395" s="19"/>
      <c r="T1395" s="19"/>
      <c r="U1395" s="19"/>
      <c r="V1395" s="19"/>
      <c r="W1395" s="19"/>
      <c r="X1395" s="19"/>
      <c r="Y1395" s="19"/>
      <c r="Z1395" s="19"/>
      <c r="AA1395" s="19"/>
      <c r="AB1395" s="19"/>
      <c r="AC1395" s="19"/>
    </row>
    <row r="1396" spans="2:29" x14ac:dyDescent="0.25">
      <c r="B1396" s="19"/>
      <c r="C1396" s="19"/>
      <c r="D1396" s="19"/>
      <c r="E1396" s="19"/>
      <c r="F1396" s="19"/>
      <c r="G1396" s="19"/>
      <c r="H1396" s="19"/>
      <c r="I1396" s="19"/>
      <c r="J1396" s="19"/>
      <c r="K1396" s="19"/>
      <c r="L1396" s="19"/>
      <c r="M1396" s="19"/>
      <c r="N1396" s="19"/>
      <c r="O1396" s="19"/>
      <c r="P1396" s="19"/>
      <c r="Q1396" s="19"/>
      <c r="R1396" s="19"/>
      <c r="S1396" s="19"/>
      <c r="T1396" s="19"/>
      <c r="U1396" s="19"/>
      <c r="V1396" s="19"/>
      <c r="W1396" s="19"/>
      <c r="X1396" s="19"/>
      <c r="Y1396" s="19"/>
      <c r="Z1396" s="19"/>
      <c r="AA1396" s="19"/>
      <c r="AB1396" s="19"/>
      <c r="AC1396" s="19"/>
    </row>
    <row r="1397" spans="2:29" x14ac:dyDescent="0.25">
      <c r="B1397" s="19"/>
      <c r="C1397" s="19"/>
      <c r="D1397" s="19"/>
      <c r="E1397" s="19"/>
      <c r="F1397" s="19"/>
      <c r="G1397" s="19"/>
      <c r="H1397" s="19"/>
      <c r="I1397" s="19"/>
      <c r="J1397" s="19"/>
      <c r="K1397" s="19"/>
      <c r="L1397" s="19"/>
      <c r="M1397" s="19"/>
      <c r="N1397" s="19"/>
      <c r="O1397" s="19"/>
      <c r="P1397" s="19"/>
      <c r="Q1397" s="19"/>
      <c r="R1397" s="19"/>
      <c r="S1397" s="19"/>
      <c r="T1397" s="19"/>
      <c r="U1397" s="19"/>
      <c r="V1397" s="19"/>
      <c r="W1397" s="19"/>
      <c r="X1397" s="19"/>
      <c r="Y1397" s="19"/>
      <c r="Z1397" s="19"/>
      <c r="AA1397" s="19"/>
      <c r="AB1397" s="19"/>
      <c r="AC1397" s="19"/>
    </row>
    <row r="1398" spans="2:29" x14ac:dyDescent="0.25">
      <c r="B1398" s="19"/>
      <c r="C1398" s="19"/>
      <c r="D1398" s="19"/>
      <c r="E1398" s="19"/>
      <c r="F1398" s="19"/>
      <c r="G1398" s="19"/>
      <c r="H1398" s="19"/>
      <c r="I1398" s="19"/>
      <c r="J1398" s="19"/>
      <c r="K1398" s="19"/>
      <c r="L1398" s="19"/>
      <c r="M1398" s="19"/>
      <c r="N1398" s="19"/>
      <c r="O1398" s="19"/>
      <c r="P1398" s="19"/>
      <c r="Q1398" s="19"/>
      <c r="R1398" s="19"/>
      <c r="S1398" s="19"/>
      <c r="T1398" s="19"/>
      <c r="U1398" s="19"/>
      <c r="V1398" s="19"/>
      <c r="W1398" s="19"/>
      <c r="X1398" s="19"/>
      <c r="Y1398" s="19"/>
      <c r="Z1398" s="19"/>
      <c r="AA1398" s="19"/>
      <c r="AB1398" s="19"/>
      <c r="AC1398" s="19"/>
    </row>
    <row r="1399" spans="2:29" x14ac:dyDescent="0.25">
      <c r="B1399" s="19"/>
      <c r="C1399" s="19"/>
      <c r="D1399" s="19"/>
      <c r="E1399" s="19"/>
      <c r="F1399" s="19"/>
      <c r="G1399" s="19"/>
      <c r="H1399" s="19"/>
      <c r="I1399" s="19"/>
      <c r="J1399" s="19"/>
      <c r="K1399" s="19"/>
      <c r="L1399" s="19"/>
      <c r="M1399" s="19"/>
      <c r="N1399" s="19"/>
      <c r="O1399" s="19"/>
      <c r="P1399" s="19"/>
      <c r="Q1399" s="19"/>
      <c r="R1399" s="19"/>
      <c r="S1399" s="19"/>
      <c r="T1399" s="19"/>
      <c r="U1399" s="19"/>
      <c r="V1399" s="19"/>
      <c r="W1399" s="19"/>
      <c r="X1399" s="19"/>
      <c r="Y1399" s="19"/>
      <c r="Z1399" s="19"/>
      <c r="AA1399" s="19"/>
      <c r="AB1399" s="19"/>
      <c r="AC1399" s="19"/>
    </row>
    <row r="1400" spans="2:29" x14ac:dyDescent="0.25">
      <c r="B1400" s="19"/>
      <c r="C1400" s="19"/>
      <c r="D1400" s="19"/>
      <c r="E1400" s="19"/>
      <c r="F1400" s="19"/>
      <c r="G1400" s="19"/>
      <c r="H1400" s="19"/>
      <c r="I1400" s="19"/>
      <c r="J1400" s="19"/>
      <c r="K1400" s="19"/>
      <c r="L1400" s="19"/>
      <c r="M1400" s="19"/>
      <c r="N1400" s="19"/>
      <c r="O1400" s="19"/>
      <c r="P1400" s="19"/>
      <c r="Q1400" s="19"/>
      <c r="R1400" s="19"/>
      <c r="S1400" s="19"/>
      <c r="T1400" s="19"/>
      <c r="U1400" s="19"/>
      <c r="V1400" s="19"/>
      <c r="W1400" s="19"/>
      <c r="X1400" s="19"/>
      <c r="Y1400" s="19"/>
      <c r="Z1400" s="19"/>
      <c r="AA1400" s="19"/>
      <c r="AB1400" s="19"/>
      <c r="AC1400" s="19"/>
    </row>
    <row r="1401" spans="2:29" x14ac:dyDescent="0.25">
      <c r="B1401" s="19"/>
      <c r="C1401" s="19"/>
      <c r="D1401" s="19"/>
      <c r="E1401" s="19"/>
      <c r="F1401" s="19"/>
      <c r="G1401" s="19"/>
      <c r="H1401" s="19"/>
      <c r="I1401" s="19"/>
      <c r="J1401" s="19"/>
      <c r="K1401" s="19"/>
      <c r="L1401" s="19"/>
      <c r="M1401" s="19"/>
      <c r="N1401" s="19"/>
      <c r="O1401" s="19"/>
      <c r="P1401" s="19"/>
      <c r="Q1401" s="19"/>
      <c r="R1401" s="19"/>
      <c r="S1401" s="19"/>
      <c r="T1401" s="19"/>
      <c r="U1401" s="19"/>
      <c r="V1401" s="19"/>
      <c r="W1401" s="19"/>
      <c r="X1401" s="19"/>
      <c r="Y1401" s="19"/>
      <c r="Z1401" s="19"/>
      <c r="AA1401" s="19"/>
      <c r="AB1401" s="19"/>
      <c r="AC1401" s="19"/>
    </row>
    <row r="1402" spans="2:29" x14ac:dyDescent="0.25">
      <c r="B1402" s="19"/>
      <c r="C1402" s="19"/>
      <c r="D1402" s="19"/>
      <c r="E1402" s="19"/>
      <c r="F1402" s="19"/>
      <c r="G1402" s="19"/>
      <c r="H1402" s="19"/>
      <c r="I1402" s="19"/>
      <c r="J1402" s="19"/>
      <c r="K1402" s="19"/>
      <c r="L1402" s="19"/>
      <c r="M1402" s="19"/>
      <c r="N1402" s="19"/>
      <c r="O1402" s="19"/>
      <c r="P1402" s="19"/>
      <c r="Q1402" s="19"/>
      <c r="R1402" s="19"/>
      <c r="S1402" s="19"/>
      <c r="T1402" s="19"/>
      <c r="U1402" s="19"/>
      <c r="V1402" s="19"/>
      <c r="W1402" s="19"/>
      <c r="X1402" s="19"/>
      <c r="Y1402" s="19"/>
      <c r="Z1402" s="19"/>
      <c r="AA1402" s="19"/>
      <c r="AB1402" s="19"/>
      <c r="AC1402" s="19"/>
    </row>
    <row r="1403" spans="2:29" x14ac:dyDescent="0.25">
      <c r="B1403" s="19"/>
      <c r="C1403" s="19"/>
      <c r="D1403" s="19"/>
      <c r="E1403" s="19"/>
      <c r="F1403" s="19"/>
      <c r="G1403" s="19"/>
      <c r="H1403" s="19"/>
      <c r="I1403" s="19"/>
      <c r="J1403" s="19"/>
      <c r="K1403" s="19"/>
      <c r="L1403" s="19"/>
      <c r="M1403" s="19"/>
      <c r="N1403" s="19"/>
      <c r="O1403" s="19"/>
      <c r="P1403" s="19"/>
      <c r="Q1403" s="19"/>
      <c r="R1403" s="19"/>
      <c r="S1403" s="19"/>
      <c r="T1403" s="19"/>
      <c r="U1403" s="19"/>
      <c r="V1403" s="19"/>
      <c r="W1403" s="19"/>
      <c r="X1403" s="19"/>
      <c r="Y1403" s="19"/>
      <c r="Z1403" s="19"/>
      <c r="AA1403" s="19"/>
      <c r="AB1403" s="19"/>
      <c r="AC1403" s="19"/>
    </row>
    <row r="1404" spans="2:29" x14ac:dyDescent="0.25">
      <c r="B1404" s="19"/>
      <c r="C1404" s="19"/>
      <c r="D1404" s="19"/>
      <c r="E1404" s="19"/>
      <c r="F1404" s="19"/>
      <c r="G1404" s="19"/>
      <c r="H1404" s="19"/>
      <c r="I1404" s="19"/>
      <c r="J1404" s="19"/>
      <c r="K1404" s="19"/>
      <c r="L1404" s="19"/>
      <c r="M1404" s="19"/>
      <c r="N1404" s="19"/>
      <c r="O1404" s="19"/>
      <c r="P1404" s="19"/>
      <c r="Q1404" s="19"/>
      <c r="R1404" s="19"/>
      <c r="S1404" s="19"/>
      <c r="T1404" s="19"/>
      <c r="U1404" s="19"/>
      <c r="V1404" s="19"/>
      <c r="W1404" s="19"/>
      <c r="X1404" s="19"/>
      <c r="Y1404" s="19"/>
      <c r="Z1404" s="19"/>
      <c r="AA1404" s="19"/>
      <c r="AB1404" s="19"/>
      <c r="AC1404" s="19"/>
    </row>
    <row r="1405" spans="2:29" x14ac:dyDescent="0.25">
      <c r="B1405" s="19"/>
      <c r="C1405" s="19"/>
      <c r="D1405" s="19"/>
      <c r="E1405" s="19"/>
      <c r="F1405" s="19"/>
      <c r="G1405" s="19"/>
      <c r="H1405" s="19"/>
      <c r="I1405" s="19"/>
      <c r="J1405" s="19"/>
      <c r="K1405" s="19"/>
      <c r="L1405" s="19"/>
      <c r="M1405" s="19"/>
      <c r="N1405" s="19"/>
      <c r="O1405" s="19"/>
      <c r="P1405" s="19"/>
      <c r="Q1405" s="19"/>
      <c r="R1405" s="19"/>
      <c r="S1405" s="19"/>
      <c r="T1405" s="19"/>
      <c r="U1405" s="19"/>
      <c r="V1405" s="19"/>
      <c r="W1405" s="19"/>
      <c r="X1405" s="19"/>
      <c r="Y1405" s="19"/>
      <c r="Z1405" s="19"/>
      <c r="AA1405" s="19"/>
      <c r="AB1405" s="19"/>
      <c r="AC1405" s="19"/>
    </row>
    <row r="1406" spans="2:29" x14ac:dyDescent="0.25">
      <c r="B1406" s="19"/>
      <c r="C1406" s="19"/>
      <c r="D1406" s="19"/>
      <c r="E1406" s="19"/>
      <c r="F1406" s="19"/>
      <c r="G1406" s="19"/>
      <c r="H1406" s="19"/>
      <c r="I1406" s="19"/>
      <c r="J1406" s="19"/>
      <c r="K1406" s="19"/>
      <c r="L1406" s="19"/>
      <c r="M1406" s="19"/>
      <c r="N1406" s="19"/>
      <c r="O1406" s="19"/>
      <c r="P1406" s="19"/>
      <c r="Q1406" s="19"/>
      <c r="R1406" s="19"/>
      <c r="S1406" s="19"/>
      <c r="T1406" s="19"/>
      <c r="U1406" s="19"/>
      <c r="V1406" s="19"/>
      <c r="W1406" s="19"/>
      <c r="X1406" s="19"/>
      <c r="Y1406" s="19"/>
      <c r="Z1406" s="19"/>
      <c r="AA1406" s="19"/>
      <c r="AB1406" s="19"/>
      <c r="AC1406" s="19"/>
    </row>
    <row r="1407" spans="2:29" x14ac:dyDescent="0.25">
      <c r="B1407" s="19"/>
      <c r="C1407" s="19"/>
      <c r="D1407" s="19"/>
      <c r="E1407" s="19"/>
      <c r="F1407" s="19"/>
      <c r="G1407" s="19"/>
      <c r="H1407" s="19"/>
      <c r="I1407" s="19"/>
      <c r="J1407" s="19"/>
      <c r="K1407" s="19"/>
      <c r="L1407" s="19"/>
      <c r="M1407" s="19"/>
      <c r="N1407" s="19"/>
      <c r="O1407" s="19"/>
      <c r="P1407" s="19"/>
      <c r="Q1407" s="19"/>
      <c r="R1407" s="19"/>
      <c r="S1407" s="19"/>
      <c r="T1407" s="19"/>
      <c r="U1407" s="19"/>
      <c r="V1407" s="19"/>
      <c r="W1407" s="19"/>
      <c r="X1407" s="19"/>
      <c r="Y1407" s="19"/>
      <c r="Z1407" s="19"/>
      <c r="AA1407" s="19"/>
      <c r="AB1407" s="19"/>
      <c r="AC1407" s="19"/>
    </row>
    <row r="1408" spans="2:29" x14ac:dyDescent="0.25">
      <c r="B1408" s="19"/>
      <c r="C1408" s="19"/>
      <c r="D1408" s="19"/>
      <c r="E1408" s="19"/>
      <c r="F1408" s="19"/>
      <c r="G1408" s="19"/>
      <c r="H1408" s="19"/>
      <c r="I1408" s="19"/>
      <c r="J1408" s="19"/>
      <c r="K1408" s="19"/>
      <c r="L1408" s="19"/>
      <c r="M1408" s="19"/>
      <c r="N1408" s="19"/>
      <c r="O1408" s="19"/>
      <c r="P1408" s="19"/>
      <c r="Q1408" s="19"/>
      <c r="R1408" s="19"/>
      <c r="S1408" s="19"/>
      <c r="T1408" s="19"/>
      <c r="U1408" s="19"/>
      <c r="V1408" s="19"/>
      <c r="W1408" s="19"/>
      <c r="X1408" s="19"/>
      <c r="Y1408" s="19"/>
      <c r="Z1408" s="19"/>
      <c r="AA1408" s="19"/>
      <c r="AB1408" s="19"/>
      <c r="AC1408" s="19"/>
    </row>
    <row r="1409" spans="2:29" x14ac:dyDescent="0.25">
      <c r="B1409" s="19"/>
      <c r="C1409" s="19"/>
      <c r="D1409" s="19"/>
      <c r="E1409" s="19"/>
      <c r="F1409" s="19"/>
      <c r="G1409" s="19"/>
      <c r="H1409" s="19"/>
      <c r="I1409" s="19"/>
      <c r="J1409" s="19"/>
      <c r="K1409" s="19"/>
      <c r="L1409" s="19"/>
      <c r="M1409" s="19"/>
      <c r="N1409" s="19"/>
      <c r="O1409" s="19"/>
      <c r="P1409" s="19"/>
      <c r="Q1409" s="19"/>
      <c r="R1409" s="19"/>
      <c r="S1409" s="19"/>
      <c r="T1409" s="19"/>
      <c r="U1409" s="19"/>
      <c r="V1409" s="19"/>
      <c r="W1409" s="19"/>
      <c r="X1409" s="19"/>
      <c r="Y1409" s="19"/>
      <c r="Z1409" s="19"/>
      <c r="AA1409" s="19"/>
      <c r="AB1409" s="19"/>
      <c r="AC1409" s="19"/>
    </row>
    <row r="1410" spans="2:29" x14ac:dyDescent="0.25">
      <c r="B1410" s="19"/>
      <c r="C1410" s="19"/>
      <c r="D1410" s="19"/>
      <c r="E1410" s="19"/>
      <c r="F1410" s="19"/>
      <c r="G1410" s="19"/>
      <c r="H1410" s="19"/>
      <c r="I1410" s="19"/>
      <c r="J1410" s="19"/>
      <c r="K1410" s="19"/>
      <c r="L1410" s="19"/>
      <c r="M1410" s="19"/>
      <c r="N1410" s="19"/>
      <c r="O1410" s="19"/>
      <c r="P1410" s="19"/>
      <c r="Q1410" s="19"/>
      <c r="R1410" s="19"/>
      <c r="S1410" s="19"/>
      <c r="T1410" s="19"/>
      <c r="U1410" s="19"/>
      <c r="V1410" s="19"/>
      <c r="W1410" s="19"/>
      <c r="X1410" s="19"/>
      <c r="Y1410" s="19"/>
      <c r="Z1410" s="19"/>
      <c r="AA1410" s="19"/>
      <c r="AB1410" s="19"/>
      <c r="AC1410" s="19"/>
    </row>
    <row r="1411" spans="2:29" x14ac:dyDescent="0.25">
      <c r="B1411" s="19"/>
      <c r="C1411" s="19"/>
      <c r="D1411" s="19"/>
      <c r="E1411" s="19"/>
      <c r="F1411" s="19"/>
      <c r="G1411" s="19"/>
      <c r="H1411" s="19"/>
      <c r="I1411" s="19"/>
      <c r="J1411" s="19"/>
      <c r="K1411" s="19"/>
      <c r="L1411" s="19"/>
      <c r="M1411" s="19"/>
      <c r="N1411" s="19"/>
      <c r="O1411" s="19"/>
      <c r="P1411" s="19"/>
      <c r="Q1411" s="19"/>
      <c r="R1411" s="19"/>
      <c r="S1411" s="19"/>
      <c r="T1411" s="19"/>
      <c r="U1411" s="19"/>
      <c r="V1411" s="19"/>
      <c r="W1411" s="19"/>
      <c r="X1411" s="19"/>
      <c r="Y1411" s="19"/>
      <c r="Z1411" s="19"/>
      <c r="AA1411" s="19"/>
      <c r="AB1411" s="19"/>
      <c r="AC1411" s="19"/>
    </row>
    <row r="1412" spans="2:29" x14ac:dyDescent="0.25">
      <c r="B1412" s="19"/>
      <c r="C1412" s="19"/>
      <c r="D1412" s="19"/>
      <c r="E1412" s="19"/>
      <c r="F1412" s="19"/>
      <c r="G1412" s="19"/>
      <c r="H1412" s="19"/>
      <c r="I1412" s="19"/>
      <c r="J1412" s="19"/>
      <c r="K1412" s="19"/>
      <c r="L1412" s="19"/>
      <c r="M1412" s="19"/>
      <c r="N1412" s="19"/>
      <c r="O1412" s="19"/>
      <c r="P1412" s="19"/>
      <c r="Q1412" s="19"/>
      <c r="R1412" s="19"/>
      <c r="S1412" s="19"/>
      <c r="T1412" s="19"/>
      <c r="U1412" s="19"/>
      <c r="V1412" s="19"/>
      <c r="W1412" s="19"/>
      <c r="X1412" s="19"/>
      <c r="Y1412" s="19"/>
      <c r="Z1412" s="19"/>
      <c r="AA1412" s="19"/>
      <c r="AB1412" s="19"/>
      <c r="AC1412" s="19"/>
    </row>
    <row r="1413" spans="2:29" x14ac:dyDescent="0.25">
      <c r="B1413" s="19"/>
      <c r="C1413" s="19"/>
      <c r="D1413" s="19"/>
      <c r="E1413" s="19"/>
      <c r="F1413" s="19"/>
      <c r="G1413" s="19"/>
      <c r="H1413" s="19"/>
      <c r="I1413" s="19"/>
      <c r="J1413" s="19"/>
      <c r="K1413" s="19"/>
      <c r="L1413" s="19"/>
      <c r="M1413" s="19"/>
      <c r="N1413" s="19"/>
      <c r="O1413" s="19"/>
      <c r="P1413" s="19"/>
      <c r="Q1413" s="19"/>
      <c r="R1413" s="19"/>
      <c r="S1413" s="19"/>
      <c r="T1413" s="19"/>
      <c r="U1413" s="19"/>
      <c r="V1413" s="19"/>
      <c r="W1413" s="19"/>
      <c r="X1413" s="19"/>
      <c r="Y1413" s="19"/>
      <c r="Z1413" s="19"/>
      <c r="AA1413" s="19"/>
      <c r="AB1413" s="19"/>
      <c r="AC1413" s="19"/>
    </row>
    <row r="1414" spans="2:29" x14ac:dyDescent="0.25">
      <c r="B1414" s="19"/>
      <c r="C1414" s="19"/>
      <c r="D1414" s="19"/>
      <c r="E1414" s="19"/>
      <c r="F1414" s="19"/>
      <c r="G1414" s="19"/>
      <c r="H1414" s="19"/>
      <c r="I1414" s="19"/>
      <c r="J1414" s="19"/>
      <c r="K1414" s="19"/>
      <c r="L1414" s="19"/>
      <c r="M1414" s="19"/>
      <c r="N1414" s="19"/>
      <c r="O1414" s="19"/>
      <c r="P1414" s="19"/>
      <c r="Q1414" s="19"/>
      <c r="R1414" s="19"/>
      <c r="S1414" s="19"/>
      <c r="T1414" s="19"/>
      <c r="U1414" s="19"/>
      <c r="V1414" s="19"/>
      <c r="W1414" s="19"/>
      <c r="X1414" s="19"/>
      <c r="Y1414" s="19"/>
      <c r="Z1414" s="19"/>
      <c r="AA1414" s="19"/>
      <c r="AB1414" s="19"/>
      <c r="AC1414" s="19"/>
    </row>
    <row r="1415" spans="2:29" x14ac:dyDescent="0.25">
      <c r="B1415" s="19"/>
      <c r="C1415" s="19"/>
      <c r="D1415" s="19"/>
      <c r="E1415" s="19"/>
      <c r="F1415" s="19"/>
      <c r="G1415" s="19"/>
      <c r="H1415" s="19"/>
      <c r="I1415" s="19"/>
      <c r="J1415" s="19"/>
      <c r="K1415" s="19"/>
      <c r="L1415" s="19"/>
      <c r="M1415" s="19"/>
      <c r="N1415" s="19"/>
      <c r="O1415" s="19"/>
      <c r="P1415" s="19"/>
      <c r="Q1415" s="19"/>
      <c r="R1415" s="19"/>
      <c r="S1415" s="19"/>
      <c r="T1415" s="19"/>
      <c r="U1415" s="19"/>
      <c r="V1415" s="19"/>
      <c r="W1415" s="19"/>
      <c r="X1415" s="19"/>
      <c r="Y1415" s="19"/>
      <c r="Z1415" s="19"/>
      <c r="AA1415" s="19"/>
      <c r="AB1415" s="19"/>
      <c r="AC1415" s="19"/>
    </row>
    <row r="1416" spans="2:29" x14ac:dyDescent="0.25">
      <c r="B1416" s="19"/>
      <c r="C1416" s="19"/>
      <c r="D1416" s="19"/>
      <c r="E1416" s="19"/>
      <c r="F1416" s="19"/>
      <c r="G1416" s="19"/>
      <c r="H1416" s="19"/>
      <c r="I1416" s="19"/>
      <c r="J1416" s="19"/>
      <c r="K1416" s="19"/>
      <c r="L1416" s="19"/>
      <c r="M1416" s="19"/>
      <c r="N1416" s="19"/>
      <c r="O1416" s="19"/>
      <c r="P1416" s="19"/>
      <c r="Q1416" s="19"/>
      <c r="R1416" s="19"/>
      <c r="S1416" s="19"/>
      <c r="T1416" s="19"/>
      <c r="U1416" s="19"/>
      <c r="V1416" s="19"/>
      <c r="W1416" s="19"/>
      <c r="X1416" s="19"/>
      <c r="Y1416" s="19"/>
      <c r="Z1416" s="19"/>
      <c r="AA1416" s="19"/>
      <c r="AB1416" s="19"/>
      <c r="AC1416" s="19"/>
    </row>
    <row r="1417" spans="2:29" x14ac:dyDescent="0.25">
      <c r="B1417" s="19"/>
      <c r="C1417" s="19"/>
      <c r="D1417" s="19"/>
      <c r="E1417" s="19"/>
      <c r="F1417" s="19"/>
      <c r="G1417" s="19"/>
      <c r="H1417" s="19"/>
      <c r="I1417" s="19"/>
      <c r="J1417" s="19"/>
      <c r="K1417" s="19"/>
      <c r="L1417" s="19"/>
      <c r="M1417" s="19"/>
      <c r="N1417" s="19"/>
      <c r="O1417" s="19"/>
      <c r="P1417" s="19"/>
      <c r="Q1417" s="19"/>
      <c r="R1417" s="19"/>
      <c r="S1417" s="19"/>
      <c r="T1417" s="19"/>
      <c r="U1417" s="19"/>
      <c r="V1417" s="19"/>
      <c r="W1417" s="19"/>
      <c r="X1417" s="19"/>
      <c r="Y1417" s="19"/>
      <c r="Z1417" s="19"/>
      <c r="AA1417" s="19"/>
      <c r="AB1417" s="19"/>
      <c r="AC1417" s="19"/>
    </row>
    <row r="1418" spans="2:29" x14ac:dyDescent="0.25">
      <c r="B1418" s="19"/>
      <c r="C1418" s="19"/>
      <c r="D1418" s="19"/>
      <c r="E1418" s="19"/>
      <c r="F1418" s="19"/>
      <c r="G1418" s="19"/>
      <c r="H1418" s="19"/>
      <c r="I1418" s="19"/>
      <c r="J1418" s="19"/>
      <c r="K1418" s="19"/>
      <c r="L1418" s="19"/>
      <c r="M1418" s="19"/>
      <c r="N1418" s="19"/>
      <c r="O1418" s="19"/>
      <c r="P1418" s="19"/>
      <c r="Q1418" s="19"/>
      <c r="R1418" s="19"/>
      <c r="S1418" s="19"/>
      <c r="T1418" s="19"/>
      <c r="U1418" s="19"/>
      <c r="V1418" s="19"/>
      <c r="W1418" s="19"/>
      <c r="X1418" s="19"/>
      <c r="Y1418" s="19"/>
      <c r="Z1418" s="19"/>
      <c r="AA1418" s="19"/>
      <c r="AB1418" s="19"/>
      <c r="AC1418" s="19"/>
    </row>
    <row r="1419" spans="2:29" x14ac:dyDescent="0.25">
      <c r="B1419" s="19"/>
      <c r="C1419" s="19"/>
      <c r="D1419" s="19"/>
      <c r="E1419" s="19"/>
      <c r="F1419" s="19"/>
      <c r="G1419" s="19"/>
      <c r="H1419" s="19"/>
      <c r="I1419" s="19"/>
      <c r="J1419" s="19"/>
      <c r="K1419" s="19"/>
      <c r="L1419" s="19"/>
      <c r="M1419" s="19"/>
      <c r="N1419" s="19"/>
      <c r="O1419" s="19"/>
      <c r="P1419" s="19"/>
      <c r="Q1419" s="19"/>
      <c r="R1419" s="19"/>
      <c r="S1419" s="19"/>
      <c r="T1419" s="19"/>
      <c r="U1419" s="19"/>
      <c r="V1419" s="19"/>
      <c r="W1419" s="19"/>
      <c r="X1419" s="19"/>
      <c r="Y1419" s="19"/>
      <c r="Z1419" s="19"/>
      <c r="AA1419" s="19"/>
      <c r="AB1419" s="19"/>
      <c r="AC1419" s="19"/>
    </row>
    <row r="1420" spans="2:29" x14ac:dyDescent="0.25">
      <c r="B1420" s="19"/>
      <c r="C1420" s="19"/>
      <c r="D1420" s="19"/>
      <c r="E1420" s="19"/>
      <c r="F1420" s="19"/>
      <c r="G1420" s="19"/>
      <c r="H1420" s="19"/>
      <c r="I1420" s="19"/>
      <c r="J1420" s="19"/>
      <c r="K1420" s="19"/>
      <c r="L1420" s="19"/>
      <c r="M1420" s="19"/>
      <c r="N1420" s="19"/>
      <c r="O1420" s="19"/>
      <c r="P1420" s="19"/>
      <c r="Q1420" s="19"/>
      <c r="R1420" s="19"/>
      <c r="S1420" s="19"/>
      <c r="T1420" s="19"/>
      <c r="U1420" s="19"/>
      <c r="V1420" s="19"/>
      <c r="W1420" s="19"/>
      <c r="X1420" s="19"/>
      <c r="Y1420" s="19"/>
      <c r="Z1420" s="19"/>
      <c r="AA1420" s="19"/>
      <c r="AB1420" s="19"/>
      <c r="AC1420" s="19"/>
    </row>
    <row r="1421" spans="2:29" x14ac:dyDescent="0.25">
      <c r="B1421" s="19"/>
      <c r="C1421" s="19"/>
      <c r="D1421" s="19"/>
      <c r="E1421" s="19"/>
      <c r="F1421" s="19"/>
      <c r="G1421" s="19"/>
      <c r="H1421" s="19"/>
      <c r="I1421" s="19"/>
      <c r="J1421" s="19"/>
      <c r="K1421" s="19"/>
      <c r="L1421" s="19"/>
      <c r="M1421" s="19"/>
      <c r="N1421" s="19"/>
      <c r="O1421" s="19"/>
      <c r="P1421" s="19"/>
      <c r="Q1421" s="19"/>
      <c r="R1421" s="19"/>
      <c r="S1421" s="19"/>
      <c r="T1421" s="19"/>
      <c r="U1421" s="19"/>
      <c r="V1421" s="19"/>
      <c r="W1421" s="19"/>
      <c r="X1421" s="19"/>
      <c r="Y1421" s="19"/>
      <c r="Z1421" s="19"/>
      <c r="AA1421" s="19"/>
      <c r="AB1421" s="19"/>
      <c r="AC1421" s="19"/>
    </row>
    <row r="1422" spans="2:29" x14ac:dyDescent="0.25">
      <c r="B1422" s="19"/>
      <c r="C1422" s="19"/>
      <c r="D1422" s="19"/>
      <c r="E1422" s="19"/>
      <c r="F1422" s="19"/>
      <c r="G1422" s="19"/>
      <c r="H1422" s="19"/>
      <c r="I1422" s="19"/>
      <c r="J1422" s="19"/>
      <c r="K1422" s="19"/>
      <c r="L1422" s="19"/>
      <c r="M1422" s="19"/>
      <c r="N1422" s="19"/>
      <c r="O1422" s="19"/>
      <c r="P1422" s="19"/>
      <c r="Q1422" s="19"/>
      <c r="R1422" s="19"/>
      <c r="S1422" s="19"/>
      <c r="T1422" s="19"/>
      <c r="U1422" s="19"/>
      <c r="V1422" s="19"/>
      <c r="W1422" s="19"/>
      <c r="X1422" s="19"/>
      <c r="Y1422" s="19"/>
      <c r="Z1422" s="19"/>
      <c r="AA1422" s="19"/>
      <c r="AB1422" s="19"/>
      <c r="AC1422" s="19"/>
    </row>
    <row r="1423" spans="2:29" x14ac:dyDescent="0.25">
      <c r="B1423" s="19"/>
      <c r="C1423" s="19"/>
      <c r="D1423" s="19"/>
      <c r="E1423" s="19"/>
      <c r="F1423" s="19"/>
      <c r="G1423" s="19"/>
      <c r="H1423" s="19"/>
      <c r="I1423" s="19"/>
      <c r="J1423" s="19"/>
      <c r="K1423" s="19"/>
      <c r="L1423" s="19"/>
      <c r="M1423" s="19"/>
      <c r="N1423" s="19"/>
      <c r="O1423" s="19"/>
      <c r="P1423" s="19"/>
      <c r="Q1423" s="19"/>
      <c r="R1423" s="19"/>
      <c r="S1423" s="19"/>
      <c r="T1423" s="19"/>
      <c r="U1423" s="19"/>
      <c r="V1423" s="19"/>
      <c r="W1423" s="19"/>
      <c r="X1423" s="19"/>
      <c r="Y1423" s="19"/>
      <c r="Z1423" s="19"/>
      <c r="AA1423" s="19"/>
      <c r="AB1423" s="19"/>
      <c r="AC1423" s="19"/>
    </row>
    <row r="1424" spans="2:29" x14ac:dyDescent="0.25">
      <c r="B1424" s="19"/>
      <c r="C1424" s="19"/>
      <c r="D1424" s="19"/>
      <c r="E1424" s="19"/>
      <c r="F1424" s="19"/>
      <c r="G1424" s="19"/>
      <c r="H1424" s="19"/>
      <c r="I1424" s="19"/>
      <c r="J1424" s="19"/>
      <c r="K1424" s="19"/>
      <c r="L1424" s="19"/>
      <c r="M1424" s="19"/>
      <c r="N1424" s="19"/>
      <c r="O1424" s="19"/>
      <c r="P1424" s="19"/>
      <c r="Q1424" s="19"/>
      <c r="R1424" s="19"/>
      <c r="S1424" s="19"/>
      <c r="T1424" s="19"/>
      <c r="U1424" s="19"/>
      <c r="V1424" s="19"/>
      <c r="W1424" s="19"/>
      <c r="X1424" s="19"/>
      <c r="Y1424" s="19"/>
      <c r="Z1424" s="19"/>
      <c r="AA1424" s="19"/>
      <c r="AB1424" s="19"/>
      <c r="AC1424" s="19"/>
    </row>
    <row r="1425" spans="2:29" x14ac:dyDescent="0.25">
      <c r="B1425" s="19"/>
      <c r="C1425" s="19"/>
      <c r="D1425" s="19"/>
      <c r="E1425" s="19"/>
      <c r="F1425" s="19"/>
      <c r="G1425" s="19"/>
      <c r="H1425" s="19"/>
      <c r="I1425" s="19"/>
      <c r="J1425" s="19"/>
      <c r="K1425" s="19"/>
      <c r="L1425" s="19"/>
      <c r="M1425" s="19"/>
      <c r="N1425" s="19"/>
      <c r="O1425" s="19"/>
      <c r="P1425" s="19"/>
      <c r="Q1425" s="19"/>
      <c r="R1425" s="19"/>
      <c r="S1425" s="19"/>
      <c r="T1425" s="19"/>
      <c r="U1425" s="19"/>
      <c r="V1425" s="19"/>
      <c r="W1425" s="19"/>
      <c r="X1425" s="19"/>
      <c r="Y1425" s="19"/>
      <c r="Z1425" s="19"/>
      <c r="AA1425" s="19"/>
      <c r="AB1425" s="19"/>
      <c r="AC1425" s="19"/>
    </row>
    <row r="1426" spans="2:29" x14ac:dyDescent="0.25">
      <c r="B1426" s="19"/>
      <c r="C1426" s="19"/>
      <c r="D1426" s="19"/>
      <c r="E1426" s="19"/>
      <c r="F1426" s="19"/>
      <c r="G1426" s="19"/>
      <c r="H1426" s="19"/>
      <c r="I1426" s="19"/>
      <c r="J1426" s="19"/>
      <c r="K1426" s="19"/>
      <c r="L1426" s="19"/>
      <c r="M1426" s="19"/>
      <c r="N1426" s="19"/>
      <c r="O1426" s="19"/>
      <c r="P1426" s="19"/>
      <c r="Q1426" s="19"/>
      <c r="R1426" s="19"/>
      <c r="S1426" s="19"/>
      <c r="T1426" s="19"/>
      <c r="U1426" s="19"/>
      <c r="V1426" s="19"/>
      <c r="W1426" s="19"/>
      <c r="X1426" s="19"/>
      <c r="Y1426" s="19"/>
      <c r="Z1426" s="19"/>
      <c r="AA1426" s="19"/>
      <c r="AB1426" s="19"/>
      <c r="AC1426" s="19"/>
    </row>
    <row r="1427" spans="2:29" x14ac:dyDescent="0.25">
      <c r="B1427" s="19"/>
      <c r="C1427" s="19"/>
      <c r="D1427" s="19"/>
      <c r="E1427" s="19"/>
      <c r="F1427" s="19"/>
      <c r="G1427" s="19"/>
      <c r="H1427" s="19"/>
      <c r="I1427" s="19"/>
      <c r="J1427" s="19"/>
      <c r="K1427" s="19"/>
      <c r="L1427" s="19"/>
      <c r="M1427" s="19"/>
      <c r="N1427" s="19"/>
      <c r="O1427" s="19"/>
      <c r="P1427" s="19"/>
      <c r="Q1427" s="19"/>
      <c r="R1427" s="19"/>
      <c r="S1427" s="19"/>
      <c r="T1427" s="19"/>
      <c r="U1427" s="19"/>
      <c r="V1427" s="19"/>
      <c r="W1427" s="19"/>
      <c r="X1427" s="19"/>
      <c r="Y1427" s="19"/>
      <c r="Z1427" s="19"/>
      <c r="AA1427" s="19"/>
      <c r="AB1427" s="19"/>
      <c r="AC1427" s="19"/>
    </row>
    <row r="1428" spans="2:29" x14ac:dyDescent="0.25">
      <c r="B1428" s="19"/>
      <c r="C1428" s="19"/>
      <c r="D1428" s="19"/>
      <c r="E1428" s="19"/>
      <c r="F1428" s="19"/>
      <c r="G1428" s="19"/>
      <c r="H1428" s="19"/>
      <c r="I1428" s="19"/>
      <c r="J1428" s="19"/>
      <c r="K1428" s="19"/>
      <c r="L1428" s="19"/>
      <c r="M1428" s="19"/>
      <c r="N1428" s="19"/>
      <c r="O1428" s="19"/>
      <c r="P1428" s="19"/>
      <c r="Q1428" s="19"/>
      <c r="R1428" s="19"/>
      <c r="S1428" s="19"/>
      <c r="T1428" s="19"/>
      <c r="U1428" s="19"/>
      <c r="V1428" s="19"/>
      <c r="W1428" s="19"/>
      <c r="X1428" s="19"/>
      <c r="Y1428" s="19"/>
      <c r="Z1428" s="19"/>
      <c r="AA1428" s="19"/>
      <c r="AB1428" s="19"/>
      <c r="AC1428" s="19"/>
    </row>
    <row r="1429" spans="2:29" x14ac:dyDescent="0.25">
      <c r="B1429" s="19"/>
      <c r="C1429" s="19"/>
      <c r="D1429" s="19"/>
      <c r="E1429" s="19"/>
      <c r="F1429" s="19"/>
      <c r="G1429" s="19"/>
      <c r="H1429" s="19"/>
      <c r="I1429" s="19"/>
      <c r="J1429" s="19"/>
      <c r="K1429" s="19"/>
      <c r="L1429" s="19"/>
      <c r="M1429" s="19"/>
      <c r="N1429" s="19"/>
      <c r="O1429" s="19"/>
      <c r="P1429" s="19"/>
      <c r="Q1429" s="19"/>
      <c r="R1429" s="19"/>
      <c r="S1429" s="19"/>
      <c r="T1429" s="19"/>
      <c r="U1429" s="19"/>
      <c r="V1429" s="19"/>
      <c r="W1429" s="19"/>
      <c r="X1429" s="19"/>
      <c r="Y1429" s="19"/>
      <c r="Z1429" s="19"/>
      <c r="AA1429" s="19"/>
      <c r="AB1429" s="19"/>
      <c r="AC1429" s="19"/>
    </row>
    <row r="1430" spans="2:29" x14ac:dyDescent="0.25">
      <c r="B1430" s="19"/>
      <c r="C1430" s="19"/>
      <c r="D1430" s="19"/>
      <c r="E1430" s="19"/>
      <c r="F1430" s="19"/>
      <c r="G1430" s="19"/>
      <c r="H1430" s="19"/>
      <c r="I1430" s="19"/>
      <c r="J1430" s="19"/>
      <c r="K1430" s="19"/>
      <c r="L1430" s="19"/>
      <c r="M1430" s="19"/>
      <c r="N1430" s="19"/>
      <c r="O1430" s="19"/>
      <c r="P1430" s="19"/>
      <c r="Q1430" s="19"/>
      <c r="R1430" s="19"/>
      <c r="S1430" s="19"/>
      <c r="T1430" s="19"/>
      <c r="U1430" s="19"/>
      <c r="V1430" s="19"/>
      <c r="W1430" s="19"/>
      <c r="X1430" s="19"/>
      <c r="Y1430" s="19"/>
      <c r="Z1430" s="19"/>
      <c r="AA1430" s="19"/>
      <c r="AB1430" s="19"/>
      <c r="AC1430" s="19"/>
    </row>
    <row r="1431" spans="2:29" x14ac:dyDescent="0.25">
      <c r="B1431" s="19"/>
      <c r="C1431" s="19"/>
      <c r="D1431" s="19"/>
      <c r="E1431" s="19"/>
      <c r="F1431" s="19"/>
      <c r="G1431" s="19"/>
      <c r="H1431" s="19"/>
      <c r="I1431" s="19"/>
      <c r="J1431" s="19"/>
      <c r="K1431" s="19"/>
      <c r="L1431" s="19"/>
      <c r="M1431" s="19"/>
      <c r="N1431" s="19"/>
      <c r="O1431" s="19"/>
      <c r="P1431" s="19"/>
      <c r="Q1431" s="19"/>
      <c r="R1431" s="19"/>
      <c r="S1431" s="19"/>
      <c r="T1431" s="19"/>
      <c r="U1431" s="19"/>
      <c r="V1431" s="19"/>
      <c r="W1431" s="19"/>
      <c r="X1431" s="19"/>
      <c r="Y1431" s="19"/>
      <c r="Z1431" s="19"/>
      <c r="AA1431" s="19"/>
      <c r="AB1431" s="19"/>
      <c r="AC1431" s="19"/>
    </row>
    <row r="1432" spans="2:29" x14ac:dyDescent="0.25">
      <c r="B1432" s="19"/>
      <c r="C1432" s="19"/>
      <c r="D1432" s="19"/>
      <c r="E1432" s="19"/>
      <c r="F1432" s="19"/>
      <c r="G1432" s="19"/>
      <c r="H1432" s="19"/>
      <c r="I1432" s="19"/>
      <c r="J1432" s="19"/>
      <c r="K1432" s="19"/>
      <c r="L1432" s="19"/>
      <c r="M1432" s="19"/>
      <c r="N1432" s="19"/>
      <c r="O1432" s="19"/>
      <c r="P1432" s="19"/>
      <c r="Q1432" s="19"/>
      <c r="R1432" s="19"/>
      <c r="S1432" s="19"/>
      <c r="T1432" s="19"/>
      <c r="U1432" s="19"/>
      <c r="V1432" s="19"/>
      <c r="W1432" s="19"/>
      <c r="X1432" s="19"/>
      <c r="Y1432" s="19"/>
      <c r="Z1432" s="19"/>
      <c r="AA1432" s="19"/>
      <c r="AB1432" s="19"/>
      <c r="AC1432" s="19"/>
    </row>
    <row r="1433" spans="2:29" x14ac:dyDescent="0.25">
      <c r="B1433" s="19"/>
      <c r="C1433" s="19"/>
      <c r="D1433" s="19"/>
      <c r="E1433" s="19"/>
      <c r="F1433" s="19"/>
      <c r="G1433" s="19"/>
      <c r="H1433" s="19"/>
      <c r="I1433" s="19"/>
      <c r="J1433" s="19"/>
      <c r="K1433" s="19"/>
      <c r="L1433" s="19"/>
      <c r="M1433" s="19"/>
      <c r="N1433" s="19"/>
      <c r="O1433" s="19"/>
      <c r="P1433" s="19"/>
      <c r="Q1433" s="19"/>
      <c r="R1433" s="19"/>
      <c r="S1433" s="19"/>
      <c r="T1433" s="19"/>
      <c r="U1433" s="19"/>
      <c r="V1433" s="19"/>
      <c r="W1433" s="19"/>
      <c r="X1433" s="19"/>
      <c r="Y1433" s="19"/>
      <c r="Z1433" s="19"/>
      <c r="AA1433" s="19"/>
      <c r="AB1433" s="19"/>
      <c r="AC1433" s="19"/>
    </row>
    <row r="1434" spans="2:29" x14ac:dyDescent="0.25">
      <c r="B1434" s="19"/>
      <c r="C1434" s="19"/>
      <c r="D1434" s="19"/>
      <c r="E1434" s="19"/>
      <c r="F1434" s="19"/>
      <c r="G1434" s="19"/>
      <c r="H1434" s="19"/>
      <c r="I1434" s="19"/>
      <c r="J1434" s="19"/>
      <c r="K1434" s="19"/>
      <c r="L1434" s="19"/>
      <c r="M1434" s="19"/>
      <c r="N1434" s="19"/>
      <c r="O1434" s="19"/>
      <c r="P1434" s="19"/>
      <c r="Q1434" s="19"/>
      <c r="R1434" s="19"/>
      <c r="S1434" s="19"/>
      <c r="T1434" s="19"/>
      <c r="U1434" s="19"/>
      <c r="V1434" s="19"/>
      <c r="W1434" s="19"/>
      <c r="X1434" s="19"/>
      <c r="Y1434" s="19"/>
      <c r="Z1434" s="19"/>
      <c r="AA1434" s="19"/>
      <c r="AB1434" s="19"/>
      <c r="AC1434" s="19"/>
    </row>
    <row r="1435" spans="2:29" x14ac:dyDescent="0.25">
      <c r="B1435" s="19"/>
      <c r="C1435" s="19"/>
      <c r="D1435" s="19"/>
      <c r="E1435" s="19"/>
      <c r="F1435" s="19"/>
      <c r="G1435" s="19"/>
      <c r="H1435" s="19"/>
      <c r="I1435" s="19"/>
      <c r="J1435" s="19"/>
      <c r="K1435" s="19"/>
      <c r="L1435" s="19"/>
      <c r="M1435" s="19"/>
      <c r="N1435" s="19"/>
      <c r="O1435" s="19"/>
      <c r="P1435" s="19"/>
      <c r="Q1435" s="19"/>
      <c r="R1435" s="19"/>
      <c r="S1435" s="19"/>
      <c r="T1435" s="19"/>
      <c r="U1435" s="19"/>
      <c r="V1435" s="19"/>
      <c r="W1435" s="19"/>
      <c r="X1435" s="19"/>
      <c r="Y1435" s="19"/>
      <c r="Z1435" s="19"/>
      <c r="AA1435" s="19"/>
      <c r="AB1435" s="19"/>
      <c r="AC1435" s="19"/>
    </row>
    <row r="1436" spans="2:29" x14ac:dyDescent="0.25">
      <c r="B1436" s="19"/>
      <c r="C1436" s="19"/>
      <c r="D1436" s="19"/>
      <c r="E1436" s="19"/>
      <c r="F1436" s="19"/>
      <c r="G1436" s="19"/>
      <c r="H1436" s="19"/>
      <c r="I1436" s="19"/>
      <c r="J1436" s="19"/>
      <c r="K1436" s="19"/>
      <c r="L1436" s="19"/>
      <c r="M1436" s="19"/>
      <c r="N1436" s="19"/>
      <c r="O1436" s="19"/>
      <c r="P1436" s="19"/>
      <c r="Q1436" s="19"/>
      <c r="R1436" s="19"/>
      <c r="S1436" s="19"/>
      <c r="T1436" s="19"/>
      <c r="U1436" s="19"/>
      <c r="V1436" s="19"/>
      <c r="W1436" s="19"/>
      <c r="X1436" s="19"/>
      <c r="Y1436" s="19"/>
      <c r="Z1436" s="19"/>
      <c r="AA1436" s="19"/>
      <c r="AB1436" s="19"/>
      <c r="AC1436" s="19"/>
    </row>
    <row r="1437" spans="2:29" x14ac:dyDescent="0.25">
      <c r="B1437" s="19"/>
      <c r="C1437" s="19"/>
      <c r="D1437" s="19"/>
      <c r="E1437" s="19"/>
      <c r="F1437" s="19"/>
      <c r="G1437" s="19"/>
      <c r="H1437" s="19"/>
      <c r="I1437" s="19"/>
      <c r="J1437" s="19"/>
      <c r="K1437" s="19"/>
      <c r="L1437" s="19"/>
      <c r="M1437" s="19"/>
      <c r="N1437" s="19"/>
      <c r="O1437" s="19"/>
      <c r="P1437" s="19"/>
      <c r="Q1437" s="19"/>
      <c r="R1437" s="19"/>
      <c r="S1437" s="19"/>
      <c r="T1437" s="19"/>
      <c r="U1437" s="19"/>
      <c r="V1437" s="19"/>
      <c r="W1437" s="19"/>
      <c r="X1437" s="19"/>
      <c r="Y1437" s="19"/>
      <c r="Z1437" s="19"/>
      <c r="AA1437" s="19"/>
      <c r="AB1437" s="19"/>
      <c r="AC1437" s="19"/>
    </row>
    <row r="1438" spans="2:29" x14ac:dyDescent="0.25">
      <c r="B1438" s="19"/>
      <c r="C1438" s="19"/>
      <c r="D1438" s="19"/>
      <c r="E1438" s="19"/>
      <c r="F1438" s="19"/>
      <c r="G1438" s="19"/>
      <c r="H1438" s="19"/>
      <c r="I1438" s="19"/>
      <c r="J1438" s="19"/>
      <c r="K1438" s="19"/>
      <c r="L1438" s="19"/>
      <c r="M1438" s="19"/>
      <c r="N1438" s="19"/>
      <c r="O1438" s="19"/>
      <c r="P1438" s="19"/>
      <c r="Q1438" s="19"/>
      <c r="R1438" s="19"/>
      <c r="S1438" s="19"/>
      <c r="T1438" s="19"/>
      <c r="U1438" s="19"/>
      <c r="V1438" s="19"/>
      <c r="W1438" s="19"/>
      <c r="X1438" s="19"/>
      <c r="Y1438" s="19"/>
      <c r="Z1438" s="19"/>
      <c r="AA1438" s="19"/>
      <c r="AB1438" s="19"/>
      <c r="AC1438" s="19"/>
    </row>
    <row r="1439" spans="2:29" x14ac:dyDescent="0.25">
      <c r="B1439" s="19"/>
      <c r="C1439" s="19"/>
      <c r="D1439" s="19"/>
      <c r="E1439" s="19"/>
      <c r="F1439" s="19"/>
      <c r="G1439" s="19"/>
      <c r="H1439" s="19"/>
      <c r="I1439" s="19"/>
      <c r="J1439" s="19"/>
      <c r="K1439" s="19"/>
      <c r="L1439" s="19"/>
      <c r="M1439" s="19"/>
      <c r="N1439" s="19"/>
      <c r="O1439" s="19"/>
      <c r="P1439" s="19"/>
      <c r="Q1439" s="19"/>
      <c r="R1439" s="19"/>
      <c r="S1439" s="19"/>
      <c r="T1439" s="19"/>
      <c r="U1439" s="19"/>
      <c r="V1439" s="19"/>
      <c r="W1439" s="19"/>
      <c r="X1439" s="19"/>
      <c r="Y1439" s="19"/>
      <c r="Z1439" s="19"/>
      <c r="AA1439" s="19"/>
      <c r="AB1439" s="19"/>
      <c r="AC1439" s="19"/>
    </row>
    <row r="1440" spans="2:29" x14ac:dyDescent="0.25">
      <c r="B1440" s="19"/>
      <c r="C1440" s="19"/>
      <c r="D1440" s="19"/>
      <c r="E1440" s="19"/>
      <c r="F1440" s="19"/>
      <c r="G1440" s="19"/>
      <c r="H1440" s="19"/>
      <c r="I1440" s="19"/>
      <c r="J1440" s="19"/>
      <c r="K1440" s="19"/>
      <c r="L1440" s="19"/>
      <c r="M1440" s="19"/>
      <c r="N1440" s="19"/>
      <c r="O1440" s="19"/>
      <c r="P1440" s="19"/>
      <c r="Q1440" s="19"/>
      <c r="R1440" s="19"/>
      <c r="S1440" s="19"/>
      <c r="T1440" s="19"/>
      <c r="U1440" s="19"/>
      <c r="V1440" s="19"/>
      <c r="W1440" s="19"/>
      <c r="X1440" s="19"/>
      <c r="Y1440" s="19"/>
      <c r="Z1440" s="19"/>
      <c r="AA1440" s="19"/>
      <c r="AB1440" s="19"/>
      <c r="AC1440" s="19"/>
    </row>
    <row r="1441" spans="2:29" x14ac:dyDescent="0.25">
      <c r="B1441" s="19"/>
      <c r="C1441" s="19"/>
      <c r="D1441" s="19"/>
      <c r="E1441" s="19"/>
      <c r="F1441" s="19"/>
      <c r="G1441" s="19"/>
      <c r="H1441" s="19"/>
      <c r="I1441" s="19"/>
      <c r="J1441" s="19"/>
      <c r="K1441" s="19"/>
      <c r="L1441" s="19"/>
      <c r="M1441" s="19"/>
      <c r="N1441" s="19"/>
      <c r="O1441" s="19"/>
      <c r="P1441" s="19"/>
      <c r="Q1441" s="19"/>
      <c r="R1441" s="19"/>
      <c r="S1441" s="19"/>
      <c r="T1441" s="19"/>
      <c r="U1441" s="19"/>
      <c r="V1441" s="19"/>
      <c r="W1441" s="19"/>
      <c r="X1441" s="19"/>
      <c r="Y1441" s="19"/>
      <c r="Z1441" s="19"/>
      <c r="AA1441" s="19"/>
      <c r="AB1441" s="19"/>
      <c r="AC1441" s="19"/>
    </row>
    <row r="1442" spans="2:29" x14ac:dyDescent="0.25">
      <c r="B1442" s="19"/>
      <c r="C1442" s="19"/>
      <c r="D1442" s="19"/>
      <c r="E1442" s="19"/>
      <c r="F1442" s="19"/>
      <c r="G1442" s="19"/>
      <c r="H1442" s="19"/>
      <c r="I1442" s="19"/>
      <c r="J1442" s="19"/>
      <c r="K1442" s="19"/>
      <c r="L1442" s="19"/>
      <c r="M1442" s="19"/>
      <c r="N1442" s="19"/>
      <c r="O1442" s="19"/>
      <c r="P1442" s="19"/>
      <c r="Q1442" s="19"/>
      <c r="R1442" s="19"/>
      <c r="S1442" s="19"/>
      <c r="T1442" s="19"/>
      <c r="U1442" s="19"/>
      <c r="V1442" s="19"/>
      <c r="W1442" s="19"/>
      <c r="X1442" s="19"/>
      <c r="Y1442" s="19"/>
      <c r="Z1442" s="19"/>
      <c r="AA1442" s="19"/>
      <c r="AB1442" s="19"/>
      <c r="AC1442" s="19"/>
    </row>
    <row r="1443" spans="2:29" x14ac:dyDescent="0.25">
      <c r="B1443" s="19"/>
      <c r="C1443" s="19"/>
      <c r="D1443" s="19"/>
      <c r="E1443" s="19"/>
      <c r="F1443" s="19"/>
      <c r="G1443" s="19"/>
      <c r="H1443" s="19"/>
      <c r="I1443" s="19"/>
      <c r="J1443" s="19"/>
      <c r="K1443" s="19"/>
      <c r="L1443" s="19"/>
      <c r="M1443" s="19"/>
      <c r="N1443" s="19"/>
      <c r="O1443" s="19"/>
      <c r="P1443" s="19"/>
      <c r="Q1443" s="19"/>
      <c r="R1443" s="19"/>
      <c r="S1443" s="19"/>
      <c r="T1443" s="19"/>
      <c r="U1443" s="19"/>
      <c r="V1443" s="19"/>
      <c r="W1443" s="19"/>
      <c r="X1443" s="19"/>
      <c r="Y1443" s="19"/>
      <c r="Z1443" s="19"/>
      <c r="AA1443" s="19"/>
      <c r="AB1443" s="19"/>
      <c r="AC1443" s="19"/>
    </row>
    <row r="1444" spans="2:29" x14ac:dyDescent="0.25">
      <c r="B1444" s="19"/>
      <c r="C1444" s="19"/>
      <c r="D1444" s="19"/>
      <c r="E1444" s="19"/>
      <c r="F1444" s="19"/>
      <c r="G1444" s="19"/>
      <c r="H1444" s="19"/>
      <c r="I1444" s="19"/>
      <c r="J1444" s="19"/>
      <c r="K1444" s="19"/>
      <c r="L1444" s="19"/>
      <c r="M1444" s="19"/>
      <c r="N1444" s="19"/>
      <c r="O1444" s="19"/>
      <c r="P1444" s="19"/>
      <c r="Q1444" s="19"/>
      <c r="R1444" s="19"/>
      <c r="S1444" s="19"/>
      <c r="T1444" s="19"/>
      <c r="U1444" s="19"/>
      <c r="V1444" s="19"/>
      <c r="W1444" s="19"/>
      <c r="X1444" s="19"/>
      <c r="Y1444" s="19"/>
      <c r="Z1444" s="19"/>
      <c r="AA1444" s="19"/>
      <c r="AB1444" s="19"/>
      <c r="AC1444" s="19"/>
    </row>
    <row r="1445" spans="2:29" x14ac:dyDescent="0.25">
      <c r="B1445" s="19"/>
      <c r="C1445" s="19"/>
      <c r="D1445" s="19"/>
      <c r="E1445" s="19"/>
      <c r="F1445" s="19"/>
      <c r="G1445" s="19"/>
      <c r="H1445" s="19"/>
      <c r="I1445" s="19"/>
      <c r="J1445" s="19"/>
      <c r="K1445" s="19"/>
      <c r="L1445" s="19"/>
      <c r="M1445" s="19"/>
      <c r="N1445" s="19"/>
      <c r="O1445" s="19"/>
      <c r="P1445" s="19"/>
      <c r="Q1445" s="19"/>
      <c r="R1445" s="19"/>
      <c r="S1445" s="19"/>
      <c r="T1445" s="19"/>
      <c r="U1445" s="19"/>
      <c r="V1445" s="19"/>
      <c r="W1445" s="19"/>
      <c r="X1445" s="19"/>
      <c r="Y1445" s="19"/>
      <c r="Z1445" s="19"/>
      <c r="AA1445" s="19"/>
      <c r="AB1445" s="19"/>
      <c r="AC1445" s="19"/>
    </row>
    <row r="1446" spans="2:29" x14ac:dyDescent="0.25">
      <c r="B1446" s="19"/>
      <c r="C1446" s="19"/>
      <c r="D1446" s="19"/>
      <c r="E1446" s="19"/>
      <c r="F1446" s="19"/>
      <c r="G1446" s="19"/>
      <c r="H1446" s="19"/>
      <c r="I1446" s="19"/>
      <c r="J1446" s="19"/>
      <c r="K1446" s="19"/>
      <c r="L1446" s="19"/>
      <c r="M1446" s="19"/>
      <c r="N1446" s="19"/>
      <c r="O1446" s="19"/>
      <c r="P1446" s="19"/>
      <c r="Q1446" s="19"/>
      <c r="R1446" s="19"/>
      <c r="S1446" s="19"/>
      <c r="T1446" s="19"/>
      <c r="U1446" s="19"/>
      <c r="V1446" s="19"/>
      <c r="W1446" s="19"/>
      <c r="X1446" s="19"/>
      <c r="Y1446" s="19"/>
      <c r="Z1446" s="19"/>
      <c r="AA1446" s="19"/>
      <c r="AB1446" s="19"/>
      <c r="AC1446" s="19"/>
    </row>
    <row r="1447" spans="2:29" x14ac:dyDescent="0.25">
      <c r="B1447" s="19"/>
      <c r="C1447" s="19"/>
      <c r="D1447" s="19"/>
      <c r="E1447" s="19"/>
      <c r="F1447" s="19"/>
      <c r="G1447" s="19"/>
      <c r="H1447" s="19"/>
      <c r="I1447" s="19"/>
      <c r="J1447" s="19"/>
      <c r="K1447" s="19"/>
      <c r="L1447" s="19"/>
      <c r="M1447" s="19"/>
      <c r="N1447" s="19"/>
      <c r="O1447" s="19"/>
      <c r="P1447" s="19"/>
      <c r="Q1447" s="19"/>
      <c r="R1447" s="19"/>
      <c r="S1447" s="19"/>
      <c r="T1447" s="19"/>
      <c r="U1447" s="19"/>
      <c r="V1447" s="19"/>
      <c r="W1447" s="19"/>
      <c r="X1447" s="19"/>
      <c r="Y1447" s="19"/>
      <c r="Z1447" s="19"/>
      <c r="AA1447" s="19"/>
      <c r="AB1447" s="19"/>
      <c r="AC1447" s="19"/>
    </row>
    <row r="1448" spans="2:29" x14ac:dyDescent="0.25">
      <c r="B1448" s="19"/>
      <c r="C1448" s="19"/>
      <c r="D1448" s="19"/>
      <c r="E1448" s="19"/>
      <c r="F1448" s="19"/>
      <c r="G1448" s="19"/>
      <c r="H1448" s="19"/>
      <c r="I1448" s="19"/>
      <c r="J1448" s="19"/>
      <c r="K1448" s="19"/>
      <c r="L1448" s="19"/>
      <c r="M1448" s="19"/>
      <c r="N1448" s="19"/>
      <c r="O1448" s="19"/>
      <c r="P1448" s="19"/>
      <c r="Q1448" s="19"/>
      <c r="R1448" s="19"/>
      <c r="S1448" s="19"/>
      <c r="T1448" s="19"/>
      <c r="U1448" s="19"/>
      <c r="V1448" s="19"/>
      <c r="W1448" s="19"/>
      <c r="X1448" s="19"/>
      <c r="Y1448" s="19"/>
      <c r="Z1448" s="19"/>
      <c r="AA1448" s="19"/>
      <c r="AB1448" s="19"/>
      <c r="AC1448" s="19"/>
    </row>
    <row r="1449" spans="2:29" x14ac:dyDescent="0.25">
      <c r="B1449" s="19"/>
      <c r="C1449" s="19"/>
      <c r="D1449" s="19"/>
      <c r="E1449" s="19"/>
      <c r="F1449" s="19"/>
      <c r="G1449" s="19"/>
      <c r="H1449" s="19"/>
      <c r="I1449" s="19"/>
      <c r="J1449" s="19"/>
      <c r="K1449" s="19"/>
      <c r="L1449" s="19"/>
      <c r="M1449" s="19"/>
      <c r="N1449" s="19"/>
      <c r="O1449" s="19"/>
      <c r="P1449" s="19"/>
      <c r="Q1449" s="19"/>
      <c r="R1449" s="19"/>
      <c r="S1449" s="19"/>
      <c r="T1449" s="19"/>
      <c r="U1449" s="19"/>
      <c r="V1449" s="19"/>
      <c r="W1449" s="19"/>
      <c r="X1449" s="19"/>
      <c r="Y1449" s="19"/>
      <c r="Z1449" s="19"/>
      <c r="AA1449" s="19"/>
      <c r="AB1449" s="19"/>
      <c r="AC1449" s="19"/>
    </row>
    <row r="1450" spans="2:29" x14ac:dyDescent="0.25">
      <c r="B1450" s="19"/>
      <c r="C1450" s="19"/>
      <c r="D1450" s="19"/>
      <c r="E1450" s="19"/>
      <c r="F1450" s="19"/>
      <c r="G1450" s="19"/>
      <c r="H1450" s="19"/>
      <c r="I1450" s="19"/>
      <c r="J1450" s="19"/>
      <c r="K1450" s="19"/>
      <c r="L1450" s="19"/>
      <c r="M1450" s="19"/>
      <c r="N1450" s="19"/>
      <c r="O1450" s="19"/>
      <c r="P1450" s="19"/>
      <c r="Q1450" s="19"/>
      <c r="R1450" s="19"/>
      <c r="S1450" s="19"/>
      <c r="T1450" s="19"/>
      <c r="U1450" s="19"/>
      <c r="V1450" s="19"/>
      <c r="W1450" s="19"/>
      <c r="X1450" s="19"/>
      <c r="Y1450" s="19"/>
      <c r="Z1450" s="19"/>
      <c r="AA1450" s="19"/>
      <c r="AB1450" s="19"/>
      <c r="AC1450" s="19"/>
    </row>
    <row r="1451" spans="2:29" x14ac:dyDescent="0.25">
      <c r="B1451" s="19"/>
      <c r="C1451" s="19"/>
      <c r="D1451" s="19"/>
      <c r="E1451" s="19"/>
      <c r="F1451" s="19"/>
      <c r="G1451" s="19"/>
      <c r="H1451" s="19"/>
      <c r="I1451" s="19"/>
      <c r="J1451" s="19"/>
      <c r="K1451" s="19"/>
      <c r="L1451" s="19"/>
      <c r="M1451" s="19"/>
      <c r="N1451" s="19"/>
      <c r="O1451" s="19"/>
      <c r="P1451" s="19"/>
      <c r="Q1451" s="19"/>
      <c r="R1451" s="19"/>
      <c r="S1451" s="19"/>
      <c r="T1451" s="19"/>
      <c r="U1451" s="19"/>
      <c r="V1451" s="19"/>
      <c r="W1451" s="19"/>
      <c r="X1451" s="19"/>
      <c r="Y1451" s="19"/>
      <c r="Z1451" s="19"/>
      <c r="AA1451" s="19"/>
      <c r="AB1451" s="19"/>
      <c r="AC1451" s="19"/>
    </row>
    <row r="1452" spans="2:29" x14ac:dyDescent="0.25">
      <c r="B1452" s="19"/>
      <c r="C1452" s="19"/>
      <c r="D1452" s="19"/>
      <c r="E1452" s="19"/>
      <c r="F1452" s="19"/>
      <c r="G1452" s="19"/>
      <c r="H1452" s="19"/>
      <c r="I1452" s="19"/>
      <c r="J1452" s="19"/>
      <c r="K1452" s="19"/>
      <c r="L1452" s="19"/>
      <c r="M1452" s="19"/>
      <c r="N1452" s="19"/>
      <c r="O1452" s="19"/>
      <c r="P1452" s="19"/>
      <c r="Q1452" s="19"/>
      <c r="R1452" s="19"/>
      <c r="S1452" s="19"/>
      <c r="T1452" s="19"/>
      <c r="U1452" s="19"/>
      <c r="V1452" s="19"/>
      <c r="W1452" s="19"/>
      <c r="X1452" s="19"/>
      <c r="Y1452" s="19"/>
      <c r="Z1452" s="19"/>
      <c r="AA1452" s="19"/>
      <c r="AB1452" s="19"/>
      <c r="AC1452" s="19"/>
    </row>
    <row r="1453" spans="2:29" x14ac:dyDescent="0.25">
      <c r="B1453" s="19"/>
      <c r="C1453" s="19"/>
      <c r="D1453" s="19"/>
      <c r="E1453" s="19"/>
      <c r="F1453" s="19"/>
      <c r="G1453" s="19"/>
      <c r="H1453" s="19"/>
      <c r="I1453" s="19"/>
      <c r="J1453" s="19"/>
      <c r="K1453" s="19"/>
      <c r="L1453" s="19"/>
      <c r="M1453" s="19"/>
      <c r="N1453" s="19"/>
      <c r="O1453" s="19"/>
      <c r="P1453" s="19"/>
      <c r="Q1453" s="19"/>
      <c r="R1453" s="19"/>
      <c r="S1453" s="19"/>
      <c r="T1453" s="19"/>
      <c r="U1453" s="19"/>
      <c r="V1453" s="19"/>
      <c r="W1453" s="19"/>
      <c r="X1453" s="19"/>
      <c r="Y1453" s="19"/>
      <c r="Z1453" s="19"/>
      <c r="AA1453" s="19"/>
      <c r="AB1453" s="19"/>
      <c r="AC1453" s="19"/>
    </row>
    <row r="1454" spans="2:29" x14ac:dyDescent="0.25">
      <c r="B1454" s="19"/>
      <c r="C1454" s="19"/>
      <c r="D1454" s="19"/>
      <c r="E1454" s="19"/>
      <c r="F1454" s="19"/>
      <c r="G1454" s="19"/>
      <c r="H1454" s="19"/>
      <c r="I1454" s="19"/>
      <c r="J1454" s="19"/>
      <c r="K1454" s="19"/>
      <c r="L1454" s="19"/>
      <c r="M1454" s="19"/>
      <c r="N1454" s="19"/>
      <c r="O1454" s="19"/>
      <c r="P1454" s="19"/>
      <c r="Q1454" s="19"/>
      <c r="R1454" s="19"/>
      <c r="S1454" s="19"/>
      <c r="T1454" s="19"/>
      <c r="U1454" s="19"/>
      <c r="V1454" s="19"/>
      <c r="W1454" s="19"/>
      <c r="X1454" s="19"/>
      <c r="Y1454" s="19"/>
      <c r="Z1454" s="19"/>
      <c r="AA1454" s="19"/>
      <c r="AB1454" s="19"/>
      <c r="AC1454" s="19"/>
    </row>
    <row r="1455" spans="2:29" x14ac:dyDescent="0.25">
      <c r="B1455" s="19"/>
      <c r="C1455" s="19"/>
      <c r="D1455" s="19"/>
      <c r="E1455" s="19"/>
      <c r="F1455" s="19"/>
      <c r="G1455" s="19"/>
      <c r="H1455" s="19"/>
      <c r="I1455" s="19"/>
      <c r="J1455" s="19"/>
      <c r="K1455" s="19"/>
      <c r="L1455" s="19"/>
      <c r="M1455" s="19"/>
      <c r="N1455" s="19"/>
      <c r="O1455" s="19"/>
      <c r="P1455" s="19"/>
      <c r="Q1455" s="19"/>
      <c r="R1455" s="19"/>
      <c r="S1455" s="19"/>
      <c r="T1455" s="19"/>
      <c r="U1455" s="19"/>
      <c r="V1455" s="19"/>
      <c r="W1455" s="19"/>
      <c r="X1455" s="19"/>
      <c r="Y1455" s="19"/>
      <c r="Z1455" s="19"/>
      <c r="AA1455" s="19"/>
      <c r="AB1455" s="19"/>
      <c r="AC1455" s="19"/>
    </row>
    <row r="1456" spans="2:29" x14ac:dyDescent="0.25">
      <c r="B1456" s="19"/>
      <c r="C1456" s="19"/>
      <c r="D1456" s="19"/>
      <c r="E1456" s="19"/>
      <c r="F1456" s="19"/>
      <c r="G1456" s="19"/>
      <c r="H1456" s="19"/>
      <c r="I1456" s="19"/>
      <c r="J1456" s="19"/>
      <c r="K1456" s="19"/>
      <c r="L1456" s="19"/>
      <c r="M1456" s="19"/>
      <c r="N1456" s="19"/>
      <c r="O1456" s="19"/>
      <c r="P1456" s="19"/>
      <c r="Q1456" s="19"/>
      <c r="R1456" s="19"/>
      <c r="S1456" s="19"/>
      <c r="T1456" s="19"/>
      <c r="U1456" s="19"/>
      <c r="V1456" s="19"/>
      <c r="W1456" s="19"/>
      <c r="X1456" s="19"/>
      <c r="Y1456" s="19"/>
      <c r="Z1456" s="19"/>
      <c r="AA1456" s="19"/>
      <c r="AB1456" s="19"/>
      <c r="AC1456" s="19"/>
    </row>
    <row r="1457" spans="2:29" x14ac:dyDescent="0.25">
      <c r="B1457" s="19"/>
      <c r="C1457" s="19"/>
      <c r="D1457" s="19"/>
      <c r="E1457" s="19"/>
      <c r="F1457" s="19"/>
      <c r="G1457" s="19"/>
      <c r="H1457" s="19"/>
      <c r="I1457" s="19"/>
      <c r="J1457" s="19"/>
      <c r="K1457" s="19"/>
      <c r="L1457" s="19"/>
      <c r="M1457" s="19"/>
      <c r="N1457" s="19"/>
      <c r="O1457" s="19"/>
      <c r="P1457" s="19"/>
      <c r="Q1457" s="19"/>
      <c r="R1457" s="19"/>
      <c r="S1457" s="19"/>
      <c r="T1457" s="19"/>
      <c r="U1457" s="19"/>
      <c r="V1457" s="19"/>
      <c r="W1457" s="19"/>
      <c r="X1457" s="19"/>
      <c r="Y1457" s="19"/>
      <c r="Z1457" s="19"/>
      <c r="AA1457" s="19"/>
      <c r="AB1457" s="19"/>
      <c r="AC1457" s="19"/>
    </row>
    <row r="1458" spans="2:29" x14ac:dyDescent="0.25">
      <c r="B1458" s="19"/>
      <c r="C1458" s="19"/>
      <c r="D1458" s="19"/>
      <c r="E1458" s="19"/>
      <c r="F1458" s="19"/>
      <c r="G1458" s="19"/>
      <c r="H1458" s="19"/>
      <c r="I1458" s="19"/>
      <c r="J1458" s="19"/>
      <c r="K1458" s="19"/>
      <c r="L1458" s="19"/>
      <c r="M1458" s="19"/>
      <c r="N1458" s="19"/>
      <c r="O1458" s="19"/>
      <c r="P1458" s="19"/>
      <c r="Q1458" s="19"/>
      <c r="R1458" s="19"/>
      <c r="S1458" s="19"/>
      <c r="T1458" s="19"/>
      <c r="U1458" s="19"/>
      <c r="V1458" s="19"/>
      <c r="W1458" s="19"/>
      <c r="X1458" s="19"/>
      <c r="Y1458" s="19"/>
      <c r="Z1458" s="19"/>
      <c r="AA1458" s="19"/>
      <c r="AB1458" s="19"/>
      <c r="AC1458" s="19"/>
    </row>
    <row r="1459" spans="2:29" x14ac:dyDescent="0.25">
      <c r="B1459" s="19"/>
      <c r="C1459" s="19"/>
      <c r="D1459" s="19"/>
      <c r="E1459" s="19"/>
      <c r="F1459" s="19"/>
      <c r="G1459" s="19"/>
      <c r="H1459" s="19"/>
      <c r="I1459" s="19"/>
      <c r="J1459" s="19"/>
      <c r="K1459" s="19"/>
      <c r="L1459" s="19"/>
      <c r="M1459" s="19"/>
      <c r="N1459" s="19"/>
      <c r="O1459" s="19"/>
      <c r="P1459" s="19"/>
      <c r="Q1459" s="19"/>
      <c r="R1459" s="19"/>
      <c r="S1459" s="19"/>
      <c r="T1459" s="19"/>
      <c r="U1459" s="19"/>
      <c r="V1459" s="19"/>
      <c r="W1459" s="19"/>
      <c r="X1459" s="19"/>
      <c r="Y1459" s="19"/>
      <c r="Z1459" s="19"/>
      <c r="AA1459" s="19"/>
      <c r="AB1459" s="19"/>
      <c r="AC1459" s="19"/>
    </row>
    <row r="1460" spans="2:29" x14ac:dyDescent="0.25">
      <c r="B1460" s="19"/>
      <c r="C1460" s="19"/>
      <c r="D1460" s="19"/>
      <c r="E1460" s="19"/>
      <c r="F1460" s="19"/>
      <c r="G1460" s="19"/>
      <c r="H1460" s="19"/>
      <c r="I1460" s="19"/>
      <c r="J1460" s="19"/>
      <c r="K1460" s="19"/>
      <c r="L1460" s="19"/>
      <c r="M1460" s="19"/>
      <c r="N1460" s="19"/>
      <c r="O1460" s="19"/>
      <c r="P1460" s="19"/>
      <c r="Q1460" s="19"/>
      <c r="R1460" s="19"/>
      <c r="S1460" s="19"/>
      <c r="T1460" s="19"/>
      <c r="U1460" s="19"/>
      <c r="V1460" s="19"/>
      <c r="W1460" s="19"/>
      <c r="X1460" s="19"/>
      <c r="Y1460" s="19"/>
      <c r="Z1460" s="19"/>
      <c r="AA1460" s="19"/>
      <c r="AB1460" s="19"/>
      <c r="AC1460" s="19"/>
    </row>
    <row r="1461" spans="2:29" x14ac:dyDescent="0.25">
      <c r="B1461" s="19"/>
      <c r="C1461" s="19"/>
      <c r="D1461" s="19"/>
      <c r="E1461" s="19"/>
      <c r="F1461" s="19"/>
      <c r="G1461" s="19"/>
      <c r="H1461" s="19"/>
      <c r="I1461" s="19"/>
      <c r="J1461" s="19"/>
      <c r="K1461" s="19"/>
      <c r="L1461" s="19"/>
      <c r="M1461" s="19"/>
      <c r="N1461" s="19"/>
      <c r="O1461" s="19"/>
      <c r="P1461" s="19"/>
      <c r="Q1461" s="19"/>
      <c r="R1461" s="19"/>
      <c r="S1461" s="19"/>
      <c r="T1461" s="19"/>
      <c r="U1461" s="19"/>
      <c r="V1461" s="19"/>
      <c r="W1461" s="19"/>
      <c r="X1461" s="19"/>
      <c r="Y1461" s="19"/>
      <c r="Z1461" s="19"/>
      <c r="AA1461" s="19"/>
      <c r="AB1461" s="19"/>
      <c r="AC1461" s="19"/>
    </row>
    <row r="1462" spans="2:29" x14ac:dyDescent="0.25">
      <c r="B1462" s="19"/>
      <c r="C1462" s="19"/>
      <c r="D1462" s="19"/>
      <c r="E1462" s="19"/>
      <c r="F1462" s="19"/>
      <c r="G1462" s="19"/>
      <c r="H1462" s="19"/>
      <c r="I1462" s="19"/>
      <c r="J1462" s="19"/>
      <c r="K1462" s="19"/>
      <c r="L1462" s="19"/>
      <c r="M1462" s="19"/>
      <c r="N1462" s="19"/>
      <c r="O1462" s="19"/>
      <c r="P1462" s="19"/>
      <c r="Q1462" s="19"/>
      <c r="R1462" s="19"/>
      <c r="S1462" s="19"/>
      <c r="T1462" s="19"/>
      <c r="U1462" s="19"/>
      <c r="V1462" s="19"/>
      <c r="W1462" s="19"/>
      <c r="X1462" s="19"/>
      <c r="Y1462" s="19"/>
      <c r="Z1462" s="19"/>
      <c r="AA1462" s="19"/>
      <c r="AB1462" s="19"/>
      <c r="AC1462" s="19"/>
    </row>
    <row r="1463" spans="2:29" x14ac:dyDescent="0.25">
      <c r="B1463" s="19"/>
      <c r="C1463" s="19"/>
      <c r="D1463" s="19"/>
      <c r="E1463" s="19"/>
      <c r="F1463" s="19"/>
      <c r="G1463" s="19"/>
      <c r="H1463" s="19"/>
      <c r="I1463" s="19"/>
      <c r="J1463" s="19"/>
      <c r="K1463" s="19"/>
      <c r="L1463" s="19"/>
      <c r="M1463" s="19"/>
      <c r="N1463" s="19"/>
      <c r="O1463" s="19"/>
      <c r="P1463" s="19"/>
      <c r="Q1463" s="19"/>
      <c r="R1463" s="19"/>
      <c r="S1463" s="19"/>
      <c r="T1463" s="19"/>
      <c r="U1463" s="19"/>
      <c r="V1463" s="19"/>
      <c r="W1463" s="19"/>
      <c r="X1463" s="19"/>
      <c r="Y1463" s="19"/>
      <c r="Z1463" s="19"/>
      <c r="AA1463" s="19"/>
      <c r="AB1463" s="19"/>
      <c r="AC1463" s="19"/>
    </row>
    <row r="1464" spans="2:29" x14ac:dyDescent="0.25">
      <c r="B1464" s="19"/>
      <c r="C1464" s="19"/>
      <c r="D1464" s="19"/>
      <c r="E1464" s="19"/>
      <c r="F1464" s="19"/>
      <c r="G1464" s="19"/>
      <c r="H1464" s="19"/>
      <c r="I1464" s="19"/>
      <c r="J1464" s="19"/>
      <c r="K1464" s="19"/>
      <c r="L1464" s="19"/>
      <c r="M1464" s="19"/>
      <c r="N1464" s="19"/>
      <c r="O1464" s="19"/>
      <c r="P1464" s="19"/>
      <c r="Q1464" s="19"/>
      <c r="R1464" s="19"/>
      <c r="S1464" s="19"/>
      <c r="T1464" s="19"/>
      <c r="U1464" s="19"/>
      <c r="V1464" s="19"/>
      <c r="W1464" s="19"/>
      <c r="X1464" s="19"/>
      <c r="Y1464" s="19"/>
      <c r="Z1464" s="19"/>
      <c r="AA1464" s="19"/>
      <c r="AB1464" s="19"/>
      <c r="AC1464" s="19"/>
    </row>
    <row r="1465" spans="2:29" x14ac:dyDescent="0.25">
      <c r="B1465" s="19"/>
      <c r="C1465" s="19"/>
      <c r="D1465" s="19"/>
      <c r="E1465" s="19"/>
      <c r="F1465" s="19"/>
      <c r="G1465" s="19"/>
      <c r="H1465" s="19"/>
      <c r="I1465" s="19"/>
      <c r="J1465" s="19"/>
      <c r="K1465" s="19"/>
      <c r="L1465" s="19"/>
      <c r="M1465" s="19"/>
      <c r="N1465" s="19"/>
      <c r="O1465" s="19"/>
      <c r="P1465" s="19"/>
      <c r="Q1465" s="19"/>
      <c r="R1465" s="19"/>
      <c r="S1465" s="19"/>
      <c r="T1465" s="19"/>
      <c r="U1465" s="19"/>
      <c r="V1465" s="19"/>
      <c r="W1465" s="19"/>
      <c r="X1465" s="19"/>
      <c r="Y1465" s="19"/>
      <c r="Z1465" s="19"/>
      <c r="AA1465" s="19"/>
      <c r="AB1465" s="19"/>
      <c r="AC1465" s="19"/>
    </row>
    <row r="1466" spans="2:29" x14ac:dyDescent="0.25">
      <c r="B1466" s="19"/>
      <c r="C1466" s="19"/>
      <c r="D1466" s="19"/>
      <c r="E1466" s="19"/>
      <c r="F1466" s="19"/>
      <c r="G1466" s="19"/>
      <c r="H1466" s="19"/>
      <c r="I1466" s="19"/>
      <c r="J1466" s="19"/>
      <c r="K1466" s="19"/>
      <c r="L1466" s="19"/>
      <c r="M1466" s="19"/>
      <c r="N1466" s="19"/>
      <c r="O1466" s="19"/>
      <c r="P1466" s="19"/>
      <c r="Q1466" s="19"/>
      <c r="R1466" s="19"/>
      <c r="S1466" s="19"/>
      <c r="T1466" s="19"/>
      <c r="U1466" s="19"/>
      <c r="V1466" s="19"/>
      <c r="W1466" s="19"/>
      <c r="X1466" s="19"/>
      <c r="Y1466" s="19"/>
      <c r="Z1466" s="19"/>
      <c r="AA1466" s="19"/>
      <c r="AB1466" s="19"/>
      <c r="AC1466" s="19"/>
    </row>
    <row r="1467" spans="2:29" x14ac:dyDescent="0.25">
      <c r="B1467" s="19"/>
      <c r="C1467" s="19"/>
      <c r="D1467" s="19"/>
      <c r="E1467" s="19"/>
      <c r="F1467" s="19"/>
      <c r="G1467" s="19"/>
      <c r="H1467" s="19"/>
      <c r="I1467" s="19"/>
      <c r="J1467" s="19"/>
      <c r="K1467" s="19"/>
      <c r="L1467" s="19"/>
      <c r="M1467" s="19"/>
      <c r="N1467" s="19"/>
      <c r="O1467" s="19"/>
      <c r="P1467" s="19"/>
      <c r="Q1467" s="19"/>
      <c r="R1467" s="19"/>
      <c r="S1467" s="19"/>
      <c r="T1467" s="19"/>
      <c r="U1467" s="19"/>
      <c r="V1467" s="19"/>
      <c r="W1467" s="19"/>
      <c r="X1467" s="19"/>
      <c r="Y1467" s="19"/>
      <c r="Z1467" s="19"/>
      <c r="AA1467" s="19"/>
      <c r="AB1467" s="19"/>
      <c r="AC1467" s="19"/>
    </row>
    <row r="1468" spans="2:29" x14ac:dyDescent="0.25">
      <c r="B1468" s="19"/>
      <c r="C1468" s="19"/>
      <c r="D1468" s="19"/>
      <c r="E1468" s="19"/>
      <c r="F1468" s="19"/>
      <c r="G1468" s="19"/>
      <c r="H1468" s="19"/>
      <c r="I1468" s="19"/>
      <c r="J1468" s="19"/>
      <c r="K1468" s="19"/>
      <c r="L1468" s="19"/>
      <c r="M1468" s="19"/>
      <c r="N1468" s="19"/>
      <c r="O1468" s="19"/>
      <c r="P1468" s="19"/>
      <c r="Q1468" s="19"/>
      <c r="R1468" s="19"/>
      <c r="S1468" s="19"/>
      <c r="T1468" s="19"/>
      <c r="U1468" s="19"/>
      <c r="V1468" s="19"/>
      <c r="W1468" s="19"/>
      <c r="X1468" s="19"/>
      <c r="Y1468" s="19"/>
      <c r="Z1468" s="19"/>
      <c r="AA1468" s="19"/>
      <c r="AB1468" s="19"/>
      <c r="AC1468" s="19"/>
    </row>
    <row r="1469" spans="2:29" x14ac:dyDescent="0.25">
      <c r="B1469" s="19"/>
      <c r="C1469" s="19"/>
      <c r="D1469" s="19"/>
      <c r="E1469" s="19"/>
      <c r="F1469" s="19"/>
      <c r="G1469" s="19"/>
      <c r="H1469" s="19"/>
      <c r="I1469" s="19"/>
      <c r="J1469" s="19"/>
      <c r="K1469" s="19"/>
      <c r="L1469" s="19"/>
      <c r="M1469" s="19"/>
      <c r="N1469" s="19"/>
      <c r="O1469" s="19"/>
      <c r="P1469" s="19"/>
      <c r="Q1469" s="19"/>
      <c r="R1469" s="19"/>
      <c r="S1469" s="19"/>
      <c r="T1469" s="19"/>
      <c r="U1469" s="19"/>
      <c r="V1469" s="19"/>
      <c r="W1469" s="19"/>
      <c r="X1469" s="19"/>
      <c r="Y1469" s="19"/>
      <c r="Z1469" s="19"/>
      <c r="AA1469" s="19"/>
      <c r="AB1469" s="19"/>
      <c r="AC1469" s="19"/>
    </row>
    <row r="1470" spans="2:29" x14ac:dyDescent="0.25">
      <c r="B1470" s="19"/>
      <c r="C1470" s="19"/>
      <c r="D1470" s="19"/>
      <c r="E1470" s="19"/>
      <c r="F1470" s="19"/>
      <c r="G1470" s="19"/>
      <c r="H1470" s="19"/>
      <c r="I1470" s="19"/>
      <c r="J1470" s="19"/>
      <c r="K1470" s="19"/>
      <c r="L1470" s="19"/>
      <c r="M1470" s="19"/>
      <c r="N1470" s="19"/>
      <c r="O1470" s="19"/>
      <c r="P1470" s="19"/>
      <c r="Q1470" s="19"/>
      <c r="R1470" s="19"/>
      <c r="S1470" s="19"/>
      <c r="T1470" s="19"/>
      <c r="U1470" s="19"/>
      <c r="V1470" s="19"/>
      <c r="W1470" s="19"/>
      <c r="X1470" s="19"/>
      <c r="Y1470" s="19"/>
      <c r="Z1470" s="19"/>
      <c r="AA1470" s="19"/>
      <c r="AB1470" s="19"/>
      <c r="AC1470" s="19"/>
    </row>
    <row r="1471" spans="2:29" x14ac:dyDescent="0.25">
      <c r="B1471" s="19"/>
      <c r="C1471" s="19"/>
      <c r="D1471" s="19"/>
      <c r="E1471" s="19"/>
      <c r="F1471" s="19"/>
      <c r="G1471" s="19"/>
      <c r="H1471" s="19"/>
      <c r="I1471" s="19"/>
      <c r="J1471" s="19"/>
      <c r="K1471" s="19"/>
      <c r="L1471" s="19"/>
      <c r="M1471" s="19"/>
      <c r="N1471" s="19"/>
      <c r="O1471" s="19"/>
      <c r="P1471" s="19"/>
      <c r="Q1471" s="19"/>
      <c r="R1471" s="19"/>
      <c r="S1471" s="19"/>
      <c r="T1471" s="19"/>
      <c r="U1471" s="19"/>
      <c r="V1471" s="19"/>
      <c r="W1471" s="19"/>
      <c r="X1471" s="19"/>
      <c r="Y1471" s="19"/>
      <c r="Z1471" s="19"/>
      <c r="AA1471" s="19"/>
      <c r="AB1471" s="19"/>
      <c r="AC1471" s="19"/>
    </row>
    <row r="1472" spans="2:29" x14ac:dyDescent="0.25">
      <c r="B1472" s="19"/>
      <c r="C1472" s="19"/>
      <c r="D1472" s="19"/>
      <c r="E1472" s="19"/>
      <c r="F1472" s="19"/>
      <c r="G1472" s="19"/>
      <c r="H1472" s="19"/>
      <c r="I1472" s="19"/>
      <c r="J1472" s="19"/>
      <c r="K1472" s="19"/>
      <c r="L1472" s="19"/>
      <c r="M1472" s="19"/>
      <c r="N1472" s="19"/>
      <c r="O1472" s="19"/>
      <c r="P1472" s="19"/>
      <c r="Q1472" s="19"/>
      <c r="R1472" s="19"/>
      <c r="S1472" s="19"/>
      <c r="T1472" s="19"/>
      <c r="U1472" s="19"/>
      <c r="V1472" s="19"/>
      <c r="W1472" s="19"/>
      <c r="X1472" s="19"/>
      <c r="Y1472" s="19"/>
      <c r="Z1472" s="19"/>
      <c r="AA1472" s="19"/>
      <c r="AB1472" s="19"/>
      <c r="AC1472" s="19"/>
    </row>
    <row r="1473" spans="2:29" x14ac:dyDescent="0.25">
      <c r="B1473" s="19"/>
      <c r="C1473" s="19"/>
      <c r="D1473" s="19"/>
      <c r="E1473" s="19"/>
      <c r="F1473" s="19"/>
      <c r="G1473" s="19"/>
      <c r="H1473" s="19"/>
      <c r="I1473" s="19"/>
      <c r="J1473" s="19"/>
      <c r="K1473" s="19"/>
      <c r="L1473" s="19"/>
      <c r="M1473" s="19"/>
      <c r="N1473" s="19"/>
      <c r="O1473" s="19"/>
      <c r="P1473" s="19"/>
      <c r="Q1473" s="19"/>
      <c r="R1473" s="19"/>
      <c r="S1473" s="19"/>
      <c r="T1473" s="19"/>
      <c r="U1473" s="19"/>
      <c r="V1473" s="19"/>
      <c r="W1473" s="19"/>
      <c r="X1473" s="19"/>
      <c r="Y1473" s="19"/>
      <c r="Z1473" s="19"/>
      <c r="AA1473" s="19"/>
      <c r="AB1473" s="19"/>
      <c r="AC1473" s="19"/>
    </row>
    <row r="1474" spans="2:29" x14ac:dyDescent="0.25">
      <c r="B1474" s="19"/>
      <c r="C1474" s="19"/>
      <c r="D1474" s="19"/>
      <c r="E1474" s="19"/>
      <c r="F1474" s="19"/>
      <c r="G1474" s="19"/>
      <c r="H1474" s="19"/>
      <c r="I1474" s="19"/>
      <c r="J1474" s="19"/>
      <c r="K1474" s="19"/>
      <c r="L1474" s="19"/>
      <c r="M1474" s="19"/>
      <c r="N1474" s="19"/>
      <c r="O1474" s="19"/>
      <c r="P1474" s="19"/>
      <c r="Q1474" s="19"/>
      <c r="R1474" s="19"/>
      <c r="S1474" s="19"/>
      <c r="T1474" s="19"/>
      <c r="U1474" s="19"/>
      <c r="V1474" s="19"/>
      <c r="W1474" s="19"/>
      <c r="X1474" s="19"/>
      <c r="Y1474" s="19"/>
      <c r="Z1474" s="19"/>
      <c r="AA1474" s="19"/>
      <c r="AB1474" s="19"/>
      <c r="AC1474" s="19"/>
    </row>
    <row r="1475" spans="2:29" x14ac:dyDescent="0.25">
      <c r="B1475" s="19"/>
      <c r="C1475" s="19"/>
      <c r="D1475" s="19"/>
      <c r="E1475" s="19"/>
      <c r="F1475" s="19"/>
      <c r="G1475" s="19"/>
      <c r="H1475" s="19"/>
      <c r="I1475" s="19"/>
      <c r="J1475" s="19"/>
      <c r="K1475" s="19"/>
      <c r="L1475" s="19"/>
      <c r="M1475" s="19"/>
      <c r="N1475" s="19"/>
      <c r="O1475" s="19"/>
      <c r="P1475" s="19"/>
      <c r="Q1475" s="19"/>
      <c r="R1475" s="19"/>
      <c r="S1475" s="19"/>
      <c r="T1475" s="19"/>
      <c r="U1475" s="19"/>
      <c r="V1475" s="19"/>
      <c r="W1475" s="19"/>
      <c r="X1475" s="19"/>
      <c r="Y1475" s="19"/>
      <c r="Z1475" s="19"/>
      <c r="AA1475" s="19"/>
      <c r="AB1475" s="19"/>
      <c r="AC1475" s="19"/>
    </row>
    <row r="1476" spans="2:29" x14ac:dyDescent="0.25">
      <c r="B1476" s="19"/>
      <c r="C1476" s="19"/>
      <c r="D1476" s="19"/>
      <c r="E1476" s="19"/>
      <c r="F1476" s="19"/>
      <c r="G1476" s="19"/>
      <c r="H1476" s="19"/>
      <c r="I1476" s="19"/>
      <c r="J1476" s="19"/>
      <c r="K1476" s="19"/>
      <c r="L1476" s="19"/>
      <c r="M1476" s="19"/>
      <c r="N1476" s="19"/>
      <c r="O1476" s="19"/>
      <c r="P1476" s="19"/>
      <c r="Q1476" s="19"/>
      <c r="R1476" s="19"/>
      <c r="S1476" s="19"/>
      <c r="T1476" s="19"/>
      <c r="U1476" s="19"/>
      <c r="V1476" s="19"/>
      <c r="W1476" s="19"/>
      <c r="X1476" s="19"/>
      <c r="Y1476" s="19"/>
      <c r="Z1476" s="19"/>
      <c r="AA1476" s="19"/>
      <c r="AB1476" s="19"/>
      <c r="AC1476" s="19"/>
    </row>
    <row r="1477" spans="2:29" x14ac:dyDescent="0.25">
      <c r="B1477" s="19"/>
      <c r="C1477" s="19"/>
      <c r="D1477" s="19"/>
      <c r="E1477" s="19"/>
      <c r="F1477" s="19"/>
      <c r="G1477" s="19"/>
      <c r="H1477" s="19"/>
      <c r="I1477" s="19"/>
      <c r="J1477" s="19"/>
      <c r="K1477" s="19"/>
      <c r="L1477" s="19"/>
      <c r="M1477" s="19"/>
      <c r="N1477" s="19"/>
      <c r="O1477" s="19"/>
      <c r="P1477" s="19"/>
      <c r="Q1477" s="19"/>
      <c r="R1477" s="19"/>
      <c r="S1477" s="19"/>
      <c r="T1477" s="19"/>
      <c r="U1477" s="19"/>
      <c r="V1477" s="19"/>
      <c r="W1477" s="19"/>
      <c r="X1477" s="19"/>
      <c r="Y1477" s="19"/>
      <c r="Z1477" s="19"/>
      <c r="AA1477" s="19"/>
      <c r="AB1477" s="19"/>
      <c r="AC1477" s="19"/>
    </row>
    <row r="1478" spans="2:29" x14ac:dyDescent="0.25">
      <c r="B1478" s="19"/>
      <c r="C1478" s="19"/>
      <c r="D1478" s="19"/>
      <c r="E1478" s="19"/>
      <c r="F1478" s="19"/>
      <c r="G1478" s="19"/>
      <c r="H1478" s="19"/>
      <c r="I1478" s="19"/>
      <c r="J1478" s="19"/>
      <c r="K1478" s="19"/>
      <c r="L1478" s="19"/>
      <c r="M1478" s="19"/>
      <c r="N1478" s="19"/>
      <c r="O1478" s="19"/>
      <c r="P1478" s="19"/>
      <c r="Q1478" s="19"/>
      <c r="R1478" s="19"/>
      <c r="S1478" s="19"/>
      <c r="T1478" s="19"/>
      <c r="U1478" s="19"/>
      <c r="V1478" s="19"/>
      <c r="W1478" s="19"/>
      <c r="X1478" s="19"/>
      <c r="Y1478" s="19"/>
      <c r="Z1478" s="19"/>
      <c r="AA1478" s="19"/>
      <c r="AB1478" s="19"/>
      <c r="AC1478" s="19"/>
    </row>
    <row r="1479" spans="2:29" x14ac:dyDescent="0.25">
      <c r="B1479" s="19"/>
      <c r="C1479" s="19"/>
      <c r="D1479" s="19"/>
      <c r="E1479" s="19"/>
      <c r="F1479" s="19"/>
      <c r="G1479" s="19"/>
      <c r="H1479" s="19"/>
      <c r="I1479" s="19"/>
      <c r="J1479" s="19"/>
      <c r="K1479" s="19"/>
      <c r="L1479" s="19"/>
      <c r="M1479" s="19"/>
      <c r="N1479" s="19"/>
      <c r="O1479" s="19"/>
      <c r="P1479" s="19"/>
      <c r="Q1479" s="19"/>
      <c r="R1479" s="19"/>
      <c r="S1479" s="19"/>
      <c r="T1479" s="19"/>
      <c r="U1479" s="19"/>
      <c r="V1479" s="19"/>
      <c r="W1479" s="19"/>
      <c r="X1479" s="19"/>
      <c r="Y1479" s="19"/>
      <c r="Z1479" s="19"/>
      <c r="AA1479" s="19"/>
      <c r="AB1479" s="19"/>
      <c r="AC1479" s="19"/>
    </row>
    <row r="1480" spans="2:29" x14ac:dyDescent="0.25">
      <c r="B1480" s="19"/>
      <c r="C1480" s="19"/>
      <c r="D1480" s="19"/>
      <c r="E1480" s="19"/>
      <c r="F1480" s="19"/>
      <c r="G1480" s="19"/>
      <c r="H1480" s="19"/>
      <c r="I1480" s="19"/>
      <c r="J1480" s="19"/>
      <c r="K1480" s="19"/>
      <c r="L1480" s="19"/>
      <c r="M1480" s="19"/>
      <c r="N1480" s="19"/>
      <c r="O1480" s="19"/>
      <c r="P1480" s="19"/>
      <c r="Q1480" s="19"/>
      <c r="R1480" s="19"/>
      <c r="S1480" s="19"/>
      <c r="T1480" s="19"/>
      <c r="U1480" s="19"/>
      <c r="V1480" s="19"/>
      <c r="W1480" s="19"/>
      <c r="X1480" s="19"/>
      <c r="Y1480" s="19"/>
      <c r="Z1480" s="19"/>
      <c r="AA1480" s="19"/>
      <c r="AB1480" s="19"/>
      <c r="AC1480" s="19"/>
    </row>
    <row r="1481" spans="2:29" x14ac:dyDescent="0.25">
      <c r="B1481" s="19"/>
      <c r="C1481" s="19"/>
      <c r="D1481" s="19"/>
      <c r="E1481" s="19"/>
      <c r="F1481" s="19"/>
      <c r="G1481" s="19"/>
      <c r="H1481" s="19"/>
      <c r="I1481" s="19"/>
      <c r="J1481" s="19"/>
      <c r="K1481" s="19"/>
      <c r="L1481" s="19"/>
      <c r="M1481" s="19"/>
      <c r="N1481" s="19"/>
      <c r="O1481" s="19"/>
      <c r="P1481" s="19"/>
      <c r="Q1481" s="19"/>
      <c r="R1481" s="19"/>
      <c r="S1481" s="19"/>
      <c r="T1481" s="19"/>
      <c r="U1481" s="19"/>
      <c r="V1481" s="19"/>
      <c r="W1481" s="19"/>
      <c r="X1481" s="19"/>
      <c r="Y1481" s="19"/>
      <c r="Z1481" s="19"/>
      <c r="AA1481" s="19"/>
      <c r="AB1481" s="19"/>
      <c r="AC1481" s="19"/>
    </row>
    <row r="1482" spans="2:29" x14ac:dyDescent="0.25">
      <c r="B1482" s="19"/>
      <c r="C1482" s="19"/>
      <c r="D1482" s="19"/>
      <c r="E1482" s="19"/>
      <c r="F1482" s="19"/>
      <c r="G1482" s="19"/>
      <c r="H1482" s="19"/>
      <c r="I1482" s="19"/>
      <c r="J1482" s="19"/>
      <c r="K1482" s="19"/>
      <c r="L1482" s="19"/>
      <c r="M1482" s="19"/>
      <c r="N1482" s="19"/>
      <c r="O1482" s="19"/>
      <c r="P1482" s="19"/>
      <c r="Q1482" s="19"/>
      <c r="R1482" s="19"/>
      <c r="S1482" s="19"/>
      <c r="T1482" s="19"/>
      <c r="U1482" s="19"/>
      <c r="V1482" s="19"/>
      <c r="W1482" s="19"/>
      <c r="X1482" s="19"/>
      <c r="Y1482" s="19"/>
      <c r="Z1482" s="19"/>
      <c r="AA1482" s="19"/>
      <c r="AB1482" s="19"/>
      <c r="AC1482" s="19"/>
    </row>
    <row r="1483" spans="2:29" x14ac:dyDescent="0.25">
      <c r="B1483" s="19"/>
      <c r="C1483" s="19"/>
      <c r="D1483" s="19"/>
      <c r="E1483" s="19"/>
      <c r="F1483" s="19"/>
      <c r="G1483" s="19"/>
      <c r="H1483" s="19"/>
      <c r="I1483" s="19"/>
      <c r="J1483" s="19"/>
      <c r="K1483" s="19"/>
      <c r="L1483" s="19"/>
      <c r="M1483" s="19"/>
      <c r="N1483" s="19"/>
      <c r="O1483" s="19"/>
      <c r="P1483" s="19"/>
      <c r="Q1483" s="19"/>
      <c r="R1483" s="19"/>
      <c r="S1483" s="19"/>
      <c r="T1483" s="19"/>
      <c r="U1483" s="19"/>
      <c r="V1483" s="19"/>
      <c r="W1483" s="19"/>
      <c r="X1483" s="19"/>
      <c r="Y1483" s="19"/>
      <c r="Z1483" s="19"/>
      <c r="AA1483" s="19"/>
      <c r="AB1483" s="19"/>
      <c r="AC1483" s="19"/>
    </row>
    <row r="1484" spans="2:29" x14ac:dyDescent="0.25">
      <c r="B1484" s="19"/>
      <c r="C1484" s="19"/>
      <c r="D1484" s="19"/>
      <c r="E1484" s="19"/>
      <c r="F1484" s="19"/>
      <c r="G1484" s="19"/>
      <c r="H1484" s="19"/>
      <c r="I1484" s="19"/>
      <c r="J1484" s="19"/>
      <c r="K1484" s="19"/>
      <c r="L1484" s="19"/>
      <c r="M1484" s="19"/>
      <c r="N1484" s="19"/>
      <c r="O1484" s="19"/>
      <c r="P1484" s="19"/>
      <c r="Q1484" s="19"/>
      <c r="R1484" s="19"/>
      <c r="S1484" s="19"/>
      <c r="T1484" s="19"/>
      <c r="U1484" s="19"/>
      <c r="V1484" s="19"/>
      <c r="W1484" s="19"/>
      <c r="X1484" s="19"/>
      <c r="Y1484" s="19"/>
      <c r="Z1484" s="19"/>
      <c r="AA1484" s="19"/>
      <c r="AB1484" s="19"/>
      <c r="AC1484" s="19"/>
    </row>
    <row r="1485" spans="2:29" x14ac:dyDescent="0.25">
      <c r="B1485" s="19"/>
      <c r="C1485" s="19"/>
      <c r="D1485" s="19"/>
      <c r="E1485" s="19"/>
      <c r="F1485" s="19"/>
      <c r="G1485" s="19"/>
      <c r="H1485" s="19"/>
      <c r="I1485" s="19"/>
      <c r="J1485" s="19"/>
      <c r="K1485" s="19"/>
      <c r="L1485" s="19"/>
      <c r="M1485" s="19"/>
      <c r="N1485" s="19"/>
      <c r="O1485" s="19"/>
      <c r="P1485" s="19"/>
      <c r="Q1485" s="19"/>
      <c r="R1485" s="19"/>
      <c r="S1485" s="19"/>
      <c r="T1485" s="19"/>
      <c r="U1485" s="19"/>
      <c r="V1485" s="19"/>
      <c r="W1485" s="19"/>
      <c r="X1485" s="19"/>
      <c r="Y1485" s="19"/>
      <c r="Z1485" s="19"/>
      <c r="AA1485" s="19"/>
      <c r="AB1485" s="19"/>
      <c r="AC1485" s="19"/>
    </row>
    <row r="1486" spans="2:29" x14ac:dyDescent="0.25">
      <c r="B1486" s="19"/>
      <c r="C1486" s="19"/>
      <c r="D1486" s="19"/>
      <c r="E1486" s="19"/>
      <c r="F1486" s="19"/>
      <c r="G1486" s="19"/>
      <c r="H1486" s="19"/>
      <c r="I1486" s="19"/>
      <c r="J1486" s="19"/>
      <c r="K1486" s="19"/>
      <c r="L1486" s="19"/>
      <c r="M1486" s="19"/>
      <c r="N1486" s="19"/>
      <c r="O1486" s="19"/>
      <c r="P1486" s="19"/>
      <c r="Q1486" s="19"/>
      <c r="R1486" s="19"/>
      <c r="S1486" s="19"/>
      <c r="T1486" s="19"/>
      <c r="U1486" s="19"/>
      <c r="V1486" s="19"/>
      <c r="W1486" s="19"/>
      <c r="X1486" s="19"/>
      <c r="Y1486" s="19"/>
      <c r="Z1486" s="19"/>
      <c r="AA1486" s="19"/>
      <c r="AB1486" s="19"/>
      <c r="AC1486" s="19"/>
    </row>
    <row r="1487" spans="2:29" x14ac:dyDescent="0.25">
      <c r="B1487" s="19"/>
      <c r="C1487" s="19"/>
      <c r="D1487" s="19"/>
      <c r="E1487" s="19"/>
      <c r="F1487" s="19"/>
      <c r="G1487" s="19"/>
      <c r="H1487" s="19"/>
      <c r="I1487" s="19"/>
      <c r="J1487" s="19"/>
      <c r="K1487" s="19"/>
      <c r="L1487" s="19"/>
      <c r="M1487" s="19"/>
      <c r="N1487" s="19"/>
      <c r="O1487" s="19"/>
      <c r="P1487" s="19"/>
      <c r="Q1487" s="19"/>
      <c r="R1487" s="19"/>
      <c r="S1487" s="19"/>
      <c r="T1487" s="19"/>
      <c r="U1487" s="19"/>
      <c r="V1487" s="19"/>
      <c r="W1487" s="19"/>
      <c r="X1487" s="19"/>
      <c r="Y1487" s="19"/>
      <c r="Z1487" s="19"/>
      <c r="AA1487" s="19"/>
      <c r="AB1487" s="19"/>
      <c r="AC1487" s="19"/>
    </row>
    <row r="1488" spans="2:29" x14ac:dyDescent="0.25">
      <c r="B1488" s="19"/>
      <c r="C1488" s="19"/>
      <c r="D1488" s="19"/>
      <c r="E1488" s="19"/>
      <c r="F1488" s="19"/>
      <c r="G1488" s="19"/>
      <c r="H1488" s="19"/>
      <c r="I1488" s="19"/>
      <c r="J1488" s="19"/>
      <c r="K1488" s="19"/>
      <c r="L1488" s="19"/>
      <c r="M1488" s="19"/>
      <c r="N1488" s="19"/>
      <c r="O1488" s="19"/>
      <c r="P1488" s="19"/>
      <c r="Q1488" s="19"/>
      <c r="R1488" s="19"/>
      <c r="S1488" s="19"/>
      <c r="T1488" s="19"/>
      <c r="U1488" s="19"/>
      <c r="V1488" s="19"/>
      <c r="W1488" s="19"/>
      <c r="X1488" s="19"/>
      <c r="Y1488" s="19"/>
      <c r="Z1488" s="19"/>
      <c r="AA1488" s="19"/>
      <c r="AB1488" s="19"/>
      <c r="AC1488" s="19"/>
    </row>
    <row r="1489" spans="2:29" x14ac:dyDescent="0.25">
      <c r="B1489" s="19"/>
      <c r="C1489" s="19"/>
      <c r="D1489" s="19"/>
      <c r="E1489" s="19"/>
      <c r="F1489" s="19"/>
      <c r="G1489" s="19"/>
      <c r="H1489" s="19"/>
      <c r="I1489" s="19"/>
      <c r="J1489" s="19"/>
      <c r="K1489" s="19"/>
      <c r="L1489" s="19"/>
      <c r="M1489" s="19"/>
      <c r="N1489" s="19"/>
      <c r="O1489" s="19"/>
      <c r="P1489" s="19"/>
      <c r="Q1489" s="19"/>
      <c r="R1489" s="19"/>
      <c r="S1489" s="19"/>
      <c r="T1489" s="19"/>
      <c r="U1489" s="19"/>
      <c r="V1489" s="19"/>
      <c r="W1489" s="19"/>
      <c r="X1489" s="19"/>
      <c r="Y1489" s="19"/>
      <c r="Z1489" s="19"/>
      <c r="AA1489" s="19"/>
      <c r="AB1489" s="19"/>
      <c r="AC1489" s="19"/>
    </row>
    <row r="1490" spans="2:29" x14ac:dyDescent="0.25">
      <c r="B1490" s="19"/>
      <c r="C1490" s="19"/>
      <c r="D1490" s="19"/>
      <c r="E1490" s="19"/>
      <c r="F1490" s="19"/>
      <c r="G1490" s="19"/>
      <c r="H1490" s="19"/>
      <c r="I1490" s="19"/>
      <c r="J1490" s="19"/>
      <c r="K1490" s="19"/>
      <c r="L1490" s="19"/>
      <c r="M1490" s="19"/>
      <c r="N1490" s="19"/>
      <c r="O1490" s="19"/>
      <c r="P1490" s="19"/>
      <c r="Q1490" s="19"/>
      <c r="R1490" s="19"/>
      <c r="S1490" s="19"/>
      <c r="T1490" s="19"/>
      <c r="U1490" s="19"/>
      <c r="V1490" s="19"/>
      <c r="W1490" s="19"/>
      <c r="X1490" s="19"/>
      <c r="Y1490" s="19"/>
      <c r="Z1490" s="19"/>
      <c r="AA1490" s="19"/>
      <c r="AB1490" s="19"/>
      <c r="AC1490" s="19"/>
    </row>
    <row r="1491" spans="2:29" x14ac:dyDescent="0.25">
      <c r="B1491" s="19"/>
      <c r="C1491" s="19"/>
      <c r="D1491" s="19"/>
      <c r="E1491" s="19"/>
      <c r="F1491" s="19"/>
      <c r="G1491" s="19"/>
      <c r="H1491" s="19"/>
      <c r="I1491" s="19"/>
      <c r="J1491" s="19"/>
      <c r="K1491" s="19"/>
      <c r="L1491" s="19"/>
      <c r="M1491" s="19"/>
      <c r="N1491" s="19"/>
      <c r="O1491" s="19"/>
      <c r="P1491" s="19"/>
      <c r="Q1491" s="19"/>
      <c r="R1491" s="19"/>
      <c r="S1491" s="19"/>
      <c r="T1491" s="19"/>
      <c r="U1491" s="19"/>
      <c r="V1491" s="19"/>
      <c r="W1491" s="19"/>
      <c r="X1491" s="19"/>
      <c r="Y1491" s="19"/>
      <c r="Z1491" s="19"/>
      <c r="AA1491" s="19"/>
      <c r="AB1491" s="19"/>
      <c r="AC1491" s="19"/>
    </row>
    <row r="1492" spans="2:29" x14ac:dyDescent="0.25">
      <c r="B1492" s="19"/>
      <c r="C1492" s="19"/>
      <c r="D1492" s="19"/>
      <c r="E1492" s="19"/>
      <c r="F1492" s="19"/>
      <c r="G1492" s="19"/>
      <c r="H1492" s="19"/>
      <c r="I1492" s="19"/>
      <c r="J1492" s="19"/>
      <c r="K1492" s="19"/>
      <c r="L1492" s="19"/>
      <c r="M1492" s="19"/>
      <c r="N1492" s="19"/>
      <c r="O1492" s="19"/>
      <c r="P1492" s="19"/>
      <c r="Q1492" s="19"/>
      <c r="R1492" s="19"/>
      <c r="S1492" s="19"/>
      <c r="T1492" s="19"/>
      <c r="U1492" s="19"/>
      <c r="V1492" s="19"/>
      <c r="W1492" s="19"/>
      <c r="X1492" s="19"/>
      <c r="Y1492" s="19"/>
      <c r="Z1492" s="19"/>
      <c r="AA1492" s="19"/>
      <c r="AB1492" s="19"/>
      <c r="AC1492" s="19"/>
    </row>
    <row r="1493" spans="2:29" x14ac:dyDescent="0.25">
      <c r="B1493" s="19"/>
      <c r="C1493" s="19"/>
      <c r="D1493" s="19"/>
      <c r="E1493" s="19"/>
      <c r="F1493" s="19"/>
      <c r="G1493" s="19"/>
      <c r="H1493" s="19"/>
      <c r="I1493" s="19"/>
      <c r="J1493" s="19"/>
      <c r="K1493" s="19"/>
      <c r="L1493" s="19"/>
      <c r="M1493" s="19"/>
      <c r="N1493" s="19"/>
      <c r="O1493" s="19"/>
      <c r="P1493" s="19"/>
      <c r="Q1493" s="19"/>
      <c r="R1493" s="19"/>
      <c r="S1493" s="19"/>
      <c r="T1493" s="19"/>
      <c r="U1493" s="19"/>
      <c r="V1493" s="19"/>
      <c r="W1493" s="19"/>
      <c r="X1493" s="19"/>
      <c r="Y1493" s="19"/>
      <c r="Z1493" s="19"/>
      <c r="AA1493" s="19"/>
      <c r="AB1493" s="19"/>
      <c r="AC1493" s="19"/>
    </row>
    <row r="1494" spans="2:29" x14ac:dyDescent="0.25">
      <c r="B1494" s="19"/>
      <c r="C1494" s="19"/>
      <c r="D1494" s="19"/>
      <c r="E1494" s="19"/>
      <c r="F1494" s="19"/>
      <c r="G1494" s="19"/>
      <c r="H1494" s="19"/>
      <c r="I1494" s="19"/>
      <c r="J1494" s="19"/>
      <c r="K1494" s="19"/>
      <c r="L1494" s="19"/>
      <c r="M1494" s="19"/>
      <c r="N1494" s="19"/>
      <c r="O1494" s="19"/>
      <c r="P1494" s="19"/>
      <c r="Q1494" s="19"/>
      <c r="R1494" s="19"/>
      <c r="S1494" s="19"/>
      <c r="T1494" s="19"/>
      <c r="U1494" s="19"/>
      <c r="V1494" s="19"/>
      <c r="W1494" s="19"/>
      <c r="X1494" s="19"/>
      <c r="Y1494" s="19"/>
      <c r="Z1494" s="19"/>
      <c r="AA1494" s="19"/>
      <c r="AB1494" s="19"/>
      <c r="AC1494" s="19"/>
    </row>
    <row r="1495" spans="2:29" x14ac:dyDescent="0.25">
      <c r="B1495" s="19"/>
      <c r="C1495" s="19"/>
      <c r="D1495" s="19"/>
      <c r="E1495" s="19"/>
      <c r="F1495" s="19"/>
      <c r="G1495" s="19"/>
      <c r="H1495" s="19"/>
      <c r="I1495" s="19"/>
      <c r="J1495" s="19"/>
      <c r="K1495" s="19"/>
      <c r="L1495" s="19"/>
      <c r="M1495" s="19"/>
      <c r="N1495" s="19"/>
      <c r="O1495" s="19"/>
      <c r="P1495" s="19"/>
      <c r="Q1495" s="19"/>
      <c r="R1495" s="19"/>
      <c r="S1495" s="19"/>
      <c r="T1495" s="19"/>
      <c r="U1495" s="19"/>
      <c r="V1495" s="19"/>
      <c r="W1495" s="19"/>
      <c r="X1495" s="19"/>
      <c r="Y1495" s="19"/>
      <c r="Z1495" s="19"/>
      <c r="AA1495" s="19"/>
      <c r="AB1495" s="19"/>
      <c r="AC1495" s="19"/>
    </row>
    <row r="1496" spans="2:29" x14ac:dyDescent="0.25">
      <c r="B1496" s="19"/>
      <c r="C1496" s="19"/>
      <c r="D1496" s="19"/>
      <c r="E1496" s="19"/>
      <c r="F1496" s="19"/>
      <c r="G1496" s="19"/>
      <c r="H1496" s="19"/>
      <c r="I1496" s="19"/>
      <c r="J1496" s="19"/>
      <c r="K1496" s="19"/>
      <c r="L1496" s="19"/>
      <c r="M1496" s="19"/>
      <c r="N1496" s="19"/>
      <c r="O1496" s="19"/>
      <c r="P1496" s="19"/>
      <c r="Q1496" s="19"/>
      <c r="R1496" s="19"/>
      <c r="S1496" s="19"/>
      <c r="T1496" s="19"/>
      <c r="U1496" s="19"/>
      <c r="V1496" s="19"/>
      <c r="W1496" s="19"/>
      <c r="X1496" s="19"/>
      <c r="Y1496" s="19"/>
      <c r="Z1496" s="19"/>
      <c r="AA1496" s="19"/>
      <c r="AB1496" s="19"/>
      <c r="AC1496" s="19"/>
    </row>
    <row r="1497" spans="2:29" x14ac:dyDescent="0.25">
      <c r="B1497" s="19"/>
      <c r="C1497" s="19"/>
      <c r="D1497" s="19"/>
      <c r="E1497" s="19"/>
      <c r="F1497" s="19"/>
      <c r="G1497" s="19"/>
      <c r="H1497" s="19"/>
      <c r="I1497" s="19"/>
      <c r="J1497" s="19"/>
      <c r="K1497" s="19"/>
      <c r="L1497" s="19"/>
      <c r="M1497" s="19"/>
      <c r="N1497" s="19"/>
      <c r="O1497" s="19"/>
      <c r="P1497" s="19"/>
      <c r="Q1497" s="19"/>
      <c r="R1497" s="19"/>
      <c r="S1497" s="19"/>
      <c r="T1497" s="19"/>
      <c r="U1497" s="19"/>
      <c r="V1497" s="19"/>
      <c r="W1497" s="19"/>
      <c r="X1497" s="19"/>
      <c r="Y1497" s="19"/>
      <c r="Z1497" s="19"/>
      <c r="AA1497" s="19"/>
      <c r="AB1497" s="19"/>
      <c r="AC1497" s="19"/>
    </row>
    <row r="1498" spans="2:29" x14ac:dyDescent="0.25">
      <c r="B1498" s="19"/>
      <c r="C1498" s="19"/>
      <c r="D1498" s="19"/>
      <c r="E1498" s="19"/>
      <c r="F1498" s="19"/>
      <c r="G1498" s="19"/>
      <c r="H1498" s="19"/>
      <c r="I1498" s="19"/>
      <c r="J1498" s="19"/>
      <c r="K1498" s="19"/>
      <c r="L1498" s="19"/>
      <c r="M1498" s="19"/>
      <c r="N1498" s="19"/>
      <c r="O1498" s="19"/>
      <c r="P1498" s="19"/>
      <c r="Q1498" s="19"/>
      <c r="R1498" s="19"/>
      <c r="S1498" s="19"/>
      <c r="T1498" s="19"/>
      <c r="U1498" s="19"/>
      <c r="V1498" s="19"/>
      <c r="W1498" s="19"/>
      <c r="X1498" s="19"/>
      <c r="Y1498" s="19"/>
      <c r="Z1498" s="19"/>
      <c r="AA1498" s="19"/>
      <c r="AB1498" s="19"/>
      <c r="AC1498" s="19"/>
    </row>
    <row r="1499" spans="2:29" x14ac:dyDescent="0.25">
      <c r="B1499" s="19"/>
      <c r="C1499" s="19"/>
      <c r="D1499" s="19"/>
      <c r="E1499" s="19"/>
      <c r="F1499" s="19"/>
      <c r="G1499" s="19"/>
      <c r="H1499" s="19"/>
      <c r="I1499" s="19"/>
      <c r="J1499" s="19"/>
      <c r="K1499" s="19"/>
      <c r="L1499" s="19"/>
      <c r="M1499" s="19"/>
      <c r="N1499" s="19"/>
      <c r="O1499" s="19"/>
      <c r="P1499" s="19"/>
      <c r="Q1499" s="19"/>
      <c r="R1499" s="19"/>
      <c r="S1499" s="19"/>
      <c r="T1499" s="19"/>
      <c r="U1499" s="19"/>
      <c r="V1499" s="19"/>
      <c r="W1499" s="19"/>
      <c r="X1499" s="19"/>
      <c r="Y1499" s="19"/>
      <c r="Z1499" s="19"/>
      <c r="AA1499" s="19"/>
      <c r="AB1499" s="19"/>
      <c r="AC1499" s="19"/>
    </row>
    <row r="1500" spans="2:29" x14ac:dyDescent="0.25">
      <c r="B1500" s="19"/>
      <c r="C1500" s="19"/>
      <c r="D1500" s="19"/>
      <c r="E1500" s="19"/>
      <c r="F1500" s="19"/>
      <c r="G1500" s="19"/>
      <c r="H1500" s="19"/>
      <c r="I1500" s="19"/>
      <c r="J1500" s="19"/>
      <c r="K1500" s="19"/>
      <c r="L1500" s="19"/>
      <c r="M1500" s="19"/>
      <c r="N1500" s="19"/>
      <c r="O1500" s="19"/>
      <c r="P1500" s="19"/>
      <c r="Q1500" s="19"/>
      <c r="R1500" s="19"/>
      <c r="S1500" s="19"/>
      <c r="T1500" s="19"/>
      <c r="U1500" s="19"/>
      <c r="V1500" s="19"/>
      <c r="W1500" s="19"/>
      <c r="X1500" s="19"/>
      <c r="Y1500" s="19"/>
      <c r="Z1500" s="19"/>
      <c r="AA1500" s="19"/>
      <c r="AB1500" s="19"/>
      <c r="AC1500" s="19"/>
    </row>
    <row r="1501" spans="2:29" x14ac:dyDescent="0.25">
      <c r="B1501" s="19"/>
      <c r="C1501" s="19"/>
      <c r="D1501" s="19"/>
      <c r="E1501" s="19"/>
      <c r="F1501" s="19"/>
      <c r="G1501" s="19"/>
      <c r="H1501" s="19"/>
      <c r="I1501" s="19"/>
      <c r="J1501" s="19"/>
      <c r="K1501" s="19"/>
      <c r="L1501" s="19"/>
      <c r="M1501" s="19"/>
      <c r="N1501" s="19"/>
      <c r="O1501" s="19"/>
      <c r="P1501" s="19"/>
      <c r="Q1501" s="19"/>
      <c r="R1501" s="19"/>
      <c r="S1501" s="19"/>
      <c r="T1501" s="19"/>
      <c r="U1501" s="19"/>
      <c r="V1501" s="19"/>
      <c r="W1501" s="19"/>
      <c r="X1501" s="19"/>
      <c r="Y1501" s="19"/>
      <c r="Z1501" s="19"/>
      <c r="AA1501" s="19"/>
      <c r="AB1501" s="19"/>
      <c r="AC1501" s="19"/>
    </row>
    <row r="1502" spans="2:29" x14ac:dyDescent="0.25">
      <c r="B1502" s="19"/>
      <c r="C1502" s="19"/>
      <c r="D1502" s="19"/>
      <c r="E1502" s="19"/>
      <c r="F1502" s="19"/>
      <c r="G1502" s="19"/>
      <c r="H1502" s="19"/>
      <c r="I1502" s="19"/>
      <c r="J1502" s="19"/>
      <c r="K1502" s="19"/>
      <c r="L1502" s="19"/>
      <c r="M1502" s="19"/>
      <c r="N1502" s="19"/>
      <c r="O1502" s="19"/>
      <c r="P1502" s="19"/>
      <c r="Q1502" s="19"/>
      <c r="R1502" s="19"/>
      <c r="S1502" s="19"/>
      <c r="T1502" s="19"/>
      <c r="U1502" s="19"/>
      <c r="V1502" s="19"/>
      <c r="W1502" s="19"/>
      <c r="X1502" s="19"/>
      <c r="Y1502" s="19"/>
      <c r="Z1502" s="19"/>
      <c r="AA1502" s="19"/>
      <c r="AB1502" s="19"/>
      <c r="AC1502" s="19"/>
    </row>
    <row r="1503" spans="2:29" x14ac:dyDescent="0.25">
      <c r="B1503" s="19"/>
      <c r="C1503" s="19"/>
      <c r="D1503" s="19"/>
      <c r="E1503" s="19"/>
      <c r="F1503" s="19"/>
      <c r="G1503" s="19"/>
      <c r="H1503" s="19"/>
      <c r="I1503" s="19"/>
      <c r="J1503" s="19"/>
      <c r="K1503" s="19"/>
      <c r="L1503" s="19"/>
      <c r="M1503" s="19"/>
      <c r="N1503" s="19"/>
      <c r="O1503" s="19"/>
      <c r="P1503" s="19"/>
      <c r="Q1503" s="19"/>
      <c r="R1503" s="19"/>
      <c r="S1503" s="19"/>
      <c r="T1503" s="19"/>
      <c r="U1503" s="19"/>
      <c r="V1503" s="19"/>
      <c r="W1503" s="19"/>
      <c r="X1503" s="19"/>
      <c r="Y1503" s="19"/>
      <c r="Z1503" s="19"/>
      <c r="AA1503" s="19"/>
      <c r="AB1503" s="19"/>
      <c r="AC1503" s="19"/>
    </row>
    <row r="1504" spans="2:29" x14ac:dyDescent="0.25">
      <c r="B1504" s="19"/>
      <c r="C1504" s="19"/>
      <c r="D1504" s="19"/>
      <c r="E1504" s="19"/>
      <c r="F1504" s="19"/>
      <c r="G1504" s="19"/>
      <c r="H1504" s="19"/>
      <c r="I1504" s="19"/>
      <c r="J1504" s="19"/>
      <c r="K1504" s="19"/>
      <c r="L1504" s="19"/>
      <c r="M1504" s="19"/>
      <c r="N1504" s="19"/>
      <c r="O1504" s="19"/>
      <c r="P1504" s="19"/>
      <c r="Q1504" s="19"/>
      <c r="R1504" s="19"/>
      <c r="S1504" s="19"/>
      <c r="T1504" s="19"/>
      <c r="U1504" s="19"/>
      <c r="V1504" s="19"/>
      <c r="W1504" s="19"/>
      <c r="X1504" s="19"/>
      <c r="Y1504" s="19"/>
      <c r="Z1504" s="19"/>
      <c r="AA1504" s="19"/>
      <c r="AB1504" s="19"/>
      <c r="AC1504" s="19"/>
    </row>
    <row r="1505" spans="2:29" x14ac:dyDescent="0.25">
      <c r="B1505" s="19"/>
      <c r="C1505" s="19"/>
      <c r="D1505" s="19"/>
      <c r="E1505" s="19"/>
      <c r="F1505" s="19"/>
      <c r="G1505" s="19"/>
      <c r="H1505" s="19"/>
      <c r="I1505" s="19"/>
      <c r="J1505" s="19"/>
      <c r="K1505" s="19"/>
      <c r="L1505" s="19"/>
      <c r="M1505" s="19"/>
      <c r="N1505" s="19"/>
      <c r="O1505" s="19"/>
      <c r="P1505" s="19"/>
      <c r="Q1505" s="19"/>
      <c r="R1505" s="19"/>
      <c r="S1505" s="19"/>
      <c r="T1505" s="19"/>
      <c r="U1505" s="19"/>
      <c r="V1505" s="19"/>
      <c r="W1505" s="19"/>
      <c r="X1505" s="19"/>
      <c r="Y1505" s="19"/>
      <c r="Z1505" s="19"/>
      <c r="AA1505" s="19"/>
      <c r="AB1505" s="19"/>
      <c r="AC1505" s="19"/>
    </row>
    <row r="1506" spans="2:29" x14ac:dyDescent="0.25">
      <c r="B1506" s="19"/>
      <c r="C1506" s="19"/>
      <c r="D1506" s="19"/>
      <c r="E1506" s="19"/>
      <c r="F1506" s="19"/>
      <c r="G1506" s="19"/>
      <c r="H1506" s="19"/>
      <c r="I1506" s="19"/>
      <c r="J1506" s="19"/>
      <c r="K1506" s="19"/>
      <c r="L1506" s="19"/>
      <c r="M1506" s="19"/>
      <c r="N1506" s="19"/>
      <c r="O1506" s="19"/>
      <c r="P1506" s="19"/>
      <c r="Q1506" s="19"/>
      <c r="R1506" s="19"/>
      <c r="S1506" s="19"/>
      <c r="T1506" s="19"/>
      <c r="U1506" s="19"/>
      <c r="V1506" s="19"/>
      <c r="W1506" s="19"/>
      <c r="X1506" s="19"/>
      <c r="Y1506" s="19"/>
      <c r="Z1506" s="19"/>
      <c r="AA1506" s="19"/>
      <c r="AB1506" s="19"/>
      <c r="AC1506" s="19"/>
    </row>
    <row r="1507" spans="2:29" x14ac:dyDescent="0.25">
      <c r="B1507" s="19"/>
      <c r="C1507" s="19"/>
      <c r="D1507" s="19"/>
      <c r="E1507" s="19"/>
      <c r="F1507" s="19"/>
      <c r="G1507" s="19"/>
      <c r="H1507" s="19"/>
      <c r="I1507" s="19"/>
      <c r="J1507" s="19"/>
      <c r="K1507" s="19"/>
      <c r="L1507" s="19"/>
      <c r="M1507" s="19"/>
      <c r="N1507" s="19"/>
      <c r="O1507" s="19"/>
      <c r="P1507" s="19"/>
      <c r="Q1507" s="19"/>
      <c r="R1507" s="19"/>
      <c r="S1507" s="19"/>
      <c r="T1507" s="19"/>
      <c r="U1507" s="19"/>
      <c r="V1507" s="19"/>
      <c r="W1507" s="19"/>
      <c r="X1507" s="19"/>
      <c r="Y1507" s="19"/>
      <c r="Z1507" s="19"/>
      <c r="AA1507" s="19"/>
      <c r="AB1507" s="19"/>
      <c r="AC1507" s="19"/>
    </row>
    <row r="1508" spans="2:29" x14ac:dyDescent="0.25">
      <c r="B1508" s="19"/>
      <c r="C1508" s="19"/>
      <c r="D1508" s="19"/>
      <c r="E1508" s="19"/>
      <c r="F1508" s="19"/>
      <c r="G1508" s="19"/>
      <c r="H1508" s="19"/>
      <c r="I1508" s="19"/>
      <c r="J1508" s="19"/>
      <c r="K1508" s="19"/>
      <c r="L1508" s="19"/>
      <c r="M1508" s="19"/>
      <c r="N1508" s="19"/>
      <c r="O1508" s="19"/>
      <c r="P1508" s="19"/>
      <c r="Q1508" s="19"/>
      <c r="R1508" s="19"/>
      <c r="S1508" s="19"/>
      <c r="T1508" s="19"/>
      <c r="U1508" s="19"/>
      <c r="V1508" s="19"/>
      <c r="W1508" s="19"/>
      <c r="X1508" s="19"/>
      <c r="Y1508" s="19"/>
      <c r="Z1508" s="19"/>
      <c r="AA1508" s="19"/>
      <c r="AB1508" s="19"/>
      <c r="AC1508" s="19"/>
    </row>
    <row r="1509" spans="2:29" x14ac:dyDescent="0.25">
      <c r="B1509" s="19"/>
      <c r="C1509" s="19"/>
      <c r="D1509" s="19"/>
      <c r="E1509" s="19"/>
      <c r="F1509" s="19"/>
      <c r="G1509" s="19"/>
      <c r="H1509" s="19"/>
      <c r="I1509" s="19"/>
      <c r="J1509" s="19"/>
      <c r="K1509" s="19"/>
      <c r="L1509" s="19"/>
      <c r="M1509" s="19"/>
      <c r="N1509" s="19"/>
      <c r="O1509" s="19"/>
      <c r="P1509" s="19"/>
      <c r="Q1509" s="19"/>
      <c r="R1509" s="19"/>
      <c r="S1509" s="19"/>
      <c r="T1509" s="19"/>
      <c r="U1509" s="19"/>
      <c r="V1509" s="19"/>
      <c r="W1509" s="19"/>
      <c r="X1509" s="19"/>
      <c r="Y1509" s="19"/>
      <c r="Z1509" s="19"/>
      <c r="AA1509" s="19"/>
      <c r="AB1509" s="19"/>
      <c r="AC1509" s="19"/>
    </row>
    <row r="1510" spans="2:29" x14ac:dyDescent="0.25">
      <c r="B1510" s="19"/>
      <c r="C1510" s="19"/>
      <c r="D1510" s="19"/>
      <c r="E1510" s="19"/>
      <c r="F1510" s="19"/>
      <c r="G1510" s="19"/>
      <c r="H1510" s="19"/>
      <c r="I1510" s="19"/>
      <c r="J1510" s="19"/>
      <c r="K1510" s="19"/>
      <c r="L1510" s="19"/>
      <c r="M1510" s="19"/>
      <c r="N1510" s="19"/>
      <c r="O1510" s="19"/>
      <c r="P1510" s="19"/>
      <c r="Q1510" s="19"/>
      <c r="R1510" s="19"/>
      <c r="S1510" s="19"/>
      <c r="T1510" s="19"/>
      <c r="U1510" s="19"/>
      <c r="V1510" s="19"/>
      <c r="W1510" s="19"/>
      <c r="X1510" s="19"/>
      <c r="Y1510" s="19"/>
      <c r="Z1510" s="19"/>
      <c r="AA1510" s="19"/>
      <c r="AB1510" s="19"/>
      <c r="AC1510" s="19"/>
    </row>
    <row r="1511" spans="2:29" x14ac:dyDescent="0.25">
      <c r="B1511" s="19"/>
      <c r="C1511" s="19"/>
      <c r="D1511" s="19"/>
      <c r="E1511" s="19"/>
      <c r="F1511" s="19"/>
      <c r="G1511" s="19"/>
      <c r="H1511" s="19"/>
      <c r="I1511" s="19"/>
      <c r="J1511" s="19"/>
      <c r="K1511" s="19"/>
      <c r="L1511" s="19"/>
      <c r="M1511" s="19"/>
      <c r="N1511" s="19"/>
      <c r="O1511" s="19"/>
      <c r="P1511" s="19"/>
      <c r="Q1511" s="19"/>
      <c r="R1511" s="19"/>
      <c r="S1511" s="19"/>
      <c r="T1511" s="19"/>
      <c r="U1511" s="19"/>
      <c r="V1511" s="19"/>
      <c r="W1511" s="19"/>
      <c r="X1511" s="19"/>
      <c r="Y1511" s="19"/>
      <c r="Z1511" s="19"/>
      <c r="AA1511" s="19"/>
      <c r="AB1511" s="19"/>
      <c r="AC1511" s="19"/>
    </row>
    <row r="1512" spans="2:29" x14ac:dyDescent="0.25">
      <c r="B1512" s="19"/>
      <c r="C1512" s="19"/>
      <c r="D1512" s="19"/>
      <c r="E1512" s="19"/>
      <c r="F1512" s="19"/>
      <c r="G1512" s="19"/>
      <c r="H1512" s="19"/>
      <c r="I1512" s="19"/>
      <c r="J1512" s="19"/>
      <c r="K1512" s="19"/>
      <c r="L1512" s="19"/>
      <c r="M1512" s="19"/>
      <c r="N1512" s="19"/>
      <c r="O1512" s="19"/>
      <c r="P1512" s="19"/>
      <c r="Q1512" s="19"/>
      <c r="R1512" s="19"/>
      <c r="S1512" s="19"/>
      <c r="T1512" s="19"/>
      <c r="U1512" s="19"/>
      <c r="V1512" s="19"/>
      <c r="W1512" s="19"/>
      <c r="X1512" s="19"/>
      <c r="Y1512" s="19"/>
      <c r="Z1512" s="19"/>
      <c r="AA1512" s="19"/>
      <c r="AB1512" s="19"/>
      <c r="AC1512" s="19"/>
    </row>
    <row r="1513" spans="2:29" x14ac:dyDescent="0.25">
      <c r="B1513" s="19"/>
      <c r="C1513" s="19"/>
      <c r="D1513" s="19"/>
      <c r="E1513" s="19"/>
      <c r="F1513" s="19"/>
      <c r="G1513" s="19"/>
      <c r="H1513" s="19"/>
      <c r="I1513" s="19"/>
      <c r="J1513" s="19"/>
      <c r="K1513" s="19"/>
      <c r="L1513" s="19"/>
      <c r="M1513" s="19"/>
      <c r="N1513" s="19"/>
      <c r="O1513" s="19"/>
      <c r="P1513" s="19"/>
      <c r="Q1513" s="19"/>
      <c r="R1513" s="19"/>
      <c r="S1513" s="19"/>
      <c r="T1513" s="19"/>
      <c r="U1513" s="19"/>
      <c r="V1513" s="19"/>
      <c r="W1513" s="19"/>
      <c r="X1513" s="19"/>
      <c r="Y1513" s="19"/>
      <c r="Z1513" s="19"/>
      <c r="AA1513" s="19"/>
      <c r="AB1513" s="19"/>
      <c r="AC1513" s="19"/>
    </row>
    <row r="1514" spans="2:29" x14ac:dyDescent="0.25">
      <c r="B1514" s="19"/>
      <c r="C1514" s="19"/>
      <c r="D1514" s="19"/>
      <c r="E1514" s="19"/>
      <c r="F1514" s="19"/>
      <c r="G1514" s="19"/>
      <c r="H1514" s="19"/>
      <c r="I1514" s="19"/>
      <c r="J1514" s="19"/>
      <c r="K1514" s="19"/>
      <c r="L1514" s="19"/>
      <c r="M1514" s="19"/>
      <c r="N1514" s="19"/>
      <c r="O1514" s="19"/>
      <c r="P1514" s="19"/>
      <c r="Q1514" s="19"/>
      <c r="R1514" s="19"/>
      <c r="S1514" s="19"/>
      <c r="T1514" s="19"/>
      <c r="U1514" s="19"/>
      <c r="V1514" s="19"/>
      <c r="W1514" s="19"/>
      <c r="X1514" s="19"/>
      <c r="Y1514" s="19"/>
      <c r="Z1514" s="19"/>
      <c r="AA1514" s="19"/>
      <c r="AB1514" s="19"/>
      <c r="AC1514" s="19"/>
    </row>
    <row r="1515" spans="2:29" x14ac:dyDescent="0.25">
      <c r="B1515" s="19"/>
      <c r="C1515" s="19"/>
      <c r="D1515" s="19"/>
      <c r="E1515" s="19"/>
      <c r="F1515" s="19"/>
      <c r="G1515" s="19"/>
      <c r="H1515" s="19"/>
      <c r="I1515" s="19"/>
      <c r="J1515" s="19"/>
      <c r="K1515" s="19"/>
      <c r="L1515" s="19"/>
      <c r="M1515" s="19"/>
      <c r="N1515" s="19"/>
      <c r="O1515" s="19"/>
      <c r="P1515" s="19"/>
      <c r="Q1515" s="19"/>
      <c r="R1515" s="19"/>
      <c r="S1515" s="19"/>
      <c r="T1515" s="19"/>
      <c r="U1515" s="19"/>
      <c r="V1515" s="19"/>
      <c r="W1515" s="19"/>
      <c r="X1515" s="19"/>
      <c r="Y1515" s="19"/>
      <c r="Z1515" s="19"/>
      <c r="AA1515" s="19"/>
      <c r="AB1515" s="19"/>
      <c r="AC1515" s="19"/>
    </row>
    <row r="1516" spans="2:29" x14ac:dyDescent="0.25">
      <c r="B1516" s="19"/>
      <c r="C1516" s="19"/>
      <c r="D1516" s="19"/>
      <c r="E1516" s="19"/>
      <c r="F1516" s="19"/>
      <c r="G1516" s="19"/>
      <c r="H1516" s="19"/>
      <c r="I1516" s="19"/>
      <c r="J1516" s="19"/>
      <c r="K1516" s="19"/>
      <c r="L1516" s="19"/>
      <c r="M1516" s="19"/>
      <c r="N1516" s="19"/>
      <c r="O1516" s="19"/>
      <c r="P1516" s="19"/>
      <c r="Q1516" s="19"/>
      <c r="R1516" s="19"/>
      <c r="S1516" s="19"/>
      <c r="T1516" s="19"/>
      <c r="U1516" s="19"/>
      <c r="V1516" s="19"/>
      <c r="W1516" s="19"/>
      <c r="X1516" s="19"/>
      <c r="Y1516" s="19"/>
      <c r="Z1516" s="19"/>
      <c r="AA1516" s="19"/>
      <c r="AB1516" s="19"/>
      <c r="AC1516" s="19"/>
    </row>
    <row r="1517" spans="2:29" x14ac:dyDescent="0.25">
      <c r="B1517" s="19"/>
      <c r="C1517" s="19"/>
      <c r="D1517" s="19"/>
      <c r="E1517" s="19"/>
      <c r="F1517" s="19"/>
      <c r="G1517" s="19"/>
      <c r="H1517" s="19"/>
      <c r="I1517" s="19"/>
      <c r="J1517" s="19"/>
      <c r="K1517" s="19"/>
      <c r="L1517" s="19"/>
      <c r="M1517" s="19"/>
      <c r="N1517" s="19"/>
      <c r="O1517" s="19"/>
      <c r="P1517" s="19"/>
      <c r="Q1517" s="19"/>
      <c r="R1517" s="19"/>
      <c r="S1517" s="19"/>
      <c r="T1517" s="19"/>
      <c r="U1517" s="19"/>
      <c r="V1517" s="19"/>
      <c r="W1517" s="19"/>
      <c r="X1517" s="19"/>
      <c r="Y1517" s="19"/>
      <c r="Z1517" s="19"/>
      <c r="AA1517" s="19"/>
      <c r="AB1517" s="19"/>
      <c r="AC1517" s="19"/>
    </row>
    <row r="1518" spans="2:29" x14ac:dyDescent="0.25">
      <c r="B1518" s="19"/>
      <c r="C1518" s="19"/>
      <c r="D1518" s="19"/>
      <c r="E1518" s="19"/>
      <c r="F1518" s="19"/>
      <c r="G1518" s="19"/>
      <c r="H1518" s="19"/>
      <c r="I1518" s="19"/>
      <c r="J1518" s="19"/>
      <c r="K1518" s="19"/>
      <c r="L1518" s="19"/>
      <c r="M1518" s="19"/>
      <c r="N1518" s="19"/>
      <c r="O1518" s="19"/>
      <c r="P1518" s="19"/>
      <c r="Q1518" s="19"/>
      <c r="R1518" s="19"/>
      <c r="S1518" s="19"/>
      <c r="T1518" s="19"/>
      <c r="U1518" s="19"/>
      <c r="V1518" s="19"/>
      <c r="W1518" s="19"/>
      <c r="X1518" s="19"/>
      <c r="Y1518" s="19"/>
      <c r="Z1518" s="19"/>
      <c r="AA1518" s="19"/>
      <c r="AB1518" s="19"/>
      <c r="AC1518" s="19"/>
    </row>
    <row r="1519" spans="2:29" x14ac:dyDescent="0.25">
      <c r="B1519" s="19"/>
      <c r="C1519" s="19"/>
      <c r="D1519" s="19"/>
      <c r="E1519" s="19"/>
      <c r="F1519" s="19"/>
      <c r="G1519" s="19"/>
      <c r="H1519" s="19"/>
      <c r="I1519" s="19"/>
      <c r="J1519" s="19"/>
      <c r="K1519" s="19"/>
      <c r="L1519" s="19"/>
      <c r="M1519" s="19"/>
      <c r="N1519" s="19"/>
      <c r="O1519" s="19"/>
      <c r="P1519" s="19"/>
      <c r="Q1519" s="19"/>
      <c r="R1519" s="19"/>
      <c r="S1519" s="19"/>
      <c r="T1519" s="19"/>
      <c r="U1519" s="19"/>
      <c r="V1519" s="19"/>
      <c r="W1519" s="19"/>
      <c r="X1519" s="19"/>
      <c r="Y1519" s="19"/>
      <c r="Z1519" s="19"/>
      <c r="AA1519" s="19"/>
      <c r="AB1519" s="19"/>
      <c r="AC1519" s="19"/>
    </row>
    <row r="1520" spans="2:29" x14ac:dyDescent="0.25">
      <c r="B1520" s="19"/>
      <c r="C1520" s="19"/>
      <c r="D1520" s="19"/>
      <c r="E1520" s="19"/>
      <c r="F1520" s="19"/>
      <c r="G1520" s="19"/>
      <c r="H1520" s="19"/>
      <c r="I1520" s="19"/>
      <c r="J1520" s="19"/>
      <c r="K1520" s="19"/>
      <c r="L1520" s="19"/>
      <c r="M1520" s="19"/>
      <c r="N1520" s="19"/>
      <c r="O1520" s="19"/>
      <c r="P1520" s="19"/>
      <c r="Q1520" s="19"/>
      <c r="R1520" s="19"/>
      <c r="S1520" s="19"/>
      <c r="T1520" s="19"/>
      <c r="U1520" s="19"/>
      <c r="V1520" s="19"/>
      <c r="W1520" s="19"/>
      <c r="X1520" s="19"/>
      <c r="Y1520" s="19"/>
      <c r="Z1520" s="19"/>
      <c r="AA1520" s="19"/>
      <c r="AB1520" s="19"/>
      <c r="AC1520" s="19"/>
    </row>
    <row r="1521" spans="2:29" x14ac:dyDescent="0.25">
      <c r="B1521" s="19"/>
      <c r="C1521" s="19"/>
      <c r="D1521" s="19"/>
      <c r="E1521" s="19"/>
      <c r="F1521" s="19"/>
      <c r="G1521" s="19"/>
      <c r="H1521" s="19"/>
      <c r="I1521" s="19"/>
      <c r="J1521" s="19"/>
      <c r="K1521" s="19"/>
      <c r="L1521" s="19"/>
      <c r="M1521" s="19"/>
      <c r="N1521" s="19"/>
      <c r="O1521" s="19"/>
      <c r="P1521" s="19"/>
      <c r="Q1521" s="19"/>
      <c r="R1521" s="19"/>
      <c r="S1521" s="19"/>
      <c r="T1521" s="19"/>
      <c r="U1521" s="19"/>
      <c r="V1521" s="19"/>
      <c r="W1521" s="19"/>
      <c r="X1521" s="19"/>
      <c r="Y1521" s="19"/>
      <c r="Z1521" s="19"/>
      <c r="AA1521" s="19"/>
      <c r="AB1521" s="19"/>
      <c r="AC1521" s="19"/>
    </row>
    <row r="1522" spans="2:29" x14ac:dyDescent="0.25">
      <c r="B1522" s="19"/>
      <c r="C1522" s="19"/>
      <c r="D1522" s="19"/>
      <c r="E1522" s="19"/>
      <c r="F1522" s="19"/>
      <c r="G1522" s="19"/>
      <c r="H1522" s="19"/>
      <c r="I1522" s="19"/>
      <c r="J1522" s="19"/>
      <c r="K1522" s="19"/>
      <c r="L1522" s="19"/>
      <c r="M1522" s="19"/>
      <c r="N1522" s="19"/>
      <c r="O1522" s="19"/>
      <c r="P1522" s="19"/>
      <c r="Q1522" s="19"/>
      <c r="R1522" s="19"/>
      <c r="S1522" s="19"/>
      <c r="T1522" s="19"/>
      <c r="U1522" s="19"/>
      <c r="V1522" s="19"/>
      <c r="W1522" s="19"/>
      <c r="X1522" s="19"/>
      <c r="Y1522" s="19"/>
      <c r="Z1522" s="19"/>
      <c r="AA1522" s="19"/>
      <c r="AB1522" s="19"/>
      <c r="AC1522" s="19"/>
    </row>
    <row r="1523" spans="2:29" x14ac:dyDescent="0.25">
      <c r="B1523" s="19"/>
      <c r="C1523" s="19"/>
      <c r="D1523" s="19"/>
      <c r="E1523" s="19"/>
      <c r="F1523" s="19"/>
      <c r="G1523" s="19"/>
      <c r="H1523" s="19"/>
      <c r="I1523" s="19"/>
      <c r="J1523" s="19"/>
      <c r="K1523" s="19"/>
      <c r="L1523" s="19"/>
      <c r="M1523" s="19"/>
      <c r="N1523" s="19"/>
      <c r="O1523" s="19"/>
      <c r="P1523" s="19"/>
      <c r="Q1523" s="19"/>
      <c r="R1523" s="19"/>
      <c r="S1523" s="19"/>
      <c r="T1523" s="19"/>
      <c r="U1523" s="19"/>
      <c r="V1523" s="19"/>
      <c r="W1523" s="19"/>
      <c r="X1523" s="19"/>
      <c r="Y1523" s="19"/>
      <c r="Z1523" s="19"/>
      <c r="AA1523" s="19"/>
      <c r="AB1523" s="19"/>
      <c r="AC1523" s="19"/>
    </row>
    <row r="1524" spans="2:29" x14ac:dyDescent="0.25">
      <c r="B1524" s="19"/>
      <c r="C1524" s="19"/>
      <c r="D1524" s="19"/>
      <c r="E1524" s="19"/>
      <c r="F1524" s="19"/>
      <c r="G1524" s="19"/>
      <c r="H1524" s="19"/>
      <c r="I1524" s="19"/>
      <c r="J1524" s="19"/>
      <c r="K1524" s="19"/>
      <c r="L1524" s="19"/>
      <c r="M1524" s="19"/>
      <c r="N1524" s="19"/>
      <c r="O1524" s="19"/>
      <c r="P1524" s="19"/>
      <c r="Q1524" s="19"/>
      <c r="R1524" s="19"/>
      <c r="S1524" s="19"/>
      <c r="T1524" s="19"/>
      <c r="U1524" s="19"/>
      <c r="V1524" s="19"/>
      <c r="W1524" s="19"/>
      <c r="X1524" s="19"/>
      <c r="Y1524" s="19"/>
      <c r="Z1524" s="19"/>
      <c r="AA1524" s="19"/>
      <c r="AB1524" s="19"/>
      <c r="AC1524" s="19"/>
    </row>
    <row r="1525" spans="2:29" x14ac:dyDescent="0.25">
      <c r="B1525" s="19"/>
      <c r="C1525" s="19"/>
      <c r="D1525" s="19"/>
      <c r="E1525" s="19"/>
      <c r="F1525" s="19"/>
      <c r="G1525" s="19"/>
      <c r="H1525" s="19"/>
      <c r="I1525" s="19"/>
      <c r="J1525" s="19"/>
      <c r="K1525" s="19"/>
      <c r="L1525" s="19"/>
      <c r="M1525" s="19"/>
      <c r="N1525" s="19"/>
      <c r="O1525" s="19"/>
      <c r="P1525" s="19"/>
      <c r="Q1525" s="19"/>
      <c r="R1525" s="19"/>
      <c r="S1525" s="19"/>
      <c r="T1525" s="19"/>
      <c r="U1525" s="19"/>
      <c r="V1525" s="19"/>
      <c r="W1525" s="19"/>
      <c r="X1525" s="19"/>
      <c r="Y1525" s="19"/>
      <c r="Z1525" s="19"/>
      <c r="AA1525" s="19"/>
      <c r="AB1525" s="19"/>
      <c r="AC1525" s="19"/>
    </row>
    <row r="1526" spans="2:29" x14ac:dyDescent="0.25">
      <c r="B1526" s="19"/>
      <c r="C1526" s="19"/>
      <c r="D1526" s="19"/>
      <c r="E1526" s="19"/>
      <c r="F1526" s="19"/>
      <c r="G1526" s="19"/>
      <c r="H1526" s="19"/>
      <c r="I1526" s="19"/>
      <c r="J1526" s="19"/>
      <c r="K1526" s="19"/>
      <c r="L1526" s="19"/>
      <c r="M1526" s="19"/>
      <c r="N1526" s="19"/>
      <c r="O1526" s="19"/>
      <c r="P1526" s="19"/>
      <c r="Q1526" s="19"/>
      <c r="R1526" s="19"/>
      <c r="S1526" s="19"/>
      <c r="T1526" s="19"/>
      <c r="U1526" s="19"/>
      <c r="V1526" s="19"/>
      <c r="W1526" s="19"/>
      <c r="X1526" s="19"/>
      <c r="Y1526" s="19"/>
      <c r="Z1526" s="19"/>
      <c r="AA1526" s="19"/>
      <c r="AB1526" s="19"/>
      <c r="AC1526" s="19"/>
    </row>
    <row r="1527" spans="2:29" x14ac:dyDescent="0.25">
      <c r="B1527" s="19"/>
      <c r="C1527" s="19"/>
      <c r="D1527" s="19"/>
      <c r="E1527" s="19"/>
      <c r="F1527" s="19"/>
      <c r="G1527" s="19"/>
      <c r="H1527" s="19"/>
      <c r="I1527" s="19"/>
      <c r="J1527" s="19"/>
      <c r="K1527" s="19"/>
      <c r="L1527" s="19"/>
      <c r="M1527" s="19"/>
      <c r="N1527" s="19"/>
      <c r="O1527" s="19"/>
      <c r="P1527" s="19"/>
      <c r="Q1527" s="19"/>
      <c r="R1527" s="19"/>
      <c r="S1527" s="19"/>
      <c r="T1527" s="19"/>
      <c r="U1527" s="19"/>
      <c r="V1527" s="19"/>
      <c r="W1527" s="19"/>
      <c r="X1527" s="19"/>
      <c r="Y1527" s="19"/>
      <c r="Z1527" s="19"/>
      <c r="AA1527" s="19"/>
      <c r="AB1527" s="19"/>
      <c r="AC1527" s="19"/>
    </row>
    <row r="1528" spans="2:29" x14ac:dyDescent="0.25">
      <c r="B1528" s="19"/>
      <c r="C1528" s="19"/>
      <c r="D1528" s="19"/>
      <c r="E1528" s="19"/>
      <c r="F1528" s="19"/>
      <c r="G1528" s="19"/>
      <c r="H1528" s="19"/>
      <c r="I1528" s="19"/>
      <c r="J1528" s="19"/>
      <c r="K1528" s="19"/>
      <c r="L1528" s="19"/>
      <c r="M1528" s="19"/>
      <c r="N1528" s="19"/>
      <c r="O1528" s="19"/>
      <c r="P1528" s="19"/>
      <c r="Q1528" s="19"/>
      <c r="R1528" s="19"/>
      <c r="S1528" s="19"/>
      <c r="T1528" s="19"/>
      <c r="U1528" s="19"/>
      <c r="V1528" s="19"/>
      <c r="W1528" s="19"/>
      <c r="X1528" s="19"/>
      <c r="Y1528" s="19"/>
      <c r="Z1528" s="19"/>
      <c r="AA1528" s="19"/>
      <c r="AB1528" s="19"/>
      <c r="AC1528" s="19"/>
    </row>
    <row r="1529" spans="2:29" x14ac:dyDescent="0.25">
      <c r="B1529" s="19"/>
      <c r="C1529" s="19"/>
      <c r="D1529" s="19"/>
      <c r="E1529" s="19"/>
      <c r="F1529" s="19"/>
      <c r="G1529" s="19"/>
      <c r="H1529" s="19"/>
      <c r="I1529" s="19"/>
      <c r="J1529" s="19"/>
      <c r="K1529" s="19"/>
      <c r="L1529" s="19"/>
      <c r="M1529" s="19"/>
      <c r="N1529" s="19"/>
      <c r="O1529" s="19"/>
      <c r="P1529" s="19"/>
      <c r="Q1529" s="19"/>
      <c r="R1529" s="19"/>
      <c r="S1529" s="19"/>
      <c r="T1529" s="19"/>
      <c r="U1529" s="19"/>
      <c r="V1529" s="19"/>
      <c r="W1529" s="19"/>
      <c r="X1529" s="19"/>
      <c r="Y1529" s="19"/>
      <c r="Z1529" s="19"/>
      <c r="AA1529" s="19"/>
      <c r="AB1529" s="19"/>
      <c r="AC1529" s="19"/>
    </row>
    <row r="1530" spans="2:29" x14ac:dyDescent="0.25">
      <c r="B1530" s="19"/>
      <c r="C1530" s="19"/>
      <c r="D1530" s="19"/>
      <c r="E1530" s="19"/>
      <c r="F1530" s="19"/>
      <c r="G1530" s="19"/>
      <c r="H1530" s="19"/>
      <c r="I1530" s="19"/>
      <c r="J1530" s="19"/>
      <c r="K1530" s="19"/>
      <c r="L1530" s="19"/>
      <c r="M1530" s="19"/>
      <c r="N1530" s="19"/>
      <c r="O1530" s="19"/>
      <c r="P1530" s="19"/>
      <c r="Q1530" s="19"/>
      <c r="R1530" s="19"/>
      <c r="S1530" s="19"/>
      <c r="T1530" s="19"/>
      <c r="U1530" s="19"/>
      <c r="V1530" s="19"/>
      <c r="W1530" s="19"/>
      <c r="X1530" s="19"/>
      <c r="Y1530" s="19"/>
      <c r="Z1530" s="19"/>
      <c r="AA1530" s="19"/>
      <c r="AB1530" s="19"/>
      <c r="AC1530" s="19"/>
    </row>
    <row r="1531" spans="2:29" x14ac:dyDescent="0.25">
      <c r="B1531" s="19"/>
      <c r="C1531" s="19"/>
      <c r="D1531" s="19"/>
      <c r="E1531" s="19"/>
      <c r="F1531" s="19"/>
      <c r="G1531" s="19"/>
      <c r="H1531" s="19"/>
      <c r="I1531" s="19"/>
      <c r="J1531" s="19"/>
      <c r="K1531" s="19"/>
      <c r="L1531" s="19"/>
      <c r="M1531" s="19"/>
      <c r="N1531" s="19"/>
      <c r="O1531" s="19"/>
      <c r="P1531" s="19"/>
      <c r="Q1531" s="19"/>
      <c r="R1531" s="19"/>
      <c r="S1531" s="19"/>
      <c r="T1531" s="19"/>
      <c r="U1531" s="19"/>
      <c r="V1531" s="19"/>
      <c r="W1531" s="19"/>
      <c r="X1531" s="19"/>
      <c r="Y1531" s="19"/>
      <c r="Z1531" s="19"/>
      <c r="AA1531" s="19"/>
      <c r="AB1531" s="19"/>
      <c r="AC1531" s="19"/>
    </row>
    <row r="1532" spans="2:29" x14ac:dyDescent="0.25">
      <c r="B1532" s="19"/>
      <c r="C1532" s="19"/>
      <c r="D1532" s="19"/>
      <c r="E1532" s="19"/>
      <c r="F1532" s="19"/>
      <c r="G1532" s="19"/>
      <c r="H1532" s="19"/>
      <c r="I1532" s="19"/>
      <c r="J1532" s="19"/>
      <c r="K1532" s="19"/>
      <c r="L1532" s="19"/>
      <c r="M1532" s="19"/>
      <c r="N1532" s="19"/>
      <c r="O1532" s="19"/>
      <c r="P1532" s="19"/>
      <c r="Q1532" s="19"/>
      <c r="R1532" s="19"/>
      <c r="S1532" s="19"/>
      <c r="T1532" s="19"/>
      <c r="U1532" s="19"/>
      <c r="V1532" s="19"/>
      <c r="W1532" s="19"/>
      <c r="X1532" s="19"/>
      <c r="Y1532" s="19"/>
      <c r="Z1532" s="19"/>
      <c r="AA1532" s="19"/>
      <c r="AB1532" s="19"/>
      <c r="AC1532" s="19"/>
    </row>
    <row r="1533" spans="2:29" x14ac:dyDescent="0.25">
      <c r="B1533" s="19"/>
      <c r="C1533" s="19"/>
      <c r="D1533" s="19"/>
      <c r="E1533" s="19"/>
      <c r="F1533" s="19"/>
      <c r="G1533" s="19"/>
      <c r="H1533" s="19"/>
      <c r="I1533" s="19"/>
      <c r="J1533" s="19"/>
      <c r="K1533" s="19"/>
      <c r="L1533" s="19"/>
      <c r="M1533" s="19"/>
      <c r="N1533" s="19"/>
      <c r="O1533" s="19"/>
      <c r="P1533" s="19"/>
      <c r="Q1533" s="19"/>
      <c r="R1533" s="19"/>
      <c r="S1533" s="19"/>
      <c r="T1533" s="19"/>
      <c r="U1533" s="19"/>
      <c r="V1533" s="19"/>
      <c r="W1533" s="19"/>
      <c r="X1533" s="19"/>
      <c r="Y1533" s="19"/>
      <c r="Z1533" s="19"/>
      <c r="AA1533" s="19"/>
      <c r="AB1533" s="19"/>
      <c r="AC1533" s="19"/>
    </row>
    <row r="1534" spans="2:29" x14ac:dyDescent="0.25">
      <c r="B1534" s="19"/>
      <c r="C1534" s="19"/>
      <c r="D1534" s="19"/>
      <c r="E1534" s="19"/>
      <c r="F1534" s="19"/>
      <c r="G1534" s="19"/>
      <c r="H1534" s="19"/>
      <c r="I1534" s="19"/>
      <c r="J1534" s="19"/>
      <c r="K1534" s="19"/>
      <c r="L1534" s="19"/>
      <c r="M1534" s="19"/>
      <c r="N1534" s="19"/>
      <c r="O1534" s="19"/>
      <c r="P1534" s="19"/>
      <c r="Q1534" s="19"/>
      <c r="R1534" s="19"/>
      <c r="S1534" s="19"/>
      <c r="T1534" s="19"/>
      <c r="U1534" s="19"/>
      <c r="V1534" s="19"/>
      <c r="W1534" s="19"/>
      <c r="X1534" s="19"/>
      <c r="Y1534" s="19"/>
      <c r="Z1534" s="19"/>
      <c r="AA1534" s="19"/>
      <c r="AB1534" s="19"/>
      <c r="AC1534" s="19"/>
    </row>
    <row r="1535" spans="2:29" x14ac:dyDescent="0.25">
      <c r="B1535" s="19"/>
      <c r="C1535" s="19"/>
      <c r="D1535" s="19"/>
      <c r="E1535" s="19"/>
      <c r="F1535" s="19"/>
      <c r="G1535" s="19"/>
      <c r="H1535" s="19"/>
      <c r="I1535" s="19"/>
      <c r="J1535" s="19"/>
      <c r="K1535" s="19"/>
      <c r="L1535" s="19"/>
      <c r="M1535" s="19"/>
      <c r="N1535" s="19"/>
      <c r="O1535" s="19"/>
      <c r="P1535" s="19"/>
      <c r="Q1535" s="19"/>
      <c r="R1535" s="19"/>
      <c r="S1535" s="19"/>
      <c r="T1535" s="19"/>
      <c r="U1535" s="19"/>
      <c r="V1535" s="19"/>
      <c r="W1535" s="19"/>
      <c r="X1535" s="19"/>
      <c r="Y1535" s="19"/>
      <c r="Z1535" s="19"/>
      <c r="AA1535" s="19"/>
      <c r="AB1535" s="19"/>
      <c r="AC1535" s="19"/>
    </row>
    <row r="1536" spans="2:29" x14ac:dyDescent="0.25">
      <c r="B1536" s="19"/>
      <c r="C1536" s="19"/>
      <c r="D1536" s="19"/>
      <c r="E1536" s="19"/>
      <c r="F1536" s="19"/>
      <c r="G1536" s="19"/>
      <c r="H1536" s="19"/>
      <c r="I1536" s="19"/>
      <c r="J1536" s="19"/>
      <c r="K1536" s="19"/>
      <c r="L1536" s="19"/>
      <c r="M1536" s="19"/>
      <c r="N1536" s="19"/>
      <c r="O1536" s="19"/>
      <c r="P1536" s="19"/>
      <c r="Q1536" s="19"/>
      <c r="R1536" s="19"/>
      <c r="S1536" s="19"/>
      <c r="T1536" s="19"/>
      <c r="U1536" s="19"/>
      <c r="V1536" s="19"/>
      <c r="W1536" s="19"/>
      <c r="X1536" s="19"/>
      <c r="Y1536" s="19"/>
      <c r="Z1536" s="19"/>
      <c r="AA1536" s="19"/>
      <c r="AB1536" s="19"/>
      <c r="AC1536" s="19"/>
    </row>
    <row r="1537" spans="2:29" x14ac:dyDescent="0.25">
      <c r="B1537" s="19"/>
      <c r="C1537" s="19"/>
      <c r="D1537" s="19"/>
      <c r="E1537" s="19"/>
      <c r="F1537" s="19"/>
      <c r="G1537" s="19"/>
      <c r="H1537" s="19"/>
      <c r="I1537" s="19"/>
      <c r="J1537" s="19"/>
      <c r="K1537" s="19"/>
      <c r="L1537" s="19"/>
      <c r="M1537" s="19"/>
      <c r="N1537" s="19"/>
      <c r="O1537" s="19"/>
      <c r="P1537" s="19"/>
      <c r="Q1537" s="19"/>
      <c r="R1537" s="19"/>
      <c r="S1537" s="19"/>
      <c r="T1537" s="19"/>
      <c r="U1537" s="19"/>
      <c r="V1537" s="19"/>
      <c r="W1537" s="19"/>
      <c r="X1537" s="19"/>
      <c r="Y1537" s="19"/>
      <c r="Z1537" s="19"/>
      <c r="AA1537" s="19"/>
      <c r="AB1537" s="19"/>
      <c r="AC1537" s="19"/>
    </row>
    <row r="1538" spans="2:29" x14ac:dyDescent="0.25">
      <c r="B1538" s="19"/>
      <c r="C1538" s="19"/>
      <c r="D1538" s="19"/>
      <c r="E1538" s="19"/>
      <c r="F1538" s="19"/>
      <c r="G1538" s="19"/>
      <c r="H1538" s="19"/>
      <c r="I1538" s="19"/>
      <c r="J1538" s="19"/>
      <c r="K1538" s="19"/>
      <c r="L1538" s="19"/>
      <c r="M1538" s="19"/>
      <c r="N1538" s="19"/>
      <c r="O1538" s="19"/>
      <c r="P1538" s="19"/>
      <c r="Q1538" s="19"/>
      <c r="R1538" s="19"/>
      <c r="S1538" s="19"/>
      <c r="T1538" s="19"/>
      <c r="U1538" s="19"/>
      <c r="V1538" s="19"/>
      <c r="W1538" s="19"/>
      <c r="X1538" s="19"/>
      <c r="Y1538" s="19"/>
      <c r="Z1538" s="19"/>
      <c r="AA1538" s="19"/>
      <c r="AB1538" s="19"/>
      <c r="AC1538" s="19"/>
    </row>
    <row r="1539" spans="2:29" x14ac:dyDescent="0.25">
      <c r="B1539" s="19"/>
      <c r="C1539" s="19"/>
      <c r="D1539" s="19"/>
      <c r="E1539" s="19"/>
      <c r="F1539" s="19"/>
      <c r="G1539" s="19"/>
      <c r="H1539" s="19"/>
      <c r="I1539" s="19"/>
      <c r="J1539" s="19"/>
      <c r="K1539" s="19"/>
      <c r="L1539" s="19"/>
      <c r="M1539" s="19"/>
      <c r="N1539" s="19"/>
      <c r="O1539" s="19"/>
      <c r="P1539" s="19"/>
      <c r="Q1539" s="19"/>
      <c r="R1539" s="19"/>
      <c r="S1539" s="19"/>
      <c r="T1539" s="19"/>
      <c r="U1539" s="19"/>
      <c r="V1539" s="19"/>
      <c r="W1539" s="19"/>
      <c r="X1539" s="19"/>
      <c r="Y1539" s="19"/>
      <c r="Z1539" s="19"/>
      <c r="AA1539" s="19"/>
      <c r="AB1539" s="19"/>
      <c r="AC1539" s="19"/>
    </row>
    <row r="1540" spans="2:29" x14ac:dyDescent="0.25">
      <c r="B1540" s="19"/>
      <c r="C1540" s="19"/>
      <c r="D1540" s="19"/>
      <c r="E1540" s="19"/>
      <c r="F1540" s="19"/>
      <c r="G1540" s="19"/>
      <c r="H1540" s="19"/>
      <c r="I1540" s="19"/>
      <c r="J1540" s="19"/>
      <c r="K1540" s="19"/>
      <c r="L1540" s="19"/>
      <c r="M1540" s="19"/>
      <c r="N1540" s="19"/>
      <c r="O1540" s="19"/>
      <c r="P1540" s="19"/>
      <c r="Q1540" s="19"/>
      <c r="R1540" s="19"/>
      <c r="S1540" s="19"/>
      <c r="T1540" s="19"/>
      <c r="U1540" s="19"/>
      <c r="V1540" s="19"/>
      <c r="W1540" s="19"/>
      <c r="X1540" s="19"/>
      <c r="Y1540" s="19"/>
      <c r="Z1540" s="19"/>
      <c r="AA1540" s="19"/>
      <c r="AB1540" s="19"/>
      <c r="AC1540" s="19"/>
    </row>
    <row r="1541" spans="2:29" x14ac:dyDescent="0.25">
      <c r="B1541" s="19"/>
      <c r="C1541" s="19"/>
      <c r="D1541" s="19"/>
      <c r="E1541" s="19"/>
      <c r="F1541" s="19"/>
      <c r="G1541" s="19"/>
      <c r="H1541" s="19"/>
      <c r="I1541" s="19"/>
      <c r="J1541" s="19"/>
      <c r="K1541" s="19"/>
      <c r="L1541" s="19"/>
      <c r="M1541" s="19"/>
      <c r="N1541" s="19"/>
      <c r="O1541" s="19"/>
      <c r="P1541" s="19"/>
      <c r="Q1541" s="19"/>
      <c r="R1541" s="19"/>
      <c r="S1541" s="19"/>
      <c r="T1541" s="19"/>
      <c r="U1541" s="19"/>
      <c r="V1541" s="19"/>
      <c r="W1541" s="19"/>
      <c r="X1541" s="19"/>
      <c r="Y1541" s="19"/>
      <c r="Z1541" s="19"/>
      <c r="AA1541" s="19"/>
      <c r="AB1541" s="19"/>
      <c r="AC1541" s="19"/>
    </row>
    <row r="1542" spans="2:29" x14ac:dyDescent="0.25">
      <c r="B1542" s="19"/>
      <c r="C1542" s="19"/>
      <c r="D1542" s="19"/>
      <c r="E1542" s="19"/>
      <c r="F1542" s="19"/>
      <c r="G1542" s="19"/>
      <c r="H1542" s="19"/>
      <c r="I1542" s="19"/>
      <c r="J1542" s="19"/>
      <c r="K1542" s="19"/>
      <c r="L1542" s="19"/>
      <c r="M1542" s="19"/>
      <c r="N1542" s="19"/>
      <c r="O1542" s="19"/>
      <c r="P1542" s="19"/>
      <c r="Q1542" s="19"/>
      <c r="R1542" s="19"/>
      <c r="S1542" s="19"/>
      <c r="T1542" s="19"/>
      <c r="U1542" s="19"/>
      <c r="V1542" s="19"/>
      <c r="W1542" s="19"/>
      <c r="X1542" s="19"/>
      <c r="Y1542" s="19"/>
      <c r="Z1542" s="19"/>
      <c r="AA1542" s="19"/>
      <c r="AB1542" s="19"/>
      <c r="AC1542" s="19"/>
    </row>
    <row r="1543" spans="2:29" x14ac:dyDescent="0.25">
      <c r="B1543" s="19"/>
      <c r="C1543" s="19"/>
      <c r="D1543" s="19"/>
      <c r="E1543" s="19"/>
      <c r="F1543" s="19"/>
      <c r="G1543" s="19"/>
      <c r="H1543" s="19"/>
      <c r="I1543" s="19"/>
      <c r="J1543" s="19"/>
      <c r="K1543" s="19"/>
      <c r="L1543" s="19"/>
      <c r="M1543" s="19"/>
      <c r="N1543" s="19"/>
      <c r="O1543" s="19"/>
      <c r="P1543" s="19"/>
      <c r="Q1543" s="19"/>
      <c r="R1543" s="19"/>
      <c r="S1543" s="19"/>
      <c r="T1543" s="19"/>
      <c r="U1543" s="19"/>
      <c r="V1543" s="19"/>
      <c r="W1543" s="19"/>
      <c r="X1543" s="19"/>
      <c r="Y1543" s="19"/>
      <c r="Z1543" s="19"/>
      <c r="AA1543" s="19"/>
      <c r="AB1543" s="19"/>
      <c r="AC1543" s="19"/>
    </row>
    <row r="1544" spans="2:29" x14ac:dyDescent="0.25">
      <c r="B1544" s="19"/>
      <c r="C1544" s="19"/>
      <c r="D1544" s="19"/>
      <c r="E1544" s="19"/>
      <c r="F1544" s="19"/>
      <c r="G1544" s="19"/>
      <c r="H1544" s="19"/>
      <c r="I1544" s="19"/>
      <c r="J1544" s="19"/>
      <c r="K1544" s="19"/>
      <c r="L1544" s="19"/>
      <c r="M1544" s="19"/>
      <c r="N1544" s="19"/>
      <c r="O1544" s="19"/>
      <c r="P1544" s="19"/>
      <c r="Q1544" s="19"/>
      <c r="R1544" s="19"/>
      <c r="S1544" s="19"/>
      <c r="T1544" s="19"/>
      <c r="U1544" s="19"/>
      <c r="V1544" s="19"/>
      <c r="W1544" s="19"/>
      <c r="X1544" s="19"/>
      <c r="Y1544" s="19"/>
      <c r="Z1544" s="19"/>
      <c r="AA1544" s="19"/>
      <c r="AB1544" s="19"/>
      <c r="AC1544" s="19"/>
    </row>
    <row r="1545" spans="2:29" x14ac:dyDescent="0.25">
      <c r="B1545" s="19"/>
      <c r="C1545" s="19"/>
      <c r="D1545" s="19"/>
      <c r="E1545" s="19"/>
      <c r="F1545" s="19"/>
      <c r="G1545" s="19"/>
      <c r="H1545" s="19"/>
      <c r="I1545" s="19"/>
      <c r="J1545" s="19"/>
      <c r="K1545" s="19"/>
      <c r="L1545" s="19"/>
      <c r="M1545" s="19"/>
      <c r="N1545" s="19"/>
      <c r="O1545" s="19"/>
      <c r="P1545" s="19"/>
      <c r="Q1545" s="19"/>
      <c r="R1545" s="19"/>
      <c r="S1545" s="19"/>
      <c r="T1545" s="19"/>
      <c r="U1545" s="19"/>
      <c r="V1545" s="19"/>
      <c r="W1545" s="19"/>
      <c r="X1545" s="19"/>
      <c r="Y1545" s="19"/>
      <c r="Z1545" s="19"/>
      <c r="AA1545" s="19"/>
      <c r="AB1545" s="19"/>
      <c r="AC1545" s="19"/>
    </row>
    <row r="1546" spans="2:29" x14ac:dyDescent="0.25">
      <c r="B1546" s="19"/>
      <c r="C1546" s="19"/>
      <c r="D1546" s="19"/>
      <c r="E1546" s="19"/>
      <c r="F1546" s="19"/>
      <c r="G1546" s="19"/>
      <c r="H1546" s="19"/>
      <c r="I1546" s="19"/>
      <c r="J1546" s="19"/>
      <c r="K1546" s="19"/>
      <c r="L1546" s="19"/>
      <c r="M1546" s="19"/>
      <c r="N1546" s="19"/>
      <c r="O1546" s="19"/>
      <c r="P1546" s="19"/>
      <c r="Q1546" s="19"/>
      <c r="R1546" s="19"/>
      <c r="S1546" s="19"/>
      <c r="T1546" s="19"/>
      <c r="U1546" s="19"/>
      <c r="V1546" s="19"/>
      <c r="W1546" s="19"/>
      <c r="X1546" s="19"/>
      <c r="Y1546" s="19"/>
      <c r="Z1546" s="19"/>
      <c r="AA1546" s="19"/>
      <c r="AB1546" s="19"/>
      <c r="AC1546" s="19"/>
    </row>
    <row r="1547" spans="2:29" x14ac:dyDescent="0.25">
      <c r="B1547" s="19"/>
      <c r="C1547" s="19"/>
      <c r="D1547" s="19"/>
      <c r="E1547" s="19"/>
      <c r="F1547" s="19"/>
      <c r="G1547" s="19"/>
      <c r="H1547" s="19"/>
      <c r="I1547" s="19"/>
      <c r="J1547" s="19"/>
      <c r="K1547" s="19"/>
      <c r="L1547" s="19"/>
      <c r="M1547" s="19"/>
      <c r="N1547" s="19"/>
      <c r="O1547" s="19"/>
      <c r="P1547" s="19"/>
      <c r="Q1547" s="19"/>
      <c r="R1547" s="19"/>
      <c r="S1547" s="19"/>
      <c r="T1547" s="19"/>
      <c r="U1547" s="19"/>
      <c r="V1547" s="19"/>
      <c r="W1547" s="19"/>
      <c r="X1547" s="19"/>
      <c r="Y1547" s="19"/>
      <c r="Z1547" s="19"/>
      <c r="AA1547" s="19"/>
      <c r="AB1547" s="19"/>
      <c r="AC1547" s="19"/>
    </row>
    <row r="1548" spans="2:29" x14ac:dyDescent="0.25">
      <c r="B1548" s="19"/>
      <c r="C1548" s="19"/>
      <c r="D1548" s="19"/>
      <c r="E1548" s="19"/>
      <c r="F1548" s="19"/>
      <c r="G1548" s="19"/>
      <c r="H1548" s="19"/>
      <c r="I1548" s="19"/>
      <c r="J1548" s="19"/>
      <c r="K1548" s="19"/>
      <c r="L1548" s="19"/>
      <c r="M1548" s="19"/>
      <c r="N1548" s="19"/>
      <c r="O1548" s="19"/>
      <c r="P1548" s="19"/>
      <c r="Q1548" s="19"/>
      <c r="R1548" s="19"/>
      <c r="S1548" s="19"/>
      <c r="T1548" s="19"/>
      <c r="U1548" s="19"/>
      <c r="V1548" s="19"/>
      <c r="W1548" s="19"/>
      <c r="X1548" s="19"/>
      <c r="Y1548" s="19"/>
      <c r="Z1548" s="19"/>
      <c r="AA1548" s="19"/>
      <c r="AB1548" s="19"/>
      <c r="AC1548" s="19"/>
    </row>
    <row r="1549" spans="2:29" x14ac:dyDescent="0.25">
      <c r="B1549" s="19"/>
      <c r="C1549" s="19"/>
      <c r="D1549" s="19"/>
      <c r="E1549" s="19"/>
      <c r="F1549" s="19"/>
      <c r="G1549" s="19"/>
      <c r="H1549" s="19"/>
      <c r="I1549" s="19"/>
      <c r="J1549" s="19"/>
      <c r="K1549" s="19"/>
      <c r="L1549" s="19"/>
      <c r="M1549" s="19"/>
      <c r="N1549" s="19"/>
      <c r="O1549" s="19"/>
      <c r="P1549" s="19"/>
      <c r="Q1549" s="19"/>
      <c r="R1549" s="19"/>
      <c r="S1549" s="19"/>
      <c r="T1549" s="19"/>
      <c r="U1549" s="19"/>
      <c r="V1549" s="19"/>
      <c r="W1549" s="19"/>
      <c r="X1549" s="19"/>
      <c r="Y1549" s="19"/>
      <c r="Z1549" s="19"/>
      <c r="AA1549" s="19"/>
      <c r="AB1549" s="19"/>
      <c r="AC1549" s="19"/>
    </row>
    <row r="1550" spans="2:29" x14ac:dyDescent="0.25">
      <c r="B1550" s="19"/>
      <c r="C1550" s="19"/>
      <c r="D1550" s="19"/>
      <c r="E1550" s="19"/>
      <c r="F1550" s="19"/>
      <c r="G1550" s="19"/>
      <c r="H1550" s="19"/>
      <c r="I1550" s="19"/>
      <c r="J1550" s="19"/>
      <c r="K1550" s="19"/>
      <c r="L1550" s="19"/>
      <c r="M1550" s="19"/>
      <c r="N1550" s="19"/>
      <c r="O1550" s="19"/>
      <c r="P1550" s="19"/>
      <c r="Q1550" s="19"/>
      <c r="R1550" s="19"/>
      <c r="S1550" s="19"/>
      <c r="T1550" s="19"/>
      <c r="U1550" s="19"/>
      <c r="V1550" s="19"/>
      <c r="W1550" s="19"/>
      <c r="X1550" s="19"/>
      <c r="Y1550" s="19"/>
      <c r="Z1550" s="19"/>
      <c r="AA1550" s="19"/>
      <c r="AB1550" s="19"/>
      <c r="AC1550" s="19"/>
    </row>
    <row r="1551" spans="2:29" x14ac:dyDescent="0.25">
      <c r="B1551" s="19"/>
      <c r="C1551" s="19"/>
      <c r="D1551" s="19"/>
      <c r="E1551" s="19"/>
      <c r="F1551" s="19"/>
      <c r="G1551" s="19"/>
      <c r="H1551" s="19"/>
      <c r="I1551" s="19"/>
      <c r="J1551" s="19"/>
      <c r="K1551" s="19"/>
      <c r="L1551" s="19"/>
      <c r="M1551" s="19"/>
      <c r="N1551" s="19"/>
      <c r="O1551" s="19"/>
      <c r="P1551" s="19"/>
      <c r="Q1551" s="19"/>
      <c r="R1551" s="19"/>
      <c r="S1551" s="19"/>
      <c r="T1551" s="19"/>
      <c r="U1551" s="19"/>
      <c r="V1551" s="19"/>
      <c r="W1551" s="19"/>
      <c r="X1551" s="19"/>
      <c r="Y1551" s="19"/>
      <c r="Z1551" s="19"/>
      <c r="AA1551" s="19"/>
      <c r="AB1551" s="19"/>
      <c r="AC1551" s="19"/>
    </row>
    <row r="1552" spans="2:29" x14ac:dyDescent="0.25">
      <c r="B1552" s="19"/>
      <c r="C1552" s="19"/>
      <c r="D1552" s="19"/>
      <c r="E1552" s="19"/>
      <c r="F1552" s="19"/>
      <c r="G1552" s="19"/>
      <c r="H1552" s="19"/>
      <c r="I1552" s="19"/>
      <c r="J1552" s="19"/>
      <c r="K1552" s="19"/>
      <c r="L1552" s="19"/>
      <c r="M1552" s="19"/>
      <c r="N1552" s="19"/>
      <c r="O1552" s="19"/>
      <c r="P1552" s="19"/>
      <c r="Q1552" s="19"/>
      <c r="R1552" s="19"/>
      <c r="S1552" s="19"/>
      <c r="T1552" s="19"/>
      <c r="U1552" s="19"/>
      <c r="V1552" s="19"/>
      <c r="W1552" s="19"/>
      <c r="X1552" s="19"/>
      <c r="Y1552" s="19"/>
      <c r="Z1552" s="19"/>
      <c r="AA1552" s="19"/>
      <c r="AB1552" s="19"/>
      <c r="AC1552" s="19"/>
    </row>
    <row r="1553" spans="2:29" x14ac:dyDescent="0.25">
      <c r="B1553" s="19"/>
      <c r="C1553" s="19"/>
      <c r="D1553" s="19"/>
      <c r="E1553" s="19"/>
      <c r="F1553" s="19"/>
      <c r="G1553" s="19"/>
      <c r="H1553" s="19"/>
      <c r="I1553" s="19"/>
      <c r="J1553" s="19"/>
      <c r="K1553" s="19"/>
      <c r="L1553" s="19"/>
      <c r="M1553" s="19"/>
      <c r="N1553" s="19"/>
      <c r="O1553" s="19"/>
      <c r="P1553" s="19"/>
      <c r="Q1553" s="19"/>
      <c r="R1553" s="19"/>
      <c r="S1553" s="19"/>
      <c r="T1553" s="19"/>
      <c r="U1553" s="19"/>
      <c r="V1553" s="19"/>
      <c r="W1553" s="19"/>
      <c r="X1553" s="19"/>
      <c r="Y1553" s="19"/>
      <c r="Z1553" s="19"/>
      <c r="AA1553" s="19"/>
      <c r="AB1553" s="19"/>
      <c r="AC1553" s="19"/>
    </row>
    <row r="1554" spans="2:29" x14ac:dyDescent="0.25">
      <c r="B1554" s="19"/>
      <c r="C1554" s="19"/>
      <c r="D1554" s="19"/>
      <c r="E1554" s="19"/>
      <c r="F1554" s="19"/>
      <c r="G1554" s="19"/>
      <c r="H1554" s="19"/>
      <c r="I1554" s="19"/>
      <c r="J1554" s="19"/>
      <c r="K1554" s="19"/>
      <c r="L1554" s="19"/>
      <c r="M1554" s="19"/>
      <c r="N1554" s="19"/>
      <c r="O1554" s="19"/>
      <c r="P1554" s="19"/>
      <c r="Q1554" s="19"/>
      <c r="R1554" s="19"/>
      <c r="S1554" s="19"/>
      <c r="T1554" s="19"/>
      <c r="U1554" s="19"/>
      <c r="V1554" s="19"/>
      <c r="W1554" s="19"/>
      <c r="X1554" s="19"/>
      <c r="Y1554" s="19"/>
      <c r="Z1554" s="19"/>
      <c r="AA1554" s="19"/>
      <c r="AB1554" s="19"/>
      <c r="AC1554" s="19"/>
    </row>
    <row r="1555" spans="2:29" x14ac:dyDescent="0.25">
      <c r="B1555" s="19"/>
      <c r="C1555" s="19"/>
      <c r="D1555" s="19"/>
      <c r="E1555" s="19"/>
      <c r="F1555" s="19"/>
      <c r="G1555" s="19"/>
      <c r="H1555" s="19"/>
      <c r="I1555" s="19"/>
      <c r="J1555" s="19"/>
      <c r="K1555" s="19"/>
      <c r="L1555" s="19"/>
      <c r="M1555" s="19"/>
      <c r="N1555" s="19"/>
      <c r="O1555" s="19"/>
      <c r="P1555" s="19"/>
      <c r="Q1555" s="19"/>
      <c r="R1555" s="19"/>
      <c r="S1555" s="19"/>
      <c r="T1555" s="19"/>
      <c r="U1555" s="19"/>
      <c r="V1555" s="19"/>
      <c r="W1555" s="19"/>
      <c r="X1555" s="19"/>
      <c r="Y1555" s="19"/>
      <c r="Z1555" s="19"/>
      <c r="AA1555" s="19"/>
      <c r="AB1555" s="19"/>
      <c r="AC1555" s="19"/>
    </row>
    <row r="1556" spans="2:29" x14ac:dyDescent="0.25">
      <c r="B1556" s="19"/>
      <c r="C1556" s="19"/>
      <c r="D1556" s="19"/>
      <c r="E1556" s="19"/>
      <c r="F1556" s="19"/>
      <c r="G1556" s="19"/>
      <c r="H1556" s="19"/>
      <c r="I1556" s="19"/>
      <c r="J1556" s="19"/>
      <c r="K1556" s="19"/>
      <c r="L1556" s="19"/>
      <c r="M1556" s="19"/>
      <c r="N1556" s="19"/>
      <c r="O1556" s="19"/>
      <c r="P1556" s="19"/>
      <c r="Q1556" s="19"/>
      <c r="R1556" s="19"/>
      <c r="S1556" s="19"/>
      <c r="T1556" s="19"/>
      <c r="U1556" s="19"/>
      <c r="V1556" s="19"/>
      <c r="W1556" s="19"/>
      <c r="X1556" s="19"/>
      <c r="Y1556" s="19"/>
      <c r="Z1556" s="19"/>
      <c r="AA1556" s="19"/>
      <c r="AB1556" s="19"/>
      <c r="AC1556" s="19"/>
    </row>
    <row r="1557" spans="2:29" x14ac:dyDescent="0.25">
      <c r="B1557" s="19"/>
      <c r="C1557" s="19"/>
      <c r="D1557" s="19"/>
      <c r="E1557" s="19"/>
      <c r="F1557" s="19"/>
      <c r="G1557" s="19"/>
      <c r="H1557" s="19"/>
      <c r="I1557" s="19"/>
      <c r="J1557" s="19"/>
      <c r="K1557" s="19"/>
      <c r="L1557" s="19"/>
      <c r="M1557" s="19"/>
      <c r="N1557" s="19"/>
      <c r="O1557" s="19"/>
      <c r="P1557" s="19"/>
      <c r="Q1557" s="19"/>
      <c r="R1557" s="19"/>
      <c r="S1557" s="19"/>
      <c r="T1557" s="19"/>
      <c r="U1557" s="19"/>
      <c r="V1557" s="19"/>
      <c r="W1557" s="19"/>
      <c r="X1557" s="19"/>
      <c r="Y1557" s="19"/>
      <c r="Z1557" s="19"/>
      <c r="AA1557" s="19"/>
      <c r="AB1557" s="19"/>
      <c r="AC1557" s="19"/>
    </row>
    <row r="1558" spans="2:29" x14ac:dyDescent="0.25">
      <c r="B1558" s="19"/>
      <c r="C1558" s="19"/>
      <c r="D1558" s="19"/>
      <c r="E1558" s="19"/>
      <c r="F1558" s="19"/>
      <c r="G1558" s="19"/>
      <c r="H1558" s="19"/>
      <c r="I1558" s="19"/>
      <c r="J1558" s="19"/>
      <c r="K1558" s="19"/>
      <c r="L1558" s="19"/>
      <c r="M1558" s="19"/>
      <c r="N1558" s="19"/>
      <c r="O1558" s="19"/>
      <c r="P1558" s="19"/>
      <c r="Q1558" s="19"/>
      <c r="R1558" s="19"/>
      <c r="S1558" s="19"/>
      <c r="T1558" s="19"/>
      <c r="U1558" s="19"/>
      <c r="V1558" s="19"/>
      <c r="W1558" s="19"/>
      <c r="X1558" s="19"/>
      <c r="Y1558" s="19"/>
      <c r="Z1558" s="19"/>
      <c r="AA1558" s="19"/>
      <c r="AB1558" s="19"/>
      <c r="AC1558" s="19"/>
    </row>
    <row r="1559" spans="2:29" x14ac:dyDescent="0.25">
      <c r="B1559" s="19"/>
      <c r="C1559" s="19"/>
      <c r="D1559" s="19"/>
      <c r="E1559" s="19"/>
      <c r="F1559" s="19"/>
      <c r="G1559" s="19"/>
      <c r="H1559" s="19"/>
      <c r="I1559" s="19"/>
      <c r="J1559" s="19"/>
      <c r="K1559" s="19"/>
      <c r="L1559" s="19"/>
      <c r="M1559" s="19"/>
      <c r="N1559" s="19"/>
      <c r="O1559" s="19"/>
      <c r="P1559" s="19"/>
      <c r="Q1559" s="19"/>
      <c r="R1559" s="19"/>
      <c r="S1559" s="19"/>
      <c r="T1559" s="19"/>
      <c r="U1559" s="19"/>
      <c r="V1559" s="19"/>
      <c r="W1559" s="19"/>
      <c r="X1559" s="19"/>
      <c r="Y1559" s="19"/>
      <c r="Z1559" s="19"/>
      <c r="AA1559" s="19"/>
      <c r="AB1559" s="19"/>
      <c r="AC1559" s="19"/>
    </row>
    <row r="1560" spans="2:29" x14ac:dyDescent="0.25">
      <c r="B1560" s="19"/>
      <c r="C1560" s="19"/>
      <c r="D1560" s="19"/>
      <c r="E1560" s="19"/>
      <c r="F1560" s="19"/>
      <c r="G1560" s="19"/>
      <c r="H1560" s="19"/>
      <c r="I1560" s="19"/>
      <c r="J1560" s="19"/>
      <c r="K1560" s="19"/>
      <c r="L1560" s="19"/>
      <c r="M1560" s="19"/>
      <c r="N1560" s="19"/>
      <c r="O1560" s="19"/>
      <c r="P1560" s="19"/>
      <c r="Q1560" s="19"/>
      <c r="R1560" s="19"/>
      <c r="S1560" s="19"/>
      <c r="T1560" s="19"/>
      <c r="U1560" s="19"/>
      <c r="V1560" s="19"/>
      <c r="W1560" s="19"/>
      <c r="X1560" s="19"/>
      <c r="Y1560" s="19"/>
      <c r="Z1560" s="19"/>
      <c r="AA1560" s="19"/>
      <c r="AB1560" s="19"/>
      <c r="AC1560" s="19"/>
    </row>
    <row r="1561" spans="2:29" x14ac:dyDescent="0.25">
      <c r="B1561" s="19"/>
      <c r="C1561" s="19"/>
      <c r="D1561" s="19"/>
      <c r="E1561" s="19"/>
      <c r="F1561" s="19"/>
      <c r="G1561" s="19"/>
      <c r="H1561" s="19"/>
      <c r="I1561" s="19"/>
      <c r="J1561" s="19"/>
      <c r="K1561" s="19"/>
      <c r="L1561" s="19"/>
      <c r="M1561" s="19"/>
      <c r="N1561" s="19"/>
      <c r="O1561" s="19"/>
      <c r="P1561" s="19"/>
      <c r="Q1561" s="19"/>
      <c r="R1561" s="19"/>
      <c r="S1561" s="19"/>
      <c r="T1561" s="19"/>
      <c r="U1561" s="19"/>
      <c r="V1561" s="19"/>
      <c r="W1561" s="19"/>
      <c r="X1561" s="19"/>
      <c r="Y1561" s="19"/>
      <c r="Z1561" s="19"/>
      <c r="AA1561" s="19"/>
      <c r="AB1561" s="19"/>
      <c r="AC1561" s="19"/>
    </row>
    <row r="1562" spans="2:29" x14ac:dyDescent="0.25">
      <c r="B1562" s="19"/>
      <c r="C1562" s="19"/>
      <c r="D1562" s="19"/>
      <c r="E1562" s="19"/>
      <c r="F1562" s="19"/>
      <c r="G1562" s="19"/>
      <c r="H1562" s="19"/>
      <c r="I1562" s="19"/>
      <c r="J1562" s="19"/>
      <c r="K1562" s="19"/>
      <c r="L1562" s="19"/>
      <c r="M1562" s="19"/>
      <c r="N1562" s="19"/>
      <c r="O1562" s="19"/>
      <c r="P1562" s="19"/>
      <c r="Q1562" s="19"/>
      <c r="R1562" s="19"/>
      <c r="S1562" s="19"/>
      <c r="T1562" s="19"/>
      <c r="U1562" s="19"/>
      <c r="V1562" s="19"/>
      <c r="W1562" s="19"/>
      <c r="X1562" s="19"/>
      <c r="Y1562" s="19"/>
      <c r="Z1562" s="19"/>
      <c r="AA1562" s="19"/>
      <c r="AB1562" s="19"/>
      <c r="AC1562" s="19"/>
    </row>
    <row r="1563" spans="2:29" x14ac:dyDescent="0.25">
      <c r="B1563" s="19"/>
      <c r="C1563" s="19"/>
      <c r="D1563" s="19"/>
      <c r="E1563" s="19"/>
      <c r="F1563" s="19"/>
      <c r="G1563" s="19"/>
      <c r="H1563" s="19"/>
      <c r="I1563" s="19"/>
      <c r="J1563" s="19"/>
      <c r="K1563" s="19"/>
      <c r="L1563" s="19"/>
      <c r="M1563" s="19"/>
      <c r="N1563" s="19"/>
      <c r="O1563" s="19"/>
      <c r="P1563" s="19"/>
      <c r="Q1563" s="19"/>
      <c r="R1563" s="19"/>
      <c r="S1563" s="19"/>
      <c r="T1563" s="19"/>
      <c r="U1563" s="19"/>
      <c r="V1563" s="19"/>
      <c r="W1563" s="19"/>
      <c r="X1563" s="19"/>
      <c r="Y1563" s="19"/>
      <c r="Z1563" s="19"/>
      <c r="AA1563" s="19"/>
      <c r="AB1563" s="19"/>
      <c r="AC1563" s="19"/>
    </row>
    <row r="1564" spans="2:29" x14ac:dyDescent="0.25">
      <c r="B1564" s="19"/>
      <c r="C1564" s="19"/>
      <c r="D1564" s="19"/>
      <c r="E1564" s="19"/>
      <c r="F1564" s="19"/>
      <c r="G1564" s="19"/>
      <c r="H1564" s="19"/>
      <c r="I1564" s="19"/>
      <c r="J1564" s="19"/>
      <c r="K1564" s="19"/>
      <c r="L1564" s="19"/>
      <c r="M1564" s="19"/>
      <c r="N1564" s="19"/>
      <c r="O1564" s="19"/>
      <c r="P1564" s="19"/>
      <c r="Q1564" s="19"/>
      <c r="R1564" s="19"/>
      <c r="S1564" s="19"/>
      <c r="T1564" s="19"/>
      <c r="U1564" s="19"/>
      <c r="V1564" s="19"/>
      <c r="W1564" s="19"/>
      <c r="X1564" s="19"/>
      <c r="Y1564" s="19"/>
      <c r="Z1564" s="19"/>
      <c r="AA1564" s="19"/>
      <c r="AB1564" s="19"/>
      <c r="AC1564" s="19"/>
    </row>
    <row r="1565" spans="2:29" x14ac:dyDescent="0.25">
      <c r="B1565" s="19"/>
      <c r="C1565" s="19"/>
      <c r="D1565" s="19"/>
      <c r="E1565" s="19"/>
      <c r="F1565" s="19"/>
      <c r="G1565" s="19"/>
      <c r="H1565" s="19"/>
      <c r="I1565" s="19"/>
      <c r="J1565" s="19"/>
      <c r="K1565" s="19"/>
      <c r="L1565" s="19"/>
      <c r="M1565" s="19"/>
      <c r="N1565" s="19"/>
      <c r="O1565" s="19"/>
      <c r="P1565" s="19"/>
      <c r="Q1565" s="19"/>
      <c r="R1565" s="19"/>
      <c r="S1565" s="19"/>
      <c r="T1565" s="19"/>
      <c r="U1565" s="19"/>
      <c r="V1565" s="19"/>
      <c r="W1565" s="19"/>
      <c r="X1565" s="19"/>
      <c r="Y1565" s="19"/>
      <c r="Z1565" s="19"/>
      <c r="AA1565" s="19"/>
      <c r="AB1565" s="19"/>
      <c r="AC1565" s="19"/>
    </row>
    <row r="1566" spans="2:29" x14ac:dyDescent="0.25">
      <c r="B1566" s="19"/>
      <c r="C1566" s="19"/>
      <c r="D1566" s="19"/>
      <c r="E1566" s="19"/>
      <c r="F1566" s="19"/>
      <c r="G1566" s="19"/>
      <c r="H1566" s="19"/>
      <c r="I1566" s="19"/>
      <c r="J1566" s="19"/>
      <c r="K1566" s="19"/>
      <c r="L1566" s="19"/>
      <c r="M1566" s="19"/>
      <c r="N1566" s="19"/>
      <c r="O1566" s="19"/>
      <c r="P1566" s="19"/>
      <c r="Q1566" s="19"/>
      <c r="R1566" s="19"/>
      <c r="S1566" s="19"/>
      <c r="T1566" s="19"/>
      <c r="U1566" s="19"/>
      <c r="V1566" s="19"/>
      <c r="W1566" s="19"/>
      <c r="X1566" s="19"/>
      <c r="Y1566" s="19"/>
      <c r="Z1566" s="19"/>
      <c r="AA1566" s="19"/>
      <c r="AB1566" s="19"/>
      <c r="AC1566" s="19"/>
    </row>
    <row r="1567" spans="2:29" x14ac:dyDescent="0.25">
      <c r="B1567" s="19"/>
      <c r="C1567" s="19"/>
      <c r="D1567" s="19"/>
      <c r="E1567" s="19"/>
      <c r="F1567" s="19"/>
      <c r="G1567" s="19"/>
      <c r="H1567" s="19"/>
      <c r="I1567" s="19"/>
      <c r="J1567" s="19"/>
      <c r="K1567" s="19"/>
      <c r="L1567" s="19"/>
      <c r="M1567" s="19"/>
      <c r="N1567" s="19"/>
      <c r="O1567" s="19"/>
      <c r="P1567" s="19"/>
      <c r="Q1567" s="19"/>
      <c r="R1567" s="19"/>
      <c r="S1567" s="19"/>
      <c r="T1567" s="19"/>
      <c r="U1567" s="19"/>
      <c r="V1567" s="19"/>
      <c r="W1567" s="19"/>
      <c r="X1567" s="19"/>
      <c r="Y1567" s="19"/>
      <c r="Z1567" s="19"/>
      <c r="AA1567" s="19"/>
      <c r="AB1567" s="19"/>
      <c r="AC1567" s="19"/>
    </row>
    <row r="1568" spans="2:29" x14ac:dyDescent="0.25">
      <c r="B1568" s="19"/>
      <c r="C1568" s="19"/>
      <c r="D1568" s="19"/>
      <c r="E1568" s="19"/>
      <c r="F1568" s="19"/>
      <c r="G1568" s="19"/>
      <c r="H1568" s="19"/>
      <c r="I1568" s="19"/>
      <c r="J1568" s="19"/>
      <c r="K1568" s="19"/>
      <c r="L1568" s="19"/>
      <c r="M1568" s="19"/>
      <c r="N1568" s="19"/>
      <c r="O1568" s="19"/>
      <c r="P1568" s="19"/>
      <c r="Q1568" s="19"/>
      <c r="R1568" s="19"/>
      <c r="S1568" s="19"/>
      <c r="T1568" s="19"/>
      <c r="U1568" s="19"/>
      <c r="V1568" s="19"/>
      <c r="W1568" s="19"/>
      <c r="X1568" s="19"/>
      <c r="Y1568" s="19"/>
      <c r="Z1568" s="19"/>
      <c r="AA1568" s="19"/>
      <c r="AB1568" s="19"/>
      <c r="AC1568" s="19"/>
    </row>
    <row r="1569" spans="2:29" x14ac:dyDescent="0.25">
      <c r="B1569" s="19"/>
      <c r="C1569" s="19"/>
      <c r="D1569" s="19"/>
      <c r="E1569" s="19"/>
      <c r="F1569" s="19"/>
      <c r="G1569" s="19"/>
      <c r="H1569" s="19"/>
      <c r="I1569" s="19"/>
      <c r="J1569" s="19"/>
      <c r="K1569" s="19"/>
      <c r="L1569" s="19"/>
      <c r="M1569" s="19"/>
      <c r="N1569" s="19"/>
      <c r="O1569" s="19"/>
      <c r="P1569" s="19"/>
      <c r="Q1569" s="19"/>
      <c r="R1569" s="19"/>
      <c r="S1569" s="19"/>
      <c r="T1569" s="19"/>
      <c r="U1569" s="19"/>
      <c r="V1569" s="19"/>
      <c r="W1569" s="19"/>
      <c r="X1569" s="19"/>
      <c r="Y1569" s="19"/>
      <c r="Z1569" s="19"/>
      <c r="AA1569" s="19"/>
      <c r="AB1569" s="19"/>
      <c r="AC1569" s="19"/>
    </row>
    <row r="1570" spans="2:29" x14ac:dyDescent="0.25">
      <c r="B1570" s="19"/>
      <c r="C1570" s="19"/>
      <c r="D1570" s="19"/>
      <c r="E1570" s="19"/>
      <c r="F1570" s="19"/>
      <c r="G1570" s="19"/>
      <c r="H1570" s="19"/>
      <c r="I1570" s="19"/>
      <c r="J1570" s="19"/>
      <c r="K1570" s="19"/>
      <c r="L1570" s="19"/>
      <c r="M1570" s="19"/>
      <c r="N1570" s="19"/>
      <c r="O1570" s="19"/>
      <c r="P1570" s="19"/>
      <c r="Q1570" s="19"/>
      <c r="R1570" s="19"/>
      <c r="S1570" s="19"/>
      <c r="T1570" s="19"/>
      <c r="U1570" s="19"/>
      <c r="V1570" s="19"/>
      <c r="W1570" s="19"/>
      <c r="X1570" s="19"/>
      <c r="Y1570" s="19"/>
      <c r="Z1570" s="19"/>
      <c r="AA1570" s="19"/>
      <c r="AB1570" s="19"/>
      <c r="AC1570" s="19"/>
    </row>
    <row r="1571" spans="2:29" x14ac:dyDescent="0.25">
      <c r="B1571" s="19"/>
      <c r="C1571" s="19"/>
      <c r="D1571" s="19"/>
      <c r="E1571" s="19"/>
      <c r="F1571" s="19"/>
      <c r="G1571" s="19"/>
      <c r="H1571" s="19"/>
      <c r="I1571" s="19"/>
      <c r="J1571" s="19"/>
      <c r="K1571" s="19"/>
      <c r="L1571" s="19"/>
      <c r="M1571" s="19"/>
      <c r="N1571" s="19"/>
      <c r="O1571" s="19"/>
      <c r="P1571" s="19"/>
      <c r="Q1571" s="19"/>
      <c r="R1571" s="19"/>
      <c r="S1571" s="19"/>
      <c r="T1571" s="19"/>
      <c r="U1571" s="19"/>
      <c r="V1571" s="19"/>
      <c r="W1571" s="19"/>
      <c r="X1571" s="19"/>
      <c r="Y1571" s="19"/>
      <c r="Z1571" s="19"/>
      <c r="AA1571" s="19"/>
      <c r="AB1571" s="19"/>
      <c r="AC1571" s="19"/>
    </row>
    <row r="1572" spans="2:29" x14ac:dyDescent="0.25">
      <c r="B1572" s="19"/>
      <c r="C1572" s="19"/>
      <c r="D1572" s="19"/>
      <c r="E1572" s="19"/>
      <c r="F1572" s="19"/>
      <c r="G1572" s="19"/>
      <c r="H1572" s="19"/>
      <c r="I1572" s="19"/>
      <c r="J1572" s="19"/>
      <c r="K1572" s="19"/>
      <c r="L1572" s="19"/>
      <c r="M1572" s="19"/>
      <c r="N1572" s="19"/>
      <c r="O1572" s="19"/>
      <c r="P1572" s="19"/>
      <c r="Q1572" s="19"/>
      <c r="R1572" s="19"/>
      <c r="S1572" s="19"/>
      <c r="T1572" s="19"/>
      <c r="U1572" s="19"/>
      <c r="V1572" s="19"/>
      <c r="W1572" s="19"/>
      <c r="X1572" s="19"/>
      <c r="Y1572" s="19"/>
      <c r="Z1572" s="19"/>
      <c r="AA1572" s="19"/>
      <c r="AB1572" s="19"/>
      <c r="AC1572" s="19"/>
    </row>
    <row r="1573" spans="2:29" x14ac:dyDescent="0.25">
      <c r="B1573" s="19"/>
      <c r="C1573" s="19"/>
      <c r="D1573" s="19"/>
      <c r="E1573" s="19"/>
      <c r="F1573" s="19"/>
      <c r="G1573" s="19"/>
      <c r="H1573" s="19"/>
      <c r="I1573" s="19"/>
      <c r="J1573" s="19"/>
      <c r="K1573" s="19"/>
      <c r="L1573" s="19"/>
      <c r="M1573" s="19"/>
      <c r="N1573" s="19"/>
      <c r="O1573" s="19"/>
      <c r="P1573" s="19"/>
      <c r="Q1573" s="19"/>
      <c r="R1573" s="19"/>
      <c r="S1573" s="19"/>
      <c r="T1573" s="19"/>
      <c r="U1573" s="19"/>
      <c r="V1573" s="19"/>
      <c r="W1573" s="19"/>
      <c r="X1573" s="19"/>
      <c r="Y1573" s="19"/>
      <c r="Z1573" s="19"/>
      <c r="AA1573" s="19"/>
      <c r="AB1573" s="19"/>
      <c r="AC1573" s="19"/>
    </row>
    <row r="1574" spans="2:29" x14ac:dyDescent="0.25">
      <c r="B1574" s="19"/>
      <c r="C1574" s="19"/>
      <c r="D1574" s="19"/>
      <c r="E1574" s="19"/>
      <c r="F1574" s="19"/>
      <c r="G1574" s="19"/>
      <c r="H1574" s="19"/>
      <c r="I1574" s="19"/>
      <c r="J1574" s="19"/>
      <c r="K1574" s="19"/>
      <c r="L1574" s="19"/>
      <c r="M1574" s="19"/>
      <c r="N1574" s="19"/>
      <c r="O1574" s="19"/>
      <c r="P1574" s="19"/>
      <c r="Q1574" s="19"/>
      <c r="R1574" s="19"/>
      <c r="S1574" s="19"/>
      <c r="T1574" s="19"/>
      <c r="U1574" s="19"/>
      <c r="V1574" s="19"/>
      <c r="W1574" s="19"/>
      <c r="X1574" s="19"/>
      <c r="Y1574" s="19"/>
      <c r="Z1574" s="19"/>
      <c r="AA1574" s="19"/>
      <c r="AB1574" s="19"/>
      <c r="AC1574" s="19"/>
    </row>
    <row r="1575" spans="2:29" x14ac:dyDescent="0.25">
      <c r="B1575" s="19"/>
      <c r="C1575" s="19"/>
      <c r="D1575" s="19"/>
      <c r="E1575" s="19"/>
      <c r="F1575" s="19"/>
      <c r="G1575" s="19"/>
      <c r="H1575" s="19"/>
      <c r="I1575" s="19"/>
      <c r="J1575" s="19"/>
      <c r="K1575" s="19"/>
      <c r="L1575" s="19"/>
      <c r="M1575" s="19"/>
      <c r="N1575" s="19"/>
      <c r="O1575" s="19"/>
      <c r="P1575" s="19"/>
      <c r="Q1575" s="19"/>
      <c r="R1575" s="19"/>
      <c r="S1575" s="19"/>
      <c r="T1575" s="19"/>
      <c r="U1575" s="19"/>
      <c r="V1575" s="19"/>
      <c r="W1575" s="19"/>
      <c r="X1575" s="19"/>
      <c r="Y1575" s="19"/>
      <c r="Z1575" s="19"/>
      <c r="AA1575" s="19"/>
      <c r="AB1575" s="19"/>
      <c r="AC1575" s="19"/>
    </row>
    <row r="1576" spans="2:29" x14ac:dyDescent="0.25">
      <c r="B1576" s="19"/>
      <c r="C1576" s="19"/>
      <c r="D1576" s="19"/>
      <c r="E1576" s="19"/>
      <c r="F1576" s="19"/>
      <c r="G1576" s="19"/>
      <c r="H1576" s="19"/>
      <c r="I1576" s="19"/>
      <c r="J1576" s="19"/>
      <c r="K1576" s="19"/>
      <c r="L1576" s="19"/>
      <c r="M1576" s="19"/>
      <c r="N1576" s="19"/>
      <c r="O1576" s="19"/>
      <c r="P1576" s="19"/>
      <c r="Q1576" s="19"/>
      <c r="R1576" s="19"/>
      <c r="S1576" s="19"/>
      <c r="T1576" s="19"/>
      <c r="U1576" s="19"/>
      <c r="V1576" s="19"/>
      <c r="W1576" s="19"/>
      <c r="X1576" s="19"/>
      <c r="Y1576" s="19"/>
      <c r="Z1576" s="19"/>
      <c r="AA1576" s="19"/>
      <c r="AB1576" s="19"/>
      <c r="AC1576" s="19"/>
    </row>
    <row r="1577" spans="2:29" x14ac:dyDescent="0.25">
      <c r="B1577" s="19"/>
      <c r="C1577" s="19"/>
      <c r="D1577" s="19"/>
      <c r="E1577" s="19"/>
      <c r="F1577" s="19"/>
      <c r="G1577" s="19"/>
      <c r="H1577" s="19"/>
      <c r="I1577" s="19"/>
      <c r="J1577" s="19"/>
      <c r="K1577" s="19"/>
      <c r="L1577" s="19"/>
      <c r="M1577" s="19"/>
      <c r="N1577" s="19"/>
      <c r="O1577" s="19"/>
      <c r="P1577" s="19"/>
      <c r="Q1577" s="19"/>
      <c r="R1577" s="19"/>
      <c r="S1577" s="19"/>
      <c r="T1577" s="19"/>
      <c r="U1577" s="19"/>
      <c r="V1577" s="19"/>
      <c r="W1577" s="19"/>
      <c r="X1577" s="19"/>
      <c r="Y1577" s="19"/>
      <c r="Z1577" s="19"/>
      <c r="AA1577" s="19"/>
      <c r="AB1577" s="19"/>
      <c r="AC1577" s="19"/>
    </row>
    <row r="1578" spans="2:29" x14ac:dyDescent="0.25">
      <c r="B1578" s="19"/>
      <c r="C1578" s="19"/>
      <c r="D1578" s="19"/>
      <c r="E1578" s="19"/>
      <c r="F1578" s="19"/>
      <c r="G1578" s="19"/>
      <c r="H1578" s="19"/>
      <c r="I1578" s="19"/>
      <c r="J1578" s="19"/>
      <c r="K1578" s="19"/>
      <c r="L1578" s="19"/>
      <c r="M1578" s="19"/>
      <c r="N1578" s="19"/>
      <c r="O1578" s="19"/>
      <c r="P1578" s="19"/>
      <c r="Q1578" s="19"/>
      <c r="R1578" s="19"/>
      <c r="S1578" s="19"/>
      <c r="T1578" s="19"/>
      <c r="U1578" s="19"/>
      <c r="V1578" s="19"/>
      <c r="W1578" s="19"/>
      <c r="X1578" s="19"/>
      <c r="Y1578" s="19"/>
      <c r="Z1578" s="19"/>
      <c r="AA1578" s="19"/>
      <c r="AB1578" s="19"/>
      <c r="AC1578" s="19"/>
    </row>
    <row r="1579" spans="2:29" x14ac:dyDescent="0.25">
      <c r="B1579" s="19"/>
      <c r="C1579" s="19"/>
      <c r="D1579" s="19"/>
      <c r="E1579" s="19"/>
      <c r="F1579" s="19"/>
      <c r="G1579" s="19"/>
      <c r="H1579" s="19"/>
      <c r="I1579" s="19"/>
      <c r="J1579" s="19"/>
      <c r="K1579" s="19"/>
      <c r="L1579" s="19"/>
      <c r="M1579" s="19"/>
      <c r="N1579" s="19"/>
      <c r="O1579" s="19"/>
      <c r="P1579" s="19"/>
      <c r="Q1579" s="19"/>
      <c r="R1579" s="19"/>
      <c r="S1579" s="19"/>
      <c r="T1579" s="19"/>
      <c r="U1579" s="19"/>
      <c r="V1579" s="19"/>
      <c r="W1579" s="19"/>
      <c r="X1579" s="19"/>
      <c r="Y1579" s="19"/>
      <c r="Z1579" s="19"/>
      <c r="AA1579" s="19"/>
      <c r="AB1579" s="19"/>
      <c r="AC1579" s="19"/>
    </row>
    <row r="1580" spans="2:29" x14ac:dyDescent="0.25">
      <c r="B1580" s="19"/>
      <c r="C1580" s="19"/>
      <c r="D1580" s="19"/>
      <c r="E1580" s="19"/>
      <c r="F1580" s="19"/>
      <c r="G1580" s="19"/>
      <c r="H1580" s="19"/>
      <c r="I1580" s="19"/>
      <c r="J1580" s="19"/>
      <c r="K1580" s="19"/>
      <c r="L1580" s="19"/>
      <c r="M1580" s="19"/>
      <c r="N1580" s="19"/>
      <c r="O1580" s="19"/>
      <c r="P1580" s="19"/>
      <c r="Q1580" s="19"/>
      <c r="R1580" s="19"/>
      <c r="S1580" s="19"/>
      <c r="T1580" s="19"/>
      <c r="U1580" s="19"/>
      <c r="V1580" s="19"/>
      <c r="W1580" s="19"/>
      <c r="X1580" s="19"/>
      <c r="Y1580" s="19"/>
      <c r="Z1580" s="19"/>
      <c r="AA1580" s="19"/>
      <c r="AB1580" s="19"/>
      <c r="AC1580" s="19"/>
    </row>
    <row r="1581" spans="2:29" x14ac:dyDescent="0.25">
      <c r="B1581" s="19"/>
      <c r="C1581" s="19"/>
      <c r="D1581" s="19"/>
      <c r="E1581" s="19"/>
      <c r="F1581" s="19"/>
      <c r="G1581" s="19"/>
      <c r="H1581" s="19"/>
      <c r="I1581" s="19"/>
      <c r="J1581" s="19"/>
      <c r="K1581" s="19"/>
      <c r="L1581" s="19"/>
      <c r="M1581" s="19"/>
      <c r="N1581" s="19"/>
      <c r="O1581" s="19"/>
      <c r="P1581" s="19"/>
      <c r="Q1581" s="19"/>
      <c r="R1581" s="19"/>
      <c r="S1581" s="19"/>
      <c r="T1581" s="19"/>
      <c r="U1581" s="19"/>
      <c r="V1581" s="19"/>
      <c r="W1581" s="19"/>
      <c r="X1581" s="19"/>
      <c r="Y1581" s="19"/>
      <c r="Z1581" s="19"/>
      <c r="AA1581" s="19"/>
      <c r="AB1581" s="19"/>
      <c r="AC1581" s="19"/>
    </row>
    <row r="1582" spans="2:29" x14ac:dyDescent="0.25">
      <c r="B1582" s="19"/>
      <c r="C1582" s="19"/>
      <c r="D1582" s="19"/>
      <c r="E1582" s="19"/>
      <c r="F1582" s="19"/>
      <c r="G1582" s="19"/>
      <c r="H1582" s="19"/>
      <c r="I1582" s="19"/>
      <c r="J1582" s="19"/>
      <c r="K1582" s="19"/>
      <c r="L1582" s="19"/>
      <c r="M1582" s="19"/>
      <c r="N1582" s="19"/>
      <c r="O1582" s="19"/>
      <c r="P1582" s="19"/>
      <c r="Q1582" s="19"/>
      <c r="R1582" s="19"/>
      <c r="S1582" s="19"/>
      <c r="T1582" s="19"/>
      <c r="U1582" s="19"/>
      <c r="V1582" s="19"/>
      <c r="W1582" s="19"/>
      <c r="X1582" s="19"/>
      <c r="Y1582" s="19"/>
      <c r="Z1582" s="19"/>
      <c r="AA1582" s="19"/>
      <c r="AB1582" s="19"/>
      <c r="AC1582" s="19"/>
    </row>
    <row r="1583" spans="2:29" x14ac:dyDescent="0.25">
      <c r="B1583" s="19"/>
      <c r="C1583" s="19"/>
      <c r="D1583" s="19"/>
      <c r="E1583" s="19"/>
      <c r="F1583" s="19"/>
      <c r="G1583" s="19"/>
      <c r="H1583" s="19"/>
      <c r="I1583" s="19"/>
      <c r="J1583" s="19"/>
      <c r="K1583" s="19"/>
      <c r="L1583" s="19"/>
      <c r="M1583" s="19"/>
      <c r="N1583" s="19"/>
      <c r="O1583" s="19"/>
      <c r="P1583" s="19"/>
      <c r="Q1583" s="19"/>
      <c r="R1583" s="19"/>
      <c r="S1583" s="19"/>
      <c r="T1583" s="19"/>
      <c r="U1583" s="19"/>
      <c r="V1583" s="19"/>
      <c r="W1583" s="19"/>
      <c r="X1583" s="19"/>
      <c r="Y1583" s="19"/>
      <c r="Z1583" s="19"/>
      <c r="AA1583" s="19"/>
      <c r="AB1583" s="19"/>
      <c r="AC1583" s="19"/>
    </row>
    <row r="1584" spans="2:29" x14ac:dyDescent="0.25">
      <c r="B1584" s="19"/>
      <c r="C1584" s="19"/>
      <c r="D1584" s="19"/>
      <c r="E1584" s="19"/>
      <c r="F1584" s="19"/>
      <c r="G1584" s="19"/>
      <c r="H1584" s="19"/>
      <c r="I1584" s="19"/>
      <c r="J1584" s="19"/>
      <c r="K1584" s="19"/>
      <c r="L1584" s="19"/>
      <c r="M1584" s="19"/>
      <c r="N1584" s="19"/>
      <c r="O1584" s="19"/>
      <c r="P1584" s="19"/>
      <c r="Q1584" s="19"/>
      <c r="R1584" s="19"/>
      <c r="S1584" s="19"/>
      <c r="T1584" s="19"/>
      <c r="U1584" s="19"/>
      <c r="V1584" s="19"/>
      <c r="W1584" s="19"/>
      <c r="X1584" s="19"/>
      <c r="Y1584" s="19"/>
      <c r="Z1584" s="19"/>
      <c r="AA1584" s="19"/>
      <c r="AB1584" s="19"/>
      <c r="AC1584" s="19"/>
    </row>
    <row r="1585" spans="2:29" x14ac:dyDescent="0.25">
      <c r="B1585" s="19"/>
      <c r="C1585" s="19"/>
      <c r="D1585" s="19"/>
      <c r="E1585" s="19"/>
      <c r="F1585" s="19"/>
      <c r="G1585" s="19"/>
      <c r="H1585" s="19"/>
      <c r="I1585" s="19"/>
      <c r="J1585" s="19"/>
      <c r="K1585" s="19"/>
      <c r="L1585" s="19"/>
      <c r="M1585" s="19"/>
      <c r="N1585" s="19"/>
      <c r="O1585" s="19"/>
      <c r="P1585" s="19"/>
      <c r="Q1585" s="19"/>
      <c r="R1585" s="19"/>
      <c r="S1585" s="19"/>
      <c r="T1585" s="19"/>
      <c r="U1585" s="19"/>
      <c r="V1585" s="19"/>
      <c r="W1585" s="19"/>
      <c r="X1585" s="19"/>
      <c r="Y1585" s="19"/>
      <c r="Z1585" s="19"/>
      <c r="AA1585" s="19"/>
      <c r="AB1585" s="19"/>
      <c r="AC1585" s="19"/>
    </row>
    <row r="1586" spans="2:29" x14ac:dyDescent="0.25">
      <c r="B1586" s="19"/>
      <c r="C1586" s="19"/>
      <c r="D1586" s="19"/>
      <c r="E1586" s="19"/>
      <c r="F1586" s="19"/>
      <c r="G1586" s="19"/>
      <c r="H1586" s="19"/>
      <c r="I1586" s="19"/>
      <c r="J1586" s="19"/>
      <c r="K1586" s="19"/>
      <c r="L1586" s="19"/>
      <c r="M1586" s="19"/>
      <c r="N1586" s="19"/>
      <c r="O1586" s="19"/>
      <c r="P1586" s="19"/>
      <c r="Q1586" s="19"/>
      <c r="R1586" s="19"/>
      <c r="S1586" s="19"/>
      <c r="T1586" s="19"/>
      <c r="U1586" s="19"/>
      <c r="V1586" s="19"/>
      <c r="W1586" s="19"/>
      <c r="X1586" s="19"/>
      <c r="Y1586" s="19"/>
      <c r="Z1586" s="19"/>
      <c r="AA1586" s="19"/>
      <c r="AB1586" s="19"/>
      <c r="AC1586" s="19"/>
    </row>
    <row r="1587" spans="2:29" x14ac:dyDescent="0.25">
      <c r="B1587" s="19"/>
      <c r="C1587" s="19"/>
      <c r="D1587" s="19"/>
      <c r="E1587" s="19"/>
      <c r="F1587" s="19"/>
      <c r="G1587" s="19"/>
      <c r="H1587" s="19"/>
      <c r="I1587" s="19"/>
      <c r="J1587" s="19"/>
      <c r="K1587" s="19"/>
      <c r="L1587" s="19"/>
      <c r="M1587" s="19"/>
      <c r="N1587" s="19"/>
      <c r="O1587" s="19"/>
      <c r="P1587" s="19"/>
      <c r="Q1587" s="19"/>
      <c r="R1587" s="19"/>
      <c r="S1587" s="19"/>
      <c r="T1587" s="19"/>
      <c r="U1587" s="19"/>
      <c r="V1587" s="19"/>
      <c r="W1587" s="19"/>
      <c r="X1587" s="19"/>
      <c r="Y1587" s="19"/>
      <c r="Z1587" s="19"/>
      <c r="AA1587" s="19"/>
      <c r="AB1587" s="19"/>
      <c r="AC1587" s="19"/>
    </row>
    <row r="1588" spans="2:29" x14ac:dyDescent="0.25">
      <c r="B1588" s="19"/>
      <c r="C1588" s="19"/>
      <c r="D1588" s="19"/>
      <c r="E1588" s="19"/>
      <c r="F1588" s="19"/>
      <c r="G1588" s="19"/>
      <c r="H1588" s="19"/>
      <c r="I1588" s="19"/>
      <c r="J1588" s="19"/>
      <c r="K1588" s="19"/>
      <c r="L1588" s="19"/>
      <c r="M1588" s="19"/>
      <c r="N1588" s="19"/>
      <c r="O1588" s="19"/>
      <c r="P1588" s="19"/>
      <c r="Q1588" s="19"/>
      <c r="R1588" s="19"/>
      <c r="S1588" s="19"/>
      <c r="T1588" s="19"/>
      <c r="U1588" s="19"/>
      <c r="V1588" s="19"/>
      <c r="W1588" s="19"/>
      <c r="X1588" s="19"/>
      <c r="Y1588" s="19"/>
      <c r="Z1588" s="19"/>
      <c r="AA1588" s="19"/>
      <c r="AB1588" s="19"/>
      <c r="AC1588" s="19"/>
    </row>
    <row r="1589" spans="2:29" x14ac:dyDescent="0.25">
      <c r="B1589" s="19"/>
      <c r="C1589" s="19"/>
      <c r="D1589" s="19"/>
      <c r="E1589" s="19"/>
      <c r="F1589" s="19"/>
      <c r="G1589" s="19"/>
      <c r="H1589" s="19"/>
      <c r="I1589" s="19"/>
      <c r="J1589" s="19"/>
      <c r="K1589" s="19"/>
      <c r="L1589" s="19"/>
      <c r="M1589" s="19"/>
      <c r="N1589" s="19"/>
      <c r="O1589" s="19"/>
      <c r="P1589" s="19"/>
      <c r="Q1589" s="19"/>
      <c r="R1589" s="19"/>
      <c r="S1589" s="19"/>
      <c r="T1589" s="19"/>
      <c r="U1589" s="19"/>
      <c r="V1589" s="19"/>
      <c r="W1589" s="19"/>
      <c r="X1589" s="19"/>
      <c r="Y1589" s="19"/>
      <c r="Z1589" s="19"/>
      <c r="AA1589" s="19"/>
      <c r="AB1589" s="19"/>
      <c r="AC1589" s="19"/>
    </row>
    <row r="1590" spans="2:29" x14ac:dyDescent="0.25">
      <c r="B1590" s="19"/>
      <c r="C1590" s="19"/>
      <c r="D1590" s="19"/>
      <c r="E1590" s="19"/>
      <c r="F1590" s="19"/>
      <c r="G1590" s="19"/>
      <c r="H1590" s="19"/>
      <c r="I1590" s="19"/>
      <c r="J1590" s="19"/>
      <c r="K1590" s="19"/>
      <c r="L1590" s="19"/>
      <c r="M1590" s="19"/>
      <c r="N1590" s="19"/>
      <c r="O1590" s="19"/>
      <c r="P1590" s="19"/>
      <c r="Q1590" s="19"/>
      <c r="R1590" s="19"/>
      <c r="S1590" s="19"/>
      <c r="T1590" s="19"/>
      <c r="U1590" s="19"/>
      <c r="V1590" s="19"/>
      <c r="W1590" s="19"/>
      <c r="X1590" s="19"/>
      <c r="Y1590" s="19"/>
      <c r="Z1590" s="19"/>
      <c r="AA1590" s="19"/>
      <c r="AB1590" s="19"/>
      <c r="AC1590" s="19"/>
    </row>
    <row r="1591" spans="2:29" x14ac:dyDescent="0.25">
      <c r="B1591" s="19"/>
      <c r="C1591" s="19"/>
      <c r="D1591" s="19"/>
      <c r="E1591" s="19"/>
      <c r="F1591" s="19"/>
      <c r="G1591" s="19"/>
      <c r="H1591" s="19"/>
      <c r="I1591" s="19"/>
      <c r="J1591" s="19"/>
      <c r="K1591" s="19"/>
      <c r="L1591" s="19"/>
      <c r="M1591" s="19"/>
      <c r="N1591" s="19"/>
      <c r="O1591" s="19"/>
      <c r="P1591" s="19"/>
      <c r="Q1591" s="19"/>
      <c r="R1591" s="19"/>
      <c r="S1591" s="19"/>
      <c r="T1591" s="19"/>
      <c r="U1591" s="19"/>
      <c r="V1591" s="19"/>
      <c r="W1591" s="19"/>
      <c r="X1591" s="19"/>
      <c r="Y1591" s="19"/>
      <c r="Z1591" s="19"/>
      <c r="AA1591" s="19"/>
      <c r="AB1591" s="19"/>
      <c r="AC1591" s="19"/>
    </row>
    <row r="1592" spans="2:29" x14ac:dyDescent="0.25">
      <c r="B1592" s="19"/>
      <c r="C1592" s="19"/>
      <c r="D1592" s="19"/>
      <c r="E1592" s="19"/>
      <c r="F1592" s="19"/>
      <c r="G1592" s="19"/>
      <c r="H1592" s="19"/>
      <c r="I1592" s="19"/>
      <c r="J1592" s="19"/>
      <c r="K1592" s="19"/>
      <c r="L1592" s="19"/>
      <c r="M1592" s="19"/>
      <c r="N1592" s="19"/>
      <c r="O1592" s="19"/>
      <c r="P1592" s="19"/>
      <c r="Q1592" s="19"/>
      <c r="R1592" s="19"/>
      <c r="S1592" s="19"/>
      <c r="T1592" s="19"/>
      <c r="U1592" s="19"/>
      <c r="V1592" s="19"/>
      <c r="W1592" s="19"/>
      <c r="X1592" s="19"/>
      <c r="Y1592" s="19"/>
      <c r="Z1592" s="19"/>
      <c r="AA1592" s="19"/>
      <c r="AB1592" s="19"/>
      <c r="AC1592" s="19"/>
    </row>
    <row r="1593" spans="2:29" x14ac:dyDescent="0.25">
      <c r="B1593" s="19"/>
      <c r="C1593" s="19"/>
      <c r="D1593" s="19"/>
      <c r="E1593" s="19"/>
      <c r="F1593" s="19"/>
      <c r="G1593" s="19"/>
      <c r="H1593" s="19"/>
      <c r="I1593" s="19"/>
      <c r="J1593" s="19"/>
      <c r="K1593" s="19"/>
      <c r="L1593" s="19"/>
      <c r="M1593" s="19"/>
      <c r="N1593" s="19"/>
      <c r="O1593" s="19"/>
      <c r="P1593" s="19"/>
      <c r="Q1593" s="19"/>
      <c r="R1593" s="19"/>
      <c r="S1593" s="19"/>
      <c r="T1593" s="19"/>
      <c r="U1593" s="19"/>
      <c r="V1593" s="19"/>
      <c r="W1593" s="19"/>
      <c r="X1593" s="19"/>
      <c r="Y1593" s="19"/>
      <c r="Z1593" s="19"/>
      <c r="AA1593" s="19"/>
      <c r="AB1593" s="19"/>
      <c r="AC1593" s="19"/>
    </row>
    <row r="1594" spans="2:29" x14ac:dyDescent="0.25">
      <c r="B1594" s="19"/>
      <c r="C1594" s="19"/>
      <c r="D1594" s="19"/>
      <c r="E1594" s="19"/>
      <c r="F1594" s="19"/>
      <c r="G1594" s="19"/>
      <c r="H1594" s="19"/>
      <c r="I1594" s="19"/>
      <c r="J1594" s="19"/>
      <c r="K1594" s="19"/>
      <c r="L1594" s="19"/>
      <c r="M1594" s="19"/>
      <c r="N1594" s="19"/>
      <c r="O1594" s="19"/>
      <c r="P1594" s="19"/>
      <c r="Q1594" s="19"/>
      <c r="R1594" s="19"/>
      <c r="S1594" s="19"/>
      <c r="T1594" s="19"/>
      <c r="U1594" s="19"/>
      <c r="V1594" s="19"/>
      <c r="W1594" s="19"/>
      <c r="X1594" s="19"/>
      <c r="Y1594" s="19"/>
      <c r="Z1594" s="19"/>
      <c r="AA1594" s="19"/>
      <c r="AB1594" s="19"/>
      <c r="AC1594" s="19"/>
    </row>
    <row r="1595" spans="2:29" x14ac:dyDescent="0.25">
      <c r="B1595" s="19"/>
      <c r="C1595" s="19"/>
      <c r="D1595" s="19"/>
      <c r="E1595" s="19"/>
      <c r="F1595" s="19"/>
      <c r="G1595" s="19"/>
      <c r="H1595" s="19"/>
      <c r="I1595" s="19"/>
      <c r="J1595" s="19"/>
      <c r="K1595" s="19"/>
      <c r="L1595" s="19"/>
      <c r="M1595" s="19"/>
      <c r="N1595" s="19"/>
      <c r="O1595" s="19"/>
      <c r="P1595" s="19"/>
      <c r="Q1595" s="19"/>
      <c r="R1595" s="19"/>
      <c r="S1595" s="19"/>
      <c r="T1595" s="19"/>
      <c r="U1595" s="19"/>
      <c r="V1595" s="19"/>
      <c r="W1595" s="19"/>
      <c r="X1595" s="19"/>
      <c r="Y1595" s="19"/>
      <c r="Z1595" s="19"/>
      <c r="AA1595" s="19"/>
      <c r="AB1595" s="19"/>
      <c r="AC1595" s="19"/>
    </row>
    <row r="1596" spans="2:29" x14ac:dyDescent="0.25">
      <c r="B1596" s="19"/>
      <c r="C1596" s="19"/>
      <c r="D1596" s="19"/>
      <c r="E1596" s="19"/>
      <c r="F1596" s="19"/>
      <c r="G1596" s="19"/>
      <c r="H1596" s="19"/>
      <c r="I1596" s="19"/>
      <c r="J1596" s="19"/>
      <c r="K1596" s="19"/>
      <c r="L1596" s="19"/>
      <c r="M1596" s="19"/>
      <c r="N1596" s="19"/>
      <c r="O1596" s="19"/>
      <c r="P1596" s="19"/>
      <c r="Q1596" s="19"/>
      <c r="R1596" s="19"/>
      <c r="S1596" s="19"/>
      <c r="T1596" s="19"/>
      <c r="U1596" s="19"/>
      <c r="V1596" s="19"/>
      <c r="W1596" s="19"/>
      <c r="X1596" s="19"/>
      <c r="Y1596" s="19"/>
      <c r="Z1596" s="19"/>
      <c r="AA1596" s="19"/>
      <c r="AB1596" s="19"/>
      <c r="AC1596" s="19"/>
    </row>
    <row r="1597" spans="2:29" x14ac:dyDescent="0.25">
      <c r="B1597" s="19"/>
      <c r="C1597" s="19"/>
      <c r="D1597" s="19"/>
      <c r="E1597" s="19"/>
      <c r="F1597" s="19"/>
      <c r="G1597" s="19"/>
      <c r="H1597" s="19"/>
      <c r="I1597" s="19"/>
      <c r="J1597" s="19"/>
      <c r="K1597" s="19"/>
      <c r="L1597" s="19"/>
      <c r="M1597" s="19"/>
      <c r="N1597" s="19"/>
      <c r="O1597" s="19"/>
      <c r="P1597" s="19"/>
      <c r="Q1597" s="19"/>
      <c r="R1597" s="19"/>
      <c r="S1597" s="19"/>
      <c r="T1597" s="19"/>
      <c r="U1597" s="19"/>
      <c r="V1597" s="19"/>
      <c r="W1597" s="19"/>
      <c r="X1597" s="19"/>
      <c r="Y1597" s="19"/>
      <c r="Z1597" s="19"/>
      <c r="AA1597" s="19"/>
      <c r="AB1597" s="19"/>
      <c r="AC1597" s="19"/>
    </row>
    <row r="1598" spans="2:29" x14ac:dyDescent="0.25">
      <c r="B1598" s="19"/>
      <c r="C1598" s="19"/>
      <c r="D1598" s="19"/>
      <c r="E1598" s="19"/>
      <c r="F1598" s="19"/>
      <c r="G1598" s="19"/>
      <c r="H1598" s="19"/>
      <c r="I1598" s="19"/>
      <c r="J1598" s="19"/>
      <c r="K1598" s="19"/>
      <c r="L1598" s="19"/>
      <c r="M1598" s="19"/>
      <c r="N1598" s="19"/>
      <c r="O1598" s="19"/>
      <c r="P1598" s="19"/>
      <c r="Q1598" s="19"/>
      <c r="R1598" s="19"/>
      <c r="S1598" s="19"/>
      <c r="T1598" s="19"/>
      <c r="U1598" s="19"/>
      <c r="V1598" s="19"/>
      <c r="W1598" s="19"/>
      <c r="X1598" s="19"/>
      <c r="Y1598" s="19"/>
      <c r="Z1598" s="19"/>
      <c r="AA1598" s="19"/>
      <c r="AB1598" s="19"/>
      <c r="AC1598" s="19"/>
    </row>
    <row r="1599" spans="2:29" x14ac:dyDescent="0.25">
      <c r="B1599" s="19"/>
      <c r="C1599" s="19"/>
      <c r="D1599" s="19"/>
      <c r="E1599" s="19"/>
      <c r="F1599" s="19"/>
      <c r="G1599" s="19"/>
      <c r="H1599" s="19"/>
      <c r="I1599" s="19"/>
      <c r="J1599" s="19"/>
      <c r="K1599" s="19"/>
      <c r="L1599" s="19"/>
      <c r="M1599" s="19"/>
      <c r="N1599" s="19"/>
      <c r="O1599" s="19"/>
      <c r="P1599" s="19"/>
      <c r="Q1599" s="19"/>
      <c r="R1599" s="19"/>
      <c r="S1599" s="19"/>
      <c r="T1599" s="19"/>
      <c r="U1599" s="19"/>
      <c r="V1599" s="19"/>
      <c r="W1599" s="19"/>
      <c r="X1599" s="19"/>
      <c r="Y1599" s="19"/>
      <c r="Z1599" s="19"/>
      <c r="AA1599" s="19"/>
      <c r="AB1599" s="19"/>
      <c r="AC1599" s="19"/>
    </row>
    <row r="1600" spans="2:29" x14ac:dyDescent="0.25">
      <c r="B1600" s="19"/>
      <c r="C1600" s="19"/>
      <c r="D1600" s="19"/>
      <c r="E1600" s="19"/>
      <c r="F1600" s="19"/>
      <c r="G1600" s="19"/>
      <c r="H1600" s="19"/>
      <c r="I1600" s="19"/>
      <c r="J1600" s="19"/>
      <c r="K1600" s="19"/>
      <c r="L1600" s="19"/>
      <c r="M1600" s="19"/>
      <c r="N1600" s="19"/>
      <c r="O1600" s="19"/>
      <c r="P1600" s="19"/>
      <c r="Q1600" s="19"/>
      <c r="R1600" s="19"/>
      <c r="S1600" s="19"/>
      <c r="T1600" s="19"/>
      <c r="U1600" s="19"/>
      <c r="V1600" s="19"/>
      <c r="W1600" s="19"/>
      <c r="X1600" s="19"/>
      <c r="Y1600" s="19"/>
      <c r="Z1600" s="19"/>
      <c r="AA1600" s="19"/>
      <c r="AB1600" s="19"/>
      <c r="AC1600" s="19"/>
    </row>
    <row r="1601" spans="2:29" x14ac:dyDescent="0.25">
      <c r="B1601" s="19"/>
      <c r="C1601" s="19"/>
      <c r="D1601" s="19"/>
      <c r="E1601" s="19"/>
      <c r="F1601" s="19"/>
      <c r="G1601" s="19"/>
      <c r="H1601" s="19"/>
      <c r="I1601" s="19"/>
      <c r="J1601" s="19"/>
      <c r="K1601" s="19"/>
      <c r="L1601" s="19"/>
      <c r="M1601" s="19"/>
      <c r="N1601" s="19"/>
      <c r="O1601" s="19"/>
      <c r="P1601" s="19"/>
      <c r="Q1601" s="19"/>
      <c r="R1601" s="19"/>
      <c r="S1601" s="19"/>
      <c r="T1601" s="19"/>
      <c r="U1601" s="19"/>
      <c r="V1601" s="19"/>
      <c r="W1601" s="19"/>
      <c r="X1601" s="19"/>
      <c r="Y1601" s="19"/>
      <c r="Z1601" s="19"/>
      <c r="AA1601" s="19"/>
      <c r="AB1601" s="19"/>
      <c r="AC1601" s="19"/>
    </row>
    <row r="1602" spans="2:29" x14ac:dyDescent="0.25">
      <c r="B1602" s="19"/>
      <c r="C1602" s="19"/>
      <c r="D1602" s="19"/>
      <c r="E1602" s="19"/>
      <c r="F1602" s="19"/>
      <c r="G1602" s="19"/>
      <c r="H1602" s="19"/>
      <c r="I1602" s="19"/>
      <c r="J1602" s="19"/>
      <c r="K1602" s="19"/>
      <c r="L1602" s="19"/>
      <c r="M1602" s="19"/>
      <c r="N1602" s="19"/>
      <c r="O1602" s="19"/>
      <c r="P1602" s="19"/>
      <c r="Q1602" s="19"/>
      <c r="R1602" s="19"/>
      <c r="S1602" s="19"/>
      <c r="T1602" s="19"/>
      <c r="U1602" s="19"/>
      <c r="V1602" s="19"/>
      <c r="W1602" s="19"/>
      <c r="X1602" s="19"/>
      <c r="Y1602" s="19"/>
      <c r="Z1602" s="19"/>
      <c r="AA1602" s="19"/>
      <c r="AB1602" s="19"/>
      <c r="AC1602" s="19"/>
    </row>
    <row r="1603" spans="2:29" x14ac:dyDescent="0.25">
      <c r="B1603" s="19"/>
      <c r="C1603" s="19"/>
      <c r="D1603" s="19"/>
      <c r="E1603" s="19"/>
      <c r="F1603" s="19"/>
      <c r="G1603" s="19"/>
      <c r="H1603" s="19"/>
      <c r="I1603" s="19"/>
      <c r="J1603" s="19"/>
      <c r="K1603" s="19"/>
      <c r="L1603" s="19"/>
      <c r="M1603" s="19"/>
      <c r="N1603" s="19"/>
      <c r="O1603" s="19"/>
      <c r="P1603" s="19"/>
      <c r="Q1603" s="19"/>
      <c r="R1603" s="19"/>
      <c r="S1603" s="19"/>
      <c r="T1603" s="19"/>
      <c r="U1603" s="19"/>
      <c r="V1603" s="19"/>
      <c r="W1603" s="19"/>
      <c r="X1603" s="19"/>
      <c r="Y1603" s="19"/>
      <c r="Z1603" s="19"/>
      <c r="AA1603" s="19"/>
      <c r="AB1603" s="19"/>
      <c r="AC1603" s="19"/>
    </row>
    <row r="1604" spans="2:29" x14ac:dyDescent="0.25">
      <c r="B1604" s="19"/>
      <c r="C1604" s="19"/>
      <c r="D1604" s="19"/>
      <c r="E1604" s="19"/>
      <c r="F1604" s="19"/>
      <c r="G1604" s="19"/>
      <c r="H1604" s="19"/>
      <c r="I1604" s="19"/>
      <c r="J1604" s="19"/>
      <c r="K1604" s="19"/>
      <c r="L1604" s="19"/>
      <c r="M1604" s="19"/>
      <c r="N1604" s="19"/>
      <c r="O1604" s="19"/>
      <c r="P1604" s="19"/>
      <c r="Q1604" s="19"/>
      <c r="R1604" s="19"/>
      <c r="S1604" s="19"/>
      <c r="T1604" s="19"/>
      <c r="U1604" s="19"/>
      <c r="V1604" s="19"/>
      <c r="W1604" s="19"/>
      <c r="X1604" s="19"/>
      <c r="Y1604" s="19"/>
      <c r="Z1604" s="19"/>
      <c r="AA1604" s="19"/>
      <c r="AB1604" s="19"/>
      <c r="AC1604" s="19"/>
    </row>
    <row r="1605" spans="2:29" x14ac:dyDescent="0.25">
      <c r="B1605" s="19"/>
      <c r="C1605" s="19"/>
      <c r="D1605" s="19"/>
      <c r="E1605" s="19"/>
      <c r="F1605" s="19"/>
      <c r="G1605" s="19"/>
      <c r="H1605" s="19"/>
      <c r="I1605" s="19"/>
      <c r="J1605" s="19"/>
      <c r="K1605" s="19"/>
      <c r="L1605" s="19"/>
      <c r="M1605" s="19"/>
      <c r="N1605" s="19"/>
      <c r="O1605" s="19"/>
      <c r="P1605" s="19"/>
      <c r="Q1605" s="19"/>
      <c r="R1605" s="19"/>
      <c r="S1605" s="19"/>
      <c r="T1605" s="19"/>
      <c r="U1605" s="19"/>
      <c r="V1605" s="19"/>
      <c r="W1605" s="19"/>
      <c r="X1605" s="19"/>
      <c r="Y1605" s="19"/>
      <c r="Z1605" s="19"/>
      <c r="AA1605" s="19"/>
      <c r="AB1605" s="19"/>
      <c r="AC1605" s="19"/>
    </row>
    <row r="1606" spans="2:29" x14ac:dyDescent="0.25">
      <c r="B1606" s="19"/>
      <c r="C1606" s="19"/>
      <c r="D1606" s="19"/>
      <c r="E1606" s="19"/>
      <c r="F1606" s="19"/>
      <c r="G1606" s="19"/>
      <c r="H1606" s="19"/>
      <c r="I1606" s="19"/>
      <c r="J1606" s="19"/>
      <c r="K1606" s="19"/>
      <c r="L1606" s="19"/>
      <c r="M1606" s="19"/>
      <c r="N1606" s="19"/>
      <c r="O1606" s="19"/>
      <c r="P1606" s="19"/>
      <c r="Q1606" s="19"/>
      <c r="R1606" s="19"/>
      <c r="S1606" s="19"/>
      <c r="T1606" s="19"/>
      <c r="U1606" s="19"/>
      <c r="V1606" s="19"/>
      <c r="W1606" s="19"/>
      <c r="X1606" s="19"/>
      <c r="Y1606" s="19"/>
      <c r="Z1606" s="19"/>
      <c r="AA1606" s="19"/>
      <c r="AB1606" s="19"/>
      <c r="AC1606" s="19"/>
    </row>
    <row r="1607" spans="2:29" x14ac:dyDescent="0.25">
      <c r="B1607" s="19"/>
      <c r="C1607" s="19"/>
      <c r="D1607" s="19"/>
      <c r="E1607" s="19"/>
      <c r="F1607" s="19"/>
      <c r="G1607" s="19"/>
      <c r="H1607" s="19"/>
      <c r="I1607" s="19"/>
      <c r="J1607" s="19"/>
      <c r="K1607" s="19"/>
      <c r="L1607" s="19"/>
      <c r="M1607" s="19"/>
      <c r="N1607" s="19"/>
      <c r="O1607" s="19"/>
      <c r="P1607" s="19"/>
      <c r="Q1607" s="19"/>
      <c r="R1607" s="19"/>
      <c r="S1607" s="19"/>
      <c r="T1607" s="19"/>
      <c r="U1607" s="19"/>
      <c r="V1607" s="19"/>
      <c r="W1607" s="19"/>
      <c r="X1607" s="19"/>
      <c r="Y1607" s="19"/>
      <c r="Z1607" s="19"/>
      <c r="AA1607" s="19"/>
      <c r="AB1607" s="19"/>
      <c r="AC1607" s="19"/>
    </row>
    <row r="1608" spans="2:29" x14ac:dyDescent="0.25">
      <c r="B1608" s="19"/>
      <c r="C1608" s="19"/>
      <c r="D1608" s="19"/>
      <c r="E1608" s="19"/>
      <c r="F1608" s="19"/>
      <c r="G1608" s="19"/>
      <c r="H1608" s="19"/>
      <c r="I1608" s="19"/>
      <c r="J1608" s="19"/>
      <c r="K1608" s="19"/>
      <c r="L1608" s="19"/>
      <c r="M1608" s="19"/>
      <c r="N1608" s="19"/>
      <c r="O1608" s="19"/>
      <c r="P1608" s="19"/>
      <c r="Q1608" s="19"/>
      <c r="R1608" s="19"/>
      <c r="S1608" s="19"/>
      <c r="T1608" s="19"/>
      <c r="U1608" s="19"/>
      <c r="V1608" s="19"/>
      <c r="W1608" s="19"/>
      <c r="X1608" s="19"/>
      <c r="Y1608" s="19"/>
      <c r="Z1608" s="19"/>
      <c r="AA1608" s="19"/>
      <c r="AB1608" s="19"/>
      <c r="AC1608" s="19"/>
    </row>
    <row r="1609" spans="2:29" x14ac:dyDescent="0.25">
      <c r="B1609" s="19"/>
      <c r="C1609" s="19"/>
      <c r="D1609" s="19"/>
      <c r="E1609" s="19"/>
      <c r="F1609" s="19"/>
      <c r="G1609" s="19"/>
      <c r="H1609" s="19"/>
      <c r="I1609" s="19"/>
      <c r="J1609" s="19"/>
      <c r="K1609" s="19"/>
      <c r="L1609" s="19"/>
      <c r="M1609" s="19"/>
      <c r="N1609" s="19"/>
      <c r="O1609" s="19"/>
      <c r="P1609" s="19"/>
      <c r="Q1609" s="19"/>
      <c r="R1609" s="19"/>
      <c r="S1609" s="19"/>
      <c r="T1609" s="19"/>
      <c r="U1609" s="19"/>
      <c r="V1609" s="19"/>
      <c r="W1609" s="19"/>
      <c r="X1609" s="19"/>
      <c r="Y1609" s="19"/>
      <c r="Z1609" s="19"/>
      <c r="AA1609" s="19"/>
      <c r="AB1609" s="19"/>
      <c r="AC1609" s="19"/>
    </row>
    <row r="1610" spans="2:29" x14ac:dyDescent="0.25">
      <c r="B1610" s="19"/>
      <c r="C1610" s="19"/>
      <c r="D1610" s="19"/>
      <c r="E1610" s="19"/>
      <c r="F1610" s="19"/>
      <c r="G1610" s="19"/>
      <c r="H1610" s="19"/>
      <c r="I1610" s="19"/>
      <c r="J1610" s="19"/>
      <c r="K1610" s="19"/>
      <c r="L1610" s="19"/>
      <c r="M1610" s="19"/>
      <c r="N1610" s="19"/>
      <c r="O1610" s="19"/>
      <c r="P1610" s="19"/>
      <c r="Q1610" s="19"/>
      <c r="R1610" s="19"/>
      <c r="S1610" s="19"/>
      <c r="T1610" s="19"/>
      <c r="U1610" s="19"/>
      <c r="V1610" s="19"/>
      <c r="W1610" s="19"/>
      <c r="X1610" s="19"/>
      <c r="Y1610" s="19"/>
      <c r="Z1610" s="19"/>
      <c r="AA1610" s="19"/>
      <c r="AB1610" s="19"/>
      <c r="AC1610" s="19"/>
    </row>
    <row r="1611" spans="2:29" x14ac:dyDescent="0.25">
      <c r="B1611" s="19"/>
      <c r="C1611" s="19"/>
      <c r="D1611" s="19"/>
      <c r="E1611" s="19"/>
      <c r="F1611" s="19"/>
      <c r="G1611" s="19"/>
      <c r="H1611" s="19"/>
      <c r="I1611" s="19"/>
      <c r="J1611" s="19"/>
      <c r="K1611" s="19"/>
      <c r="L1611" s="19"/>
      <c r="M1611" s="19"/>
      <c r="N1611" s="19"/>
      <c r="O1611" s="19"/>
      <c r="P1611" s="19"/>
      <c r="Q1611" s="19"/>
      <c r="R1611" s="19"/>
      <c r="S1611" s="19"/>
      <c r="T1611" s="19"/>
      <c r="U1611" s="19"/>
      <c r="V1611" s="19"/>
      <c r="W1611" s="19"/>
      <c r="X1611" s="19"/>
      <c r="Y1611" s="19"/>
      <c r="Z1611" s="19"/>
      <c r="AA1611" s="19"/>
      <c r="AB1611" s="19"/>
      <c r="AC1611" s="19"/>
    </row>
    <row r="1612" spans="2:29" x14ac:dyDescent="0.25">
      <c r="B1612" s="19"/>
      <c r="C1612" s="19"/>
      <c r="D1612" s="19"/>
      <c r="E1612" s="19"/>
      <c r="F1612" s="19"/>
      <c r="G1612" s="19"/>
      <c r="H1612" s="19"/>
      <c r="I1612" s="19"/>
      <c r="J1612" s="19"/>
      <c r="K1612" s="19"/>
      <c r="L1612" s="19"/>
      <c r="M1612" s="19"/>
      <c r="N1612" s="19"/>
      <c r="O1612" s="19"/>
      <c r="P1612" s="19"/>
      <c r="Q1612" s="19"/>
      <c r="R1612" s="19"/>
      <c r="S1612" s="19"/>
      <c r="T1612" s="19"/>
      <c r="U1612" s="19"/>
      <c r="V1612" s="19"/>
      <c r="W1612" s="19"/>
      <c r="X1612" s="19"/>
      <c r="Y1612" s="19"/>
      <c r="Z1612" s="19"/>
      <c r="AA1612" s="19"/>
      <c r="AB1612" s="19"/>
      <c r="AC1612" s="19"/>
    </row>
    <row r="1613" spans="2:29" x14ac:dyDescent="0.25">
      <c r="B1613" s="19"/>
      <c r="C1613" s="19"/>
      <c r="D1613" s="19"/>
      <c r="E1613" s="19"/>
      <c r="F1613" s="19"/>
      <c r="G1613" s="19"/>
      <c r="H1613" s="19"/>
      <c r="I1613" s="19"/>
      <c r="J1613" s="19"/>
      <c r="K1613" s="19"/>
      <c r="L1613" s="19"/>
      <c r="M1613" s="19"/>
      <c r="N1613" s="19"/>
      <c r="O1613" s="19"/>
      <c r="P1613" s="19"/>
      <c r="Q1613" s="19"/>
      <c r="R1613" s="19"/>
      <c r="S1613" s="19"/>
      <c r="T1613" s="19"/>
      <c r="U1613" s="19"/>
      <c r="V1613" s="19"/>
      <c r="W1613" s="19"/>
      <c r="X1613" s="19"/>
      <c r="Y1613" s="19"/>
      <c r="Z1613" s="19"/>
      <c r="AA1613" s="19"/>
      <c r="AB1613" s="19"/>
      <c r="AC1613" s="19"/>
    </row>
    <row r="1614" spans="2:29" x14ac:dyDescent="0.25">
      <c r="B1614" s="19"/>
      <c r="C1614" s="19"/>
      <c r="D1614" s="19"/>
      <c r="E1614" s="19"/>
      <c r="F1614" s="19"/>
      <c r="G1614" s="19"/>
      <c r="H1614" s="19"/>
      <c r="I1614" s="19"/>
      <c r="J1614" s="19"/>
      <c r="K1614" s="19"/>
      <c r="L1614" s="19"/>
      <c r="M1614" s="19"/>
      <c r="N1614" s="19"/>
      <c r="O1614" s="19"/>
      <c r="P1614" s="19"/>
      <c r="Q1614" s="19"/>
      <c r="R1614" s="19"/>
      <c r="S1614" s="19"/>
      <c r="T1614" s="19"/>
      <c r="U1614" s="19"/>
      <c r="V1614" s="19"/>
      <c r="W1614" s="19"/>
      <c r="X1614" s="19"/>
      <c r="Y1614" s="19"/>
      <c r="Z1614" s="19"/>
      <c r="AA1614" s="19"/>
      <c r="AB1614" s="19"/>
      <c r="AC1614" s="19"/>
    </row>
    <row r="1615" spans="2:29" x14ac:dyDescent="0.25">
      <c r="B1615" s="19"/>
      <c r="C1615" s="19"/>
      <c r="D1615" s="19"/>
      <c r="E1615" s="19"/>
      <c r="F1615" s="19"/>
      <c r="G1615" s="19"/>
      <c r="H1615" s="19"/>
      <c r="I1615" s="19"/>
      <c r="J1615" s="19"/>
      <c r="K1615" s="19"/>
      <c r="L1615" s="19"/>
      <c r="M1615" s="19"/>
      <c r="N1615" s="19"/>
      <c r="O1615" s="19"/>
      <c r="P1615" s="19"/>
      <c r="Q1615" s="19"/>
      <c r="R1615" s="19"/>
      <c r="S1615" s="19"/>
      <c r="T1615" s="19"/>
      <c r="U1615" s="19"/>
      <c r="V1615" s="19"/>
      <c r="W1615" s="19"/>
      <c r="X1615" s="19"/>
      <c r="Y1615" s="19"/>
      <c r="Z1615" s="19"/>
      <c r="AA1615" s="19"/>
      <c r="AB1615" s="19"/>
      <c r="AC1615" s="19"/>
    </row>
    <row r="1616" spans="2:29" x14ac:dyDescent="0.25">
      <c r="B1616" s="19"/>
      <c r="C1616" s="19"/>
      <c r="D1616" s="19"/>
      <c r="E1616" s="19"/>
      <c r="F1616" s="19"/>
      <c r="G1616" s="19"/>
      <c r="H1616" s="19"/>
      <c r="I1616" s="19"/>
      <c r="J1616" s="19"/>
      <c r="K1616" s="19"/>
      <c r="L1616" s="19"/>
      <c r="M1616" s="19"/>
      <c r="N1616" s="19"/>
      <c r="O1616" s="19"/>
      <c r="P1616" s="19"/>
      <c r="Q1616" s="19"/>
      <c r="R1616" s="19"/>
      <c r="S1616" s="19"/>
      <c r="T1616" s="19"/>
      <c r="U1616" s="19"/>
      <c r="V1616" s="19"/>
      <c r="W1616" s="19"/>
      <c r="X1616" s="19"/>
      <c r="Y1616" s="19"/>
      <c r="Z1616" s="19"/>
      <c r="AA1616" s="19"/>
      <c r="AB1616" s="19"/>
      <c r="AC1616" s="19"/>
    </row>
    <row r="1617" spans="2:29" x14ac:dyDescent="0.25">
      <c r="B1617" s="19"/>
      <c r="C1617" s="19"/>
      <c r="D1617" s="19"/>
      <c r="E1617" s="19"/>
      <c r="F1617" s="19"/>
      <c r="G1617" s="19"/>
      <c r="H1617" s="19"/>
      <c r="I1617" s="19"/>
      <c r="J1617" s="19"/>
      <c r="K1617" s="19"/>
      <c r="L1617" s="19"/>
      <c r="M1617" s="19"/>
      <c r="N1617" s="19"/>
      <c r="O1617" s="19"/>
      <c r="P1617" s="19"/>
      <c r="Q1617" s="19"/>
      <c r="R1617" s="19"/>
      <c r="S1617" s="19"/>
      <c r="T1617" s="19"/>
      <c r="U1617" s="19"/>
      <c r="V1617" s="19"/>
      <c r="W1617" s="19"/>
      <c r="X1617" s="19"/>
      <c r="Y1617" s="19"/>
      <c r="Z1617" s="19"/>
      <c r="AA1617" s="19"/>
      <c r="AB1617" s="19"/>
      <c r="AC1617" s="19"/>
    </row>
    <row r="1618" spans="2:29" x14ac:dyDescent="0.25">
      <c r="B1618" s="19"/>
      <c r="C1618" s="19"/>
      <c r="D1618" s="19"/>
      <c r="E1618" s="19"/>
      <c r="F1618" s="19"/>
      <c r="G1618" s="19"/>
      <c r="H1618" s="19"/>
      <c r="I1618" s="19"/>
      <c r="J1618" s="19"/>
      <c r="K1618" s="19"/>
      <c r="L1618" s="19"/>
      <c r="M1618" s="19"/>
      <c r="N1618" s="19"/>
      <c r="O1618" s="19"/>
      <c r="P1618" s="19"/>
      <c r="Q1618" s="19"/>
      <c r="R1618" s="19"/>
      <c r="S1618" s="19"/>
      <c r="T1618" s="19"/>
      <c r="U1618" s="19"/>
      <c r="V1618" s="19"/>
      <c r="W1618" s="19"/>
      <c r="X1618" s="19"/>
      <c r="Y1618" s="19"/>
      <c r="Z1618" s="19"/>
      <c r="AA1618" s="19"/>
      <c r="AB1618" s="19"/>
      <c r="AC1618" s="19"/>
    </row>
    <row r="1619" spans="2:29" x14ac:dyDescent="0.25">
      <c r="B1619" s="19"/>
      <c r="C1619" s="19"/>
      <c r="D1619" s="19"/>
      <c r="E1619" s="19"/>
      <c r="F1619" s="19"/>
      <c r="G1619" s="19"/>
      <c r="H1619" s="19"/>
      <c r="I1619" s="19"/>
      <c r="J1619" s="19"/>
      <c r="K1619" s="19"/>
      <c r="L1619" s="19"/>
      <c r="M1619" s="19"/>
      <c r="N1619" s="19"/>
      <c r="O1619" s="19"/>
      <c r="P1619" s="19"/>
      <c r="Q1619" s="19"/>
      <c r="R1619" s="19"/>
      <c r="S1619" s="19"/>
      <c r="T1619" s="19"/>
      <c r="U1619" s="19"/>
      <c r="V1619" s="19"/>
      <c r="W1619" s="19"/>
      <c r="X1619" s="19"/>
      <c r="Y1619" s="19"/>
      <c r="Z1619" s="19"/>
      <c r="AA1619" s="19"/>
      <c r="AB1619" s="19"/>
      <c r="AC1619" s="19"/>
    </row>
    <row r="1620" spans="2:29" x14ac:dyDescent="0.25">
      <c r="B1620" s="19"/>
      <c r="C1620" s="19"/>
      <c r="D1620" s="19"/>
      <c r="E1620" s="19"/>
      <c r="F1620" s="19"/>
      <c r="G1620" s="19"/>
      <c r="H1620" s="19"/>
      <c r="I1620" s="19"/>
      <c r="J1620" s="19"/>
      <c r="K1620" s="19"/>
      <c r="L1620" s="19"/>
      <c r="M1620" s="19"/>
      <c r="N1620" s="19"/>
      <c r="O1620" s="19"/>
      <c r="P1620" s="19"/>
      <c r="Q1620" s="19"/>
      <c r="R1620" s="19"/>
      <c r="S1620" s="19"/>
      <c r="T1620" s="19"/>
      <c r="U1620" s="19"/>
      <c r="V1620" s="19"/>
      <c r="W1620" s="19"/>
      <c r="X1620" s="19"/>
      <c r="Y1620" s="19"/>
      <c r="Z1620" s="19"/>
      <c r="AA1620" s="19"/>
      <c r="AB1620" s="19"/>
      <c r="AC1620" s="19"/>
    </row>
    <row r="1621" spans="2:29" x14ac:dyDescent="0.25">
      <c r="B1621" s="19"/>
      <c r="C1621" s="19"/>
      <c r="D1621" s="19"/>
      <c r="E1621" s="19"/>
      <c r="F1621" s="19"/>
      <c r="G1621" s="19"/>
      <c r="H1621" s="19"/>
      <c r="I1621" s="19"/>
      <c r="J1621" s="19"/>
      <c r="K1621" s="19"/>
      <c r="L1621" s="19"/>
      <c r="M1621" s="19"/>
      <c r="N1621" s="19"/>
      <c r="O1621" s="19"/>
      <c r="P1621" s="19"/>
      <c r="Q1621" s="19"/>
      <c r="R1621" s="19"/>
      <c r="S1621" s="19"/>
      <c r="T1621" s="19"/>
      <c r="U1621" s="19"/>
      <c r="V1621" s="19"/>
      <c r="W1621" s="19"/>
      <c r="X1621" s="19"/>
      <c r="Y1621" s="19"/>
      <c r="Z1621" s="19"/>
      <c r="AA1621" s="19"/>
      <c r="AB1621" s="19"/>
      <c r="AC1621" s="19"/>
    </row>
    <row r="1622" spans="2:29" x14ac:dyDescent="0.25">
      <c r="B1622" s="19"/>
      <c r="C1622" s="19"/>
      <c r="D1622" s="19"/>
      <c r="E1622" s="19"/>
      <c r="F1622" s="19"/>
      <c r="G1622" s="19"/>
      <c r="H1622" s="19"/>
      <c r="I1622" s="19"/>
      <c r="J1622" s="19"/>
      <c r="K1622" s="19"/>
      <c r="L1622" s="19"/>
      <c r="M1622" s="19"/>
      <c r="N1622" s="19"/>
      <c r="O1622" s="19"/>
      <c r="P1622" s="19"/>
      <c r="Q1622" s="19"/>
      <c r="R1622" s="19"/>
      <c r="S1622" s="19"/>
      <c r="T1622" s="19"/>
      <c r="U1622" s="19"/>
      <c r="V1622" s="19"/>
      <c r="W1622" s="19"/>
      <c r="X1622" s="19"/>
      <c r="Y1622" s="19"/>
      <c r="Z1622" s="19"/>
      <c r="AA1622" s="19"/>
      <c r="AB1622" s="19"/>
      <c r="AC1622" s="19"/>
    </row>
    <row r="1623" spans="2:29" x14ac:dyDescent="0.25">
      <c r="B1623" s="19"/>
      <c r="C1623" s="19"/>
      <c r="D1623" s="19"/>
      <c r="E1623" s="19"/>
      <c r="F1623" s="19"/>
      <c r="G1623" s="19"/>
      <c r="H1623" s="19"/>
      <c r="I1623" s="19"/>
      <c r="J1623" s="19"/>
      <c r="K1623" s="19"/>
      <c r="L1623" s="19"/>
      <c r="M1623" s="19"/>
      <c r="N1623" s="19"/>
      <c r="O1623" s="19"/>
      <c r="P1623" s="19"/>
      <c r="Q1623" s="19"/>
      <c r="R1623" s="19"/>
      <c r="S1623" s="19"/>
      <c r="T1623" s="19"/>
      <c r="U1623" s="19"/>
      <c r="V1623" s="19"/>
      <c r="W1623" s="19"/>
      <c r="X1623" s="19"/>
      <c r="Y1623" s="19"/>
      <c r="Z1623" s="19"/>
      <c r="AA1623" s="19"/>
      <c r="AB1623" s="19"/>
      <c r="AC1623" s="19"/>
    </row>
    <row r="1624" spans="2:29" x14ac:dyDescent="0.25">
      <c r="B1624" s="19"/>
      <c r="C1624" s="19"/>
      <c r="D1624" s="19"/>
      <c r="E1624" s="19"/>
      <c r="F1624" s="19"/>
      <c r="G1624" s="19"/>
      <c r="H1624" s="19"/>
      <c r="I1624" s="19"/>
      <c r="J1624" s="19"/>
      <c r="K1624" s="19"/>
      <c r="L1624" s="19"/>
      <c r="M1624" s="19"/>
      <c r="N1624" s="19"/>
      <c r="O1624" s="19"/>
      <c r="P1624" s="19"/>
      <c r="Q1624" s="19"/>
      <c r="R1624" s="19"/>
      <c r="S1624" s="19"/>
      <c r="T1624" s="19"/>
      <c r="U1624" s="19"/>
      <c r="V1624" s="19"/>
      <c r="W1624" s="19"/>
      <c r="X1624" s="19"/>
      <c r="Y1624" s="19"/>
      <c r="Z1624" s="19"/>
      <c r="AA1624" s="19"/>
      <c r="AB1624" s="19"/>
      <c r="AC1624" s="19"/>
    </row>
    <row r="1625" spans="2:29" x14ac:dyDescent="0.25">
      <c r="B1625" s="19"/>
      <c r="C1625" s="19"/>
      <c r="D1625" s="19"/>
      <c r="E1625" s="19"/>
      <c r="F1625" s="19"/>
      <c r="G1625" s="19"/>
      <c r="H1625" s="19"/>
      <c r="I1625" s="19"/>
      <c r="J1625" s="19"/>
      <c r="K1625" s="19"/>
      <c r="L1625" s="19"/>
      <c r="M1625" s="19"/>
      <c r="N1625" s="19"/>
      <c r="O1625" s="19"/>
      <c r="P1625" s="19"/>
      <c r="Q1625" s="19"/>
      <c r="R1625" s="19"/>
      <c r="S1625" s="19"/>
      <c r="T1625" s="19"/>
      <c r="U1625" s="19"/>
      <c r="V1625" s="19"/>
      <c r="W1625" s="19"/>
      <c r="X1625" s="19"/>
      <c r="Y1625" s="19"/>
      <c r="Z1625" s="19"/>
      <c r="AA1625" s="19"/>
      <c r="AB1625" s="19"/>
      <c r="AC1625" s="19"/>
    </row>
    <row r="1626" spans="2:29" x14ac:dyDescent="0.25">
      <c r="B1626" s="19"/>
      <c r="C1626" s="19"/>
      <c r="D1626" s="19"/>
      <c r="E1626" s="19"/>
      <c r="F1626" s="19"/>
      <c r="G1626" s="19"/>
      <c r="H1626" s="19"/>
      <c r="I1626" s="19"/>
      <c r="J1626" s="19"/>
      <c r="K1626" s="19"/>
      <c r="L1626" s="19"/>
      <c r="M1626" s="19"/>
      <c r="N1626" s="19"/>
      <c r="O1626" s="19"/>
      <c r="P1626" s="19"/>
      <c r="Q1626" s="19"/>
      <c r="R1626" s="19"/>
      <c r="S1626" s="19"/>
      <c r="T1626" s="19"/>
      <c r="U1626" s="19"/>
      <c r="V1626" s="19"/>
      <c r="W1626" s="19"/>
      <c r="X1626" s="19"/>
      <c r="Y1626" s="19"/>
      <c r="Z1626" s="19"/>
      <c r="AA1626" s="19"/>
      <c r="AB1626" s="19"/>
      <c r="AC1626" s="19"/>
    </row>
    <row r="1627" spans="2:29" x14ac:dyDescent="0.25">
      <c r="B1627" s="19"/>
      <c r="C1627" s="19"/>
      <c r="D1627" s="19"/>
      <c r="E1627" s="19"/>
      <c r="F1627" s="19"/>
      <c r="G1627" s="19"/>
      <c r="H1627" s="19"/>
      <c r="I1627" s="19"/>
      <c r="J1627" s="19"/>
      <c r="K1627" s="19"/>
      <c r="L1627" s="19"/>
      <c r="M1627" s="19"/>
      <c r="N1627" s="19"/>
      <c r="O1627" s="19"/>
      <c r="P1627" s="19"/>
      <c r="Q1627" s="19"/>
      <c r="R1627" s="19"/>
      <c r="S1627" s="19"/>
      <c r="T1627" s="19"/>
      <c r="U1627" s="19"/>
      <c r="V1627" s="19"/>
      <c r="W1627" s="19"/>
      <c r="X1627" s="19"/>
      <c r="Y1627" s="19"/>
      <c r="Z1627" s="19"/>
      <c r="AA1627" s="19"/>
      <c r="AB1627" s="19"/>
      <c r="AC1627" s="19"/>
    </row>
    <row r="1628" spans="2:29" x14ac:dyDescent="0.25">
      <c r="B1628" s="19"/>
      <c r="C1628" s="19"/>
      <c r="D1628" s="19"/>
      <c r="E1628" s="19"/>
      <c r="F1628" s="19"/>
      <c r="G1628" s="19"/>
      <c r="H1628" s="19"/>
      <c r="I1628" s="19"/>
      <c r="J1628" s="19"/>
      <c r="K1628" s="19"/>
      <c r="L1628" s="19"/>
      <c r="M1628" s="19"/>
      <c r="N1628" s="19"/>
      <c r="O1628" s="19"/>
      <c r="P1628" s="19"/>
      <c r="Q1628" s="19"/>
      <c r="R1628" s="19"/>
      <c r="S1628" s="19"/>
      <c r="T1628" s="19"/>
      <c r="U1628" s="19"/>
      <c r="V1628" s="19"/>
      <c r="W1628" s="19"/>
      <c r="X1628" s="19"/>
      <c r="Y1628" s="19"/>
      <c r="Z1628" s="19"/>
      <c r="AA1628" s="19"/>
      <c r="AB1628" s="19"/>
      <c r="AC1628" s="19"/>
    </row>
    <row r="1629" spans="2:29" x14ac:dyDescent="0.25">
      <c r="B1629" s="19"/>
      <c r="C1629" s="19"/>
      <c r="D1629" s="19"/>
      <c r="E1629" s="19"/>
      <c r="F1629" s="19"/>
      <c r="G1629" s="19"/>
      <c r="H1629" s="19"/>
      <c r="I1629" s="19"/>
      <c r="J1629" s="19"/>
      <c r="K1629" s="19"/>
      <c r="L1629" s="19"/>
      <c r="M1629" s="19"/>
      <c r="N1629" s="19"/>
      <c r="O1629" s="19"/>
      <c r="P1629" s="19"/>
      <c r="Q1629" s="19"/>
      <c r="R1629" s="19"/>
      <c r="S1629" s="19"/>
      <c r="T1629" s="19"/>
      <c r="U1629" s="19"/>
      <c r="V1629" s="19"/>
      <c r="W1629" s="19"/>
      <c r="X1629" s="19"/>
      <c r="Y1629" s="19"/>
      <c r="Z1629" s="19"/>
      <c r="AA1629" s="19"/>
      <c r="AB1629" s="19"/>
      <c r="AC1629" s="19"/>
    </row>
    <row r="1630" spans="2:29" x14ac:dyDescent="0.25">
      <c r="B1630" s="19"/>
      <c r="C1630" s="19"/>
      <c r="D1630" s="19"/>
      <c r="E1630" s="19"/>
      <c r="F1630" s="19"/>
      <c r="G1630" s="19"/>
      <c r="H1630" s="19"/>
      <c r="I1630" s="19"/>
      <c r="J1630" s="19"/>
      <c r="K1630" s="19"/>
      <c r="L1630" s="19"/>
      <c r="M1630" s="19"/>
      <c r="N1630" s="19"/>
      <c r="O1630" s="19"/>
      <c r="P1630" s="19"/>
      <c r="Q1630" s="19"/>
      <c r="R1630" s="19"/>
      <c r="S1630" s="19"/>
      <c r="T1630" s="19"/>
      <c r="U1630" s="19"/>
      <c r="V1630" s="19"/>
      <c r="W1630" s="19"/>
      <c r="X1630" s="19"/>
      <c r="Y1630" s="19"/>
      <c r="Z1630" s="19"/>
      <c r="AA1630" s="19"/>
      <c r="AB1630" s="19"/>
      <c r="AC1630" s="19"/>
    </row>
    <row r="1631" spans="2:29" x14ac:dyDescent="0.25">
      <c r="B1631" s="19"/>
      <c r="C1631" s="19"/>
      <c r="D1631" s="19"/>
      <c r="E1631" s="19"/>
      <c r="F1631" s="19"/>
      <c r="G1631" s="19"/>
      <c r="H1631" s="19"/>
      <c r="I1631" s="19"/>
      <c r="J1631" s="19"/>
      <c r="K1631" s="19"/>
      <c r="L1631" s="19"/>
      <c r="M1631" s="19"/>
      <c r="N1631" s="19"/>
      <c r="O1631" s="19"/>
      <c r="P1631" s="19"/>
      <c r="Q1631" s="19"/>
      <c r="R1631" s="19"/>
      <c r="S1631" s="19"/>
      <c r="T1631" s="19"/>
      <c r="U1631" s="19"/>
      <c r="V1631" s="19"/>
      <c r="W1631" s="19"/>
      <c r="X1631" s="19"/>
      <c r="Y1631" s="19"/>
      <c r="Z1631" s="19"/>
      <c r="AA1631" s="19"/>
      <c r="AB1631" s="19"/>
      <c r="AC1631" s="19"/>
    </row>
    <row r="1632" spans="2:29" x14ac:dyDescent="0.25">
      <c r="B1632" s="19"/>
      <c r="C1632" s="19"/>
      <c r="D1632" s="19"/>
      <c r="E1632" s="19"/>
      <c r="F1632" s="19"/>
      <c r="G1632" s="19"/>
      <c r="H1632" s="19"/>
      <c r="I1632" s="19"/>
      <c r="J1632" s="19"/>
      <c r="K1632" s="19"/>
      <c r="L1632" s="19"/>
      <c r="M1632" s="19"/>
      <c r="N1632" s="19"/>
      <c r="O1632" s="19"/>
      <c r="P1632" s="19"/>
      <c r="Q1632" s="19"/>
      <c r="R1632" s="19"/>
      <c r="S1632" s="19"/>
      <c r="T1632" s="19"/>
      <c r="U1632" s="19"/>
      <c r="V1632" s="19"/>
      <c r="W1632" s="19"/>
      <c r="X1632" s="19"/>
      <c r="Y1632" s="19"/>
      <c r="Z1632" s="19"/>
      <c r="AA1632" s="19"/>
      <c r="AB1632" s="19"/>
      <c r="AC1632" s="19"/>
    </row>
    <row r="1633" spans="2:29" x14ac:dyDescent="0.25">
      <c r="B1633" s="19"/>
      <c r="C1633" s="19"/>
      <c r="D1633" s="19"/>
      <c r="E1633" s="19"/>
      <c r="F1633" s="19"/>
      <c r="G1633" s="19"/>
      <c r="H1633" s="19"/>
      <c r="I1633" s="19"/>
      <c r="J1633" s="19"/>
      <c r="K1633" s="19"/>
      <c r="L1633" s="19"/>
      <c r="M1633" s="19"/>
      <c r="N1633" s="19"/>
      <c r="O1633" s="19"/>
      <c r="P1633" s="19"/>
      <c r="Q1633" s="19"/>
      <c r="R1633" s="19"/>
      <c r="S1633" s="19"/>
      <c r="T1633" s="19"/>
      <c r="U1633" s="19"/>
      <c r="V1633" s="19"/>
      <c r="W1633" s="19"/>
      <c r="X1633" s="19"/>
      <c r="Y1633" s="19"/>
      <c r="Z1633" s="19"/>
      <c r="AA1633" s="19"/>
      <c r="AB1633" s="19"/>
      <c r="AC1633" s="19"/>
    </row>
    <row r="1634" spans="2:29" x14ac:dyDescent="0.25">
      <c r="B1634" s="19"/>
      <c r="C1634" s="19"/>
      <c r="D1634" s="19"/>
      <c r="E1634" s="19"/>
      <c r="F1634" s="19"/>
      <c r="G1634" s="19"/>
      <c r="H1634" s="19"/>
      <c r="I1634" s="19"/>
      <c r="J1634" s="19"/>
      <c r="K1634" s="19"/>
      <c r="L1634" s="19"/>
      <c r="M1634" s="19"/>
      <c r="N1634" s="19"/>
      <c r="O1634" s="19"/>
      <c r="P1634" s="19"/>
      <c r="Q1634" s="19"/>
      <c r="R1634" s="19"/>
      <c r="S1634" s="19"/>
      <c r="T1634" s="19"/>
      <c r="U1634" s="19"/>
      <c r="V1634" s="19"/>
      <c r="W1634" s="19"/>
      <c r="X1634" s="19"/>
      <c r="Y1634" s="19"/>
      <c r="Z1634" s="19"/>
      <c r="AA1634" s="19"/>
      <c r="AB1634" s="19"/>
      <c r="AC1634" s="19"/>
    </row>
    <row r="1635" spans="2:29" x14ac:dyDescent="0.25">
      <c r="B1635" s="19"/>
      <c r="C1635" s="19"/>
      <c r="D1635" s="19"/>
      <c r="E1635" s="19"/>
      <c r="F1635" s="19"/>
      <c r="G1635" s="19"/>
      <c r="H1635" s="19"/>
      <c r="I1635" s="19"/>
      <c r="J1635" s="19"/>
      <c r="K1635" s="19"/>
      <c r="L1635" s="19"/>
      <c r="M1635" s="19"/>
      <c r="N1635" s="19"/>
      <c r="O1635" s="19"/>
      <c r="P1635" s="19"/>
      <c r="Q1635" s="19"/>
      <c r="R1635" s="19"/>
      <c r="S1635" s="19"/>
      <c r="T1635" s="19"/>
      <c r="U1635" s="19"/>
      <c r="V1635" s="19"/>
      <c r="W1635" s="19"/>
      <c r="X1635" s="19"/>
      <c r="Y1635" s="19"/>
      <c r="Z1635" s="19"/>
      <c r="AA1635" s="19"/>
      <c r="AB1635" s="19"/>
      <c r="AC1635" s="19"/>
    </row>
    <row r="1636" spans="2:29" x14ac:dyDescent="0.25">
      <c r="B1636" s="19"/>
      <c r="C1636" s="19"/>
      <c r="D1636" s="19"/>
      <c r="E1636" s="19"/>
      <c r="F1636" s="19"/>
      <c r="G1636" s="19"/>
      <c r="H1636" s="19"/>
      <c r="I1636" s="19"/>
      <c r="J1636" s="19"/>
      <c r="K1636" s="19"/>
      <c r="L1636" s="19"/>
      <c r="M1636" s="19"/>
      <c r="N1636" s="19"/>
      <c r="O1636" s="19"/>
      <c r="P1636" s="19"/>
      <c r="Q1636" s="19"/>
      <c r="R1636" s="19"/>
      <c r="S1636" s="19"/>
      <c r="T1636" s="19"/>
      <c r="U1636" s="19"/>
      <c r="V1636" s="19"/>
      <c r="W1636" s="19"/>
      <c r="X1636" s="19"/>
      <c r="Y1636" s="19"/>
      <c r="Z1636" s="19"/>
      <c r="AA1636" s="19"/>
      <c r="AB1636" s="19"/>
      <c r="AC1636" s="19"/>
    </row>
    <row r="1637" spans="2:29" x14ac:dyDescent="0.25">
      <c r="B1637" s="19"/>
      <c r="C1637" s="19"/>
      <c r="D1637" s="19"/>
      <c r="E1637" s="19"/>
      <c r="F1637" s="19"/>
      <c r="G1637" s="19"/>
      <c r="H1637" s="19"/>
      <c r="I1637" s="19"/>
      <c r="J1637" s="19"/>
      <c r="K1637" s="19"/>
      <c r="L1637" s="19"/>
      <c r="M1637" s="19"/>
      <c r="N1637" s="19"/>
      <c r="O1637" s="19"/>
      <c r="P1637" s="19"/>
      <c r="Q1637" s="19"/>
      <c r="R1637" s="19"/>
      <c r="S1637" s="19"/>
      <c r="T1637" s="19"/>
      <c r="U1637" s="19"/>
      <c r="V1637" s="19"/>
      <c r="W1637" s="19"/>
      <c r="X1637" s="19"/>
      <c r="Y1637" s="19"/>
      <c r="Z1637" s="19"/>
      <c r="AA1637" s="19"/>
      <c r="AB1637" s="19"/>
      <c r="AC1637" s="19"/>
    </row>
    <row r="1638" spans="2:29" x14ac:dyDescent="0.25">
      <c r="B1638" s="19"/>
      <c r="C1638" s="19"/>
      <c r="D1638" s="19"/>
      <c r="E1638" s="19"/>
      <c r="F1638" s="19"/>
      <c r="G1638" s="19"/>
      <c r="H1638" s="19"/>
      <c r="I1638" s="19"/>
      <c r="J1638" s="19"/>
      <c r="K1638" s="19"/>
      <c r="L1638" s="19"/>
      <c r="M1638" s="19"/>
      <c r="N1638" s="19"/>
      <c r="O1638" s="19"/>
      <c r="P1638" s="19"/>
      <c r="Q1638" s="19"/>
      <c r="R1638" s="19"/>
      <c r="S1638" s="19"/>
      <c r="T1638" s="19"/>
      <c r="U1638" s="19"/>
      <c r="V1638" s="19"/>
      <c r="W1638" s="19"/>
      <c r="X1638" s="19"/>
      <c r="Y1638" s="19"/>
      <c r="Z1638" s="19"/>
      <c r="AA1638" s="19"/>
      <c r="AB1638" s="19"/>
      <c r="AC1638" s="19"/>
    </row>
    <row r="1639" spans="2:29" x14ac:dyDescent="0.25">
      <c r="B1639" s="19"/>
      <c r="C1639" s="19"/>
      <c r="D1639" s="19"/>
      <c r="E1639" s="19"/>
      <c r="F1639" s="19"/>
      <c r="G1639" s="19"/>
      <c r="H1639" s="19"/>
      <c r="I1639" s="19"/>
      <c r="J1639" s="19"/>
      <c r="K1639" s="19"/>
      <c r="L1639" s="19"/>
      <c r="M1639" s="19"/>
      <c r="N1639" s="19"/>
      <c r="O1639" s="19"/>
      <c r="P1639" s="19"/>
      <c r="Q1639" s="19"/>
      <c r="R1639" s="19"/>
      <c r="S1639" s="19"/>
      <c r="T1639" s="19"/>
      <c r="U1639" s="19"/>
      <c r="V1639" s="19"/>
      <c r="W1639" s="19"/>
      <c r="X1639" s="19"/>
      <c r="Y1639" s="19"/>
      <c r="Z1639" s="19"/>
      <c r="AA1639" s="19"/>
      <c r="AB1639" s="19"/>
      <c r="AC1639" s="19"/>
    </row>
    <row r="1640" spans="2:29" x14ac:dyDescent="0.25">
      <c r="B1640" s="19"/>
      <c r="C1640" s="19"/>
      <c r="D1640" s="19"/>
      <c r="E1640" s="19"/>
      <c r="F1640" s="19"/>
      <c r="G1640" s="19"/>
      <c r="H1640" s="19"/>
      <c r="I1640" s="19"/>
      <c r="J1640" s="19"/>
      <c r="K1640" s="19"/>
      <c r="L1640" s="19"/>
      <c r="M1640" s="19"/>
      <c r="N1640" s="19"/>
      <c r="O1640" s="19"/>
      <c r="P1640" s="19"/>
      <c r="Q1640" s="19"/>
      <c r="R1640" s="19"/>
      <c r="S1640" s="19"/>
      <c r="T1640" s="19"/>
      <c r="U1640" s="19"/>
      <c r="V1640" s="19"/>
      <c r="W1640" s="19"/>
      <c r="X1640" s="19"/>
      <c r="Y1640" s="19"/>
      <c r="Z1640" s="19"/>
      <c r="AA1640" s="19"/>
      <c r="AB1640" s="19"/>
      <c r="AC1640" s="19"/>
    </row>
    <row r="1641" spans="2:29" x14ac:dyDescent="0.25">
      <c r="B1641" s="19"/>
      <c r="C1641" s="19"/>
      <c r="D1641" s="19"/>
      <c r="E1641" s="19"/>
      <c r="F1641" s="19"/>
      <c r="G1641" s="19"/>
      <c r="H1641" s="19"/>
      <c r="I1641" s="19"/>
      <c r="J1641" s="19"/>
      <c r="K1641" s="19"/>
      <c r="L1641" s="19"/>
      <c r="M1641" s="19"/>
      <c r="N1641" s="19"/>
      <c r="O1641" s="19"/>
      <c r="P1641" s="19"/>
      <c r="Q1641" s="19"/>
      <c r="R1641" s="19"/>
      <c r="S1641" s="19"/>
      <c r="T1641" s="19"/>
      <c r="U1641" s="19"/>
      <c r="V1641" s="19"/>
      <c r="W1641" s="19"/>
      <c r="X1641" s="19"/>
      <c r="Y1641" s="19"/>
      <c r="Z1641" s="19"/>
      <c r="AA1641" s="19"/>
      <c r="AB1641" s="19"/>
      <c r="AC1641" s="19"/>
    </row>
    <row r="1642" spans="2:29" x14ac:dyDescent="0.25">
      <c r="B1642" s="19"/>
      <c r="C1642" s="19"/>
      <c r="D1642" s="19"/>
      <c r="E1642" s="19"/>
      <c r="F1642" s="19"/>
      <c r="G1642" s="19"/>
      <c r="H1642" s="19"/>
      <c r="I1642" s="19"/>
      <c r="J1642" s="19"/>
      <c r="K1642" s="19"/>
      <c r="L1642" s="19"/>
      <c r="M1642" s="19"/>
      <c r="N1642" s="19"/>
      <c r="O1642" s="19"/>
      <c r="P1642" s="19"/>
      <c r="Q1642" s="19"/>
      <c r="R1642" s="19"/>
      <c r="S1642" s="19"/>
      <c r="T1642" s="19"/>
      <c r="U1642" s="19"/>
      <c r="V1642" s="19"/>
      <c r="W1642" s="19"/>
      <c r="X1642" s="19"/>
      <c r="Y1642" s="19"/>
      <c r="Z1642" s="19"/>
      <c r="AA1642" s="19"/>
      <c r="AB1642" s="19"/>
      <c r="AC1642" s="19"/>
    </row>
    <row r="1643" spans="2:29" x14ac:dyDescent="0.25">
      <c r="B1643" s="19"/>
      <c r="C1643" s="19"/>
      <c r="D1643" s="19"/>
      <c r="E1643" s="19"/>
      <c r="F1643" s="19"/>
      <c r="G1643" s="19"/>
      <c r="H1643" s="19"/>
      <c r="I1643" s="19"/>
      <c r="J1643" s="19"/>
      <c r="K1643" s="19"/>
      <c r="L1643" s="19"/>
      <c r="M1643" s="19"/>
      <c r="N1643" s="19"/>
      <c r="O1643" s="19"/>
      <c r="P1643" s="19"/>
      <c r="Q1643" s="19"/>
      <c r="R1643" s="19"/>
      <c r="S1643" s="19"/>
      <c r="T1643" s="19"/>
      <c r="U1643" s="19"/>
      <c r="V1643" s="19"/>
      <c r="W1643" s="19"/>
      <c r="X1643" s="19"/>
      <c r="Y1643" s="19"/>
      <c r="Z1643" s="19"/>
      <c r="AA1643" s="19"/>
      <c r="AB1643" s="19"/>
      <c r="AC1643" s="19"/>
    </row>
    <row r="1644" spans="2:29" x14ac:dyDescent="0.25">
      <c r="B1644" s="19"/>
      <c r="C1644" s="19"/>
      <c r="D1644" s="19"/>
      <c r="E1644" s="19"/>
      <c r="F1644" s="19"/>
      <c r="G1644" s="19"/>
      <c r="H1644" s="19"/>
      <c r="I1644" s="19"/>
      <c r="J1644" s="19"/>
      <c r="K1644" s="19"/>
      <c r="L1644" s="19"/>
      <c r="M1644" s="19"/>
      <c r="N1644" s="19"/>
      <c r="O1644" s="19"/>
      <c r="P1644" s="19"/>
      <c r="Q1644" s="19"/>
      <c r="R1644" s="19"/>
      <c r="S1644" s="19"/>
      <c r="T1644" s="19"/>
      <c r="U1644" s="19"/>
      <c r="V1644" s="19"/>
      <c r="W1644" s="19"/>
      <c r="X1644" s="19"/>
      <c r="Y1644" s="19"/>
      <c r="Z1644" s="19"/>
      <c r="AA1644" s="19"/>
      <c r="AB1644" s="19"/>
      <c r="AC1644" s="19"/>
    </row>
    <row r="1645" spans="2:29" x14ac:dyDescent="0.25">
      <c r="B1645" s="19"/>
      <c r="C1645" s="19"/>
      <c r="D1645" s="19"/>
      <c r="E1645" s="19"/>
      <c r="F1645" s="19"/>
      <c r="G1645" s="19"/>
      <c r="H1645" s="19"/>
      <c r="I1645" s="19"/>
      <c r="J1645" s="19"/>
      <c r="K1645" s="19"/>
      <c r="L1645" s="19"/>
      <c r="M1645" s="19"/>
      <c r="N1645" s="19"/>
      <c r="O1645" s="19"/>
      <c r="P1645" s="19"/>
      <c r="Q1645" s="19"/>
      <c r="R1645" s="19"/>
      <c r="S1645" s="19"/>
      <c r="T1645" s="19"/>
      <c r="U1645" s="19"/>
      <c r="V1645" s="19"/>
      <c r="W1645" s="19"/>
      <c r="X1645" s="19"/>
      <c r="Y1645" s="19"/>
      <c r="Z1645" s="19"/>
      <c r="AA1645" s="19"/>
      <c r="AB1645" s="19"/>
      <c r="AC1645" s="19"/>
    </row>
    <row r="1646" spans="2:29" x14ac:dyDescent="0.25">
      <c r="B1646" s="19"/>
      <c r="C1646" s="19"/>
      <c r="D1646" s="19"/>
      <c r="E1646" s="19"/>
      <c r="F1646" s="19"/>
      <c r="G1646" s="19"/>
      <c r="H1646" s="19"/>
      <c r="I1646" s="19"/>
      <c r="J1646" s="19"/>
      <c r="K1646" s="19"/>
      <c r="L1646" s="19"/>
      <c r="M1646" s="19"/>
      <c r="N1646" s="19"/>
      <c r="O1646" s="19"/>
      <c r="P1646" s="19"/>
      <c r="Q1646" s="19"/>
      <c r="R1646" s="19"/>
      <c r="S1646" s="19"/>
      <c r="T1646" s="19"/>
      <c r="U1646" s="19"/>
      <c r="V1646" s="19"/>
      <c r="W1646" s="19"/>
      <c r="X1646" s="19"/>
      <c r="Y1646" s="19"/>
      <c r="Z1646" s="19"/>
      <c r="AA1646" s="19"/>
      <c r="AB1646" s="19"/>
      <c r="AC1646" s="19"/>
    </row>
    <row r="1647" spans="2:29" x14ac:dyDescent="0.25">
      <c r="B1647" s="19"/>
      <c r="C1647" s="19"/>
      <c r="D1647" s="19"/>
      <c r="E1647" s="19"/>
      <c r="F1647" s="19"/>
      <c r="G1647" s="19"/>
      <c r="H1647" s="19"/>
      <c r="I1647" s="19"/>
      <c r="J1647" s="19"/>
      <c r="K1647" s="19"/>
      <c r="L1647" s="19"/>
      <c r="M1647" s="19"/>
      <c r="N1647" s="19"/>
      <c r="O1647" s="19"/>
      <c r="P1647" s="19"/>
      <c r="Q1647" s="19"/>
      <c r="R1647" s="19"/>
      <c r="S1647" s="19"/>
      <c r="T1647" s="19"/>
      <c r="U1647" s="19"/>
      <c r="V1647" s="19"/>
      <c r="W1647" s="19"/>
      <c r="X1647" s="19"/>
      <c r="Y1647" s="19"/>
      <c r="Z1647" s="19"/>
      <c r="AA1647" s="19"/>
      <c r="AB1647" s="19"/>
      <c r="AC1647" s="19"/>
    </row>
    <row r="1648" spans="2:29" x14ac:dyDescent="0.25">
      <c r="B1648" s="19"/>
      <c r="C1648" s="19"/>
      <c r="D1648" s="19"/>
      <c r="E1648" s="19"/>
      <c r="F1648" s="19"/>
      <c r="G1648" s="19"/>
      <c r="H1648" s="19"/>
      <c r="I1648" s="19"/>
      <c r="J1648" s="19"/>
      <c r="K1648" s="19"/>
      <c r="L1648" s="19"/>
      <c r="M1648" s="19"/>
      <c r="N1648" s="19"/>
      <c r="O1648" s="19"/>
      <c r="P1648" s="19"/>
      <c r="Q1648" s="19"/>
      <c r="R1648" s="19"/>
      <c r="S1648" s="19"/>
      <c r="T1648" s="19"/>
      <c r="U1648" s="19"/>
      <c r="V1648" s="19"/>
      <c r="W1648" s="19"/>
      <c r="X1648" s="19"/>
      <c r="Y1648" s="19"/>
      <c r="Z1648" s="19"/>
      <c r="AA1648" s="19"/>
      <c r="AB1648" s="19"/>
      <c r="AC1648" s="19"/>
    </row>
    <row r="1649" spans="2:29" x14ac:dyDescent="0.25">
      <c r="B1649" s="19"/>
      <c r="C1649" s="19"/>
      <c r="D1649" s="19"/>
      <c r="E1649" s="19"/>
      <c r="F1649" s="19"/>
      <c r="G1649" s="19"/>
      <c r="H1649" s="19"/>
      <c r="I1649" s="19"/>
      <c r="J1649" s="19"/>
      <c r="K1649" s="19"/>
      <c r="L1649" s="19"/>
      <c r="M1649" s="19"/>
      <c r="N1649" s="19"/>
      <c r="O1649" s="19"/>
      <c r="P1649" s="19"/>
      <c r="Q1649" s="19"/>
      <c r="R1649" s="19"/>
      <c r="S1649" s="19"/>
      <c r="T1649" s="19"/>
      <c r="U1649" s="19"/>
      <c r="V1649" s="19"/>
      <c r="W1649" s="19"/>
      <c r="X1649" s="19"/>
      <c r="Y1649" s="19"/>
      <c r="Z1649" s="19"/>
      <c r="AA1649" s="19"/>
      <c r="AB1649" s="19"/>
      <c r="AC1649" s="19"/>
    </row>
    <row r="1650" spans="2:29" x14ac:dyDescent="0.25">
      <c r="B1650" s="19"/>
      <c r="C1650" s="19"/>
      <c r="D1650" s="19"/>
      <c r="E1650" s="19"/>
      <c r="F1650" s="19"/>
      <c r="G1650" s="19"/>
      <c r="H1650" s="19"/>
      <c r="I1650" s="19"/>
      <c r="J1650" s="19"/>
      <c r="K1650" s="19"/>
      <c r="L1650" s="19"/>
      <c r="M1650" s="19"/>
      <c r="N1650" s="19"/>
      <c r="O1650" s="19"/>
      <c r="P1650" s="19"/>
      <c r="Q1650" s="19"/>
      <c r="R1650" s="19"/>
      <c r="S1650" s="19"/>
      <c r="T1650" s="19"/>
      <c r="U1650" s="19"/>
      <c r="V1650" s="19"/>
      <c r="W1650" s="19"/>
      <c r="X1650" s="19"/>
      <c r="Y1650" s="19"/>
      <c r="Z1650" s="19"/>
      <c r="AA1650" s="19"/>
      <c r="AB1650" s="19"/>
      <c r="AC1650" s="19"/>
    </row>
    <row r="1651" spans="2:29" x14ac:dyDescent="0.25">
      <c r="B1651" s="19"/>
      <c r="C1651" s="19"/>
      <c r="D1651" s="19"/>
      <c r="E1651" s="19"/>
      <c r="F1651" s="19"/>
      <c r="G1651" s="19"/>
      <c r="H1651" s="19"/>
      <c r="I1651" s="19"/>
      <c r="J1651" s="19"/>
      <c r="K1651" s="19"/>
      <c r="L1651" s="19"/>
      <c r="M1651" s="19"/>
      <c r="N1651" s="19"/>
      <c r="O1651" s="19"/>
      <c r="P1651" s="19"/>
      <c r="Q1651" s="19"/>
      <c r="R1651" s="19"/>
      <c r="S1651" s="19"/>
      <c r="T1651" s="19"/>
      <c r="U1651" s="19"/>
      <c r="V1651" s="19"/>
      <c r="W1651" s="19"/>
      <c r="X1651" s="19"/>
      <c r="Y1651" s="19"/>
      <c r="Z1651" s="19"/>
      <c r="AA1651" s="19"/>
      <c r="AB1651" s="19"/>
      <c r="AC1651" s="19"/>
    </row>
    <row r="1652" spans="2:29" x14ac:dyDescent="0.25">
      <c r="B1652" s="19"/>
      <c r="C1652" s="19"/>
      <c r="D1652" s="19"/>
      <c r="E1652" s="19"/>
      <c r="F1652" s="19"/>
      <c r="G1652" s="19"/>
      <c r="H1652" s="19"/>
      <c r="I1652" s="19"/>
      <c r="J1652" s="19"/>
      <c r="K1652" s="19"/>
      <c r="L1652" s="19"/>
      <c r="M1652" s="19"/>
      <c r="N1652" s="19"/>
      <c r="O1652" s="19"/>
      <c r="P1652" s="19"/>
      <c r="Q1652" s="19"/>
      <c r="R1652" s="19"/>
      <c r="S1652" s="19"/>
      <c r="T1652" s="19"/>
      <c r="U1652" s="19"/>
      <c r="V1652" s="19"/>
      <c r="W1652" s="19"/>
      <c r="X1652" s="19"/>
      <c r="Y1652" s="19"/>
      <c r="Z1652" s="19"/>
      <c r="AA1652" s="19"/>
      <c r="AB1652" s="19"/>
      <c r="AC1652" s="19"/>
    </row>
    <row r="1653" spans="2:29" x14ac:dyDescent="0.25">
      <c r="B1653" s="19"/>
      <c r="C1653" s="19"/>
      <c r="D1653" s="19"/>
      <c r="E1653" s="19"/>
      <c r="F1653" s="19"/>
      <c r="G1653" s="19"/>
      <c r="H1653" s="19"/>
      <c r="I1653" s="19"/>
      <c r="J1653" s="19"/>
      <c r="K1653" s="19"/>
      <c r="L1653" s="19"/>
      <c r="M1653" s="19"/>
      <c r="N1653" s="19"/>
      <c r="O1653" s="19"/>
      <c r="P1653" s="19"/>
      <c r="Q1653" s="19"/>
      <c r="R1653" s="19"/>
      <c r="S1653" s="19"/>
      <c r="T1653" s="19"/>
      <c r="U1653" s="19"/>
      <c r="V1653" s="19"/>
      <c r="W1653" s="19"/>
      <c r="X1653" s="19"/>
      <c r="Y1653" s="19"/>
      <c r="Z1653" s="19"/>
      <c r="AA1653" s="19"/>
      <c r="AB1653" s="19"/>
      <c r="AC1653" s="19"/>
    </row>
    <row r="1654" spans="2:29" x14ac:dyDescent="0.25">
      <c r="B1654" s="19"/>
      <c r="C1654" s="19"/>
      <c r="D1654" s="19"/>
      <c r="E1654" s="19"/>
      <c r="F1654" s="19"/>
      <c r="G1654" s="19"/>
      <c r="H1654" s="19"/>
      <c r="I1654" s="19"/>
      <c r="J1654" s="19"/>
      <c r="K1654" s="19"/>
      <c r="L1654" s="19"/>
      <c r="M1654" s="19"/>
      <c r="N1654" s="19"/>
      <c r="O1654" s="19"/>
      <c r="P1654" s="19"/>
      <c r="Q1654" s="19"/>
      <c r="R1654" s="19"/>
      <c r="S1654" s="19"/>
      <c r="T1654" s="19"/>
      <c r="U1654" s="19"/>
      <c r="V1654" s="19"/>
      <c r="W1654" s="19"/>
      <c r="X1654" s="19"/>
      <c r="Y1654" s="19"/>
      <c r="Z1654" s="19"/>
      <c r="AA1654" s="19"/>
      <c r="AB1654" s="19"/>
      <c r="AC1654" s="19"/>
    </row>
    <row r="1655" spans="2:29" x14ac:dyDescent="0.25">
      <c r="B1655" s="19"/>
      <c r="C1655" s="19"/>
      <c r="D1655" s="19"/>
      <c r="E1655" s="19"/>
      <c r="F1655" s="19"/>
      <c r="G1655" s="19"/>
      <c r="H1655" s="19"/>
      <c r="I1655" s="19"/>
      <c r="J1655" s="19"/>
      <c r="K1655" s="19"/>
      <c r="L1655" s="19"/>
      <c r="M1655" s="19"/>
      <c r="N1655" s="19"/>
      <c r="O1655" s="19"/>
      <c r="P1655" s="19"/>
      <c r="Q1655" s="19"/>
      <c r="R1655" s="19"/>
      <c r="S1655" s="19"/>
      <c r="T1655" s="19"/>
      <c r="U1655" s="19"/>
      <c r="V1655" s="19"/>
      <c r="W1655" s="19"/>
      <c r="X1655" s="19"/>
      <c r="Y1655" s="19"/>
      <c r="Z1655" s="19"/>
      <c r="AA1655" s="19"/>
      <c r="AB1655" s="19"/>
      <c r="AC1655" s="19"/>
    </row>
    <row r="1656" spans="2:29" x14ac:dyDescent="0.25">
      <c r="B1656" s="19"/>
      <c r="C1656" s="19"/>
      <c r="D1656" s="19"/>
      <c r="E1656" s="19"/>
      <c r="F1656" s="19"/>
      <c r="G1656" s="19"/>
      <c r="H1656" s="19"/>
      <c r="I1656" s="19"/>
      <c r="J1656" s="19"/>
      <c r="K1656" s="19"/>
      <c r="L1656" s="19"/>
      <c r="M1656" s="19"/>
      <c r="N1656" s="19"/>
      <c r="O1656" s="19"/>
      <c r="P1656" s="19"/>
      <c r="Q1656" s="19"/>
      <c r="R1656" s="19"/>
      <c r="S1656" s="19"/>
      <c r="T1656" s="19"/>
      <c r="U1656" s="19"/>
      <c r="V1656" s="19"/>
      <c r="W1656" s="19"/>
      <c r="X1656" s="19"/>
      <c r="Y1656" s="19"/>
      <c r="Z1656" s="19"/>
      <c r="AA1656" s="19"/>
      <c r="AB1656" s="19"/>
      <c r="AC1656" s="19"/>
    </row>
    <row r="1657" spans="2:29" x14ac:dyDescent="0.25">
      <c r="B1657" s="19"/>
      <c r="C1657" s="19"/>
      <c r="D1657" s="19"/>
      <c r="E1657" s="19"/>
      <c r="F1657" s="19"/>
      <c r="G1657" s="19"/>
      <c r="H1657" s="19"/>
      <c r="I1657" s="19"/>
      <c r="J1657" s="19"/>
      <c r="K1657" s="19"/>
      <c r="L1657" s="19"/>
      <c r="M1657" s="19"/>
      <c r="N1657" s="19"/>
      <c r="O1657" s="19"/>
      <c r="P1657" s="19"/>
      <c r="Q1657" s="19"/>
      <c r="R1657" s="19"/>
      <c r="S1657" s="19"/>
      <c r="T1657" s="19"/>
      <c r="U1657" s="19"/>
      <c r="V1657" s="19"/>
      <c r="W1657" s="19"/>
      <c r="X1657" s="19"/>
      <c r="Y1657" s="19"/>
      <c r="Z1657" s="19"/>
      <c r="AA1657" s="19"/>
      <c r="AB1657" s="19"/>
      <c r="AC1657" s="19"/>
    </row>
    <row r="1658" spans="2:29" x14ac:dyDescent="0.25">
      <c r="B1658" s="19"/>
      <c r="C1658" s="19"/>
      <c r="D1658" s="19"/>
      <c r="E1658" s="19"/>
      <c r="F1658" s="19"/>
      <c r="G1658" s="19"/>
      <c r="H1658" s="19"/>
      <c r="I1658" s="19"/>
      <c r="J1658" s="19"/>
      <c r="K1658" s="19"/>
      <c r="L1658" s="19"/>
      <c r="M1658" s="19"/>
      <c r="N1658" s="19"/>
      <c r="O1658" s="19"/>
      <c r="P1658" s="19"/>
      <c r="Q1658" s="19"/>
      <c r="R1658" s="19"/>
      <c r="S1658" s="19"/>
      <c r="T1658" s="19"/>
      <c r="U1658" s="19"/>
      <c r="V1658" s="19"/>
      <c r="W1658" s="19"/>
      <c r="X1658" s="19"/>
      <c r="Y1658" s="19"/>
      <c r="Z1658" s="19"/>
      <c r="AA1658" s="19"/>
      <c r="AB1658" s="19"/>
      <c r="AC1658" s="19"/>
    </row>
    <row r="1659" spans="2:29" x14ac:dyDescent="0.25">
      <c r="B1659" s="19"/>
      <c r="C1659" s="19"/>
      <c r="D1659" s="19"/>
      <c r="E1659" s="19"/>
      <c r="F1659" s="19"/>
      <c r="G1659" s="19"/>
      <c r="H1659" s="19"/>
      <c r="I1659" s="19"/>
      <c r="J1659" s="19"/>
      <c r="K1659" s="19"/>
      <c r="L1659" s="19"/>
      <c r="M1659" s="19"/>
      <c r="N1659" s="19"/>
      <c r="O1659" s="19"/>
      <c r="P1659" s="19"/>
      <c r="Q1659" s="19"/>
      <c r="R1659" s="19"/>
      <c r="S1659" s="19"/>
      <c r="T1659" s="19"/>
      <c r="U1659" s="19"/>
      <c r="V1659" s="19"/>
      <c r="W1659" s="19"/>
      <c r="X1659" s="19"/>
      <c r="Y1659" s="19"/>
      <c r="Z1659" s="19"/>
      <c r="AA1659" s="19"/>
      <c r="AB1659" s="19"/>
      <c r="AC1659" s="19"/>
    </row>
    <row r="1660" spans="2:29" x14ac:dyDescent="0.25">
      <c r="B1660" s="19"/>
      <c r="C1660" s="19"/>
      <c r="D1660" s="19"/>
      <c r="E1660" s="19"/>
      <c r="F1660" s="19"/>
      <c r="G1660" s="19"/>
      <c r="H1660" s="19"/>
      <c r="I1660" s="19"/>
      <c r="J1660" s="19"/>
      <c r="K1660" s="19"/>
      <c r="L1660" s="19"/>
      <c r="M1660" s="19"/>
      <c r="N1660" s="19"/>
      <c r="O1660" s="19"/>
      <c r="P1660" s="19"/>
      <c r="Q1660" s="19"/>
      <c r="R1660" s="19"/>
      <c r="S1660" s="19"/>
      <c r="T1660" s="19"/>
      <c r="U1660" s="19"/>
      <c r="V1660" s="19"/>
      <c r="W1660" s="19"/>
      <c r="X1660" s="19"/>
      <c r="Y1660" s="19"/>
      <c r="Z1660" s="19"/>
      <c r="AA1660" s="19"/>
      <c r="AB1660" s="19"/>
      <c r="AC1660" s="19"/>
    </row>
    <row r="1661" spans="2:29" x14ac:dyDescent="0.25">
      <c r="B1661" s="19"/>
      <c r="C1661" s="19"/>
      <c r="D1661" s="19"/>
      <c r="E1661" s="19"/>
      <c r="F1661" s="19"/>
      <c r="G1661" s="19"/>
      <c r="H1661" s="19"/>
      <c r="I1661" s="19"/>
      <c r="J1661" s="19"/>
      <c r="K1661" s="19"/>
      <c r="L1661" s="19"/>
      <c r="M1661" s="19"/>
      <c r="N1661" s="19"/>
      <c r="O1661" s="19"/>
      <c r="P1661" s="19"/>
      <c r="Q1661" s="19"/>
      <c r="R1661" s="19"/>
      <c r="S1661" s="19"/>
      <c r="T1661" s="19"/>
      <c r="U1661" s="19"/>
      <c r="V1661" s="19"/>
      <c r="W1661" s="19"/>
      <c r="X1661" s="19"/>
      <c r="Y1661" s="19"/>
      <c r="Z1661" s="19"/>
      <c r="AA1661" s="19"/>
      <c r="AB1661" s="19"/>
      <c r="AC1661" s="19"/>
    </row>
    <row r="1662" spans="2:29" x14ac:dyDescent="0.25">
      <c r="B1662" s="19"/>
      <c r="C1662" s="19"/>
      <c r="D1662" s="19"/>
      <c r="E1662" s="19"/>
      <c r="F1662" s="19"/>
      <c r="G1662" s="19"/>
      <c r="H1662" s="19"/>
      <c r="I1662" s="19"/>
      <c r="J1662" s="19"/>
      <c r="K1662" s="19"/>
      <c r="L1662" s="19"/>
      <c r="M1662" s="19"/>
      <c r="N1662" s="19"/>
      <c r="O1662" s="19"/>
      <c r="P1662" s="19"/>
      <c r="Q1662" s="19"/>
      <c r="R1662" s="19"/>
      <c r="S1662" s="19"/>
      <c r="T1662" s="19"/>
      <c r="U1662" s="19"/>
      <c r="V1662" s="19"/>
      <c r="W1662" s="19"/>
      <c r="X1662" s="19"/>
      <c r="Y1662" s="19"/>
      <c r="Z1662" s="19"/>
      <c r="AA1662" s="19"/>
      <c r="AB1662" s="19"/>
      <c r="AC1662" s="19"/>
    </row>
    <row r="1663" spans="2:29" x14ac:dyDescent="0.25">
      <c r="B1663" s="19"/>
      <c r="C1663" s="19"/>
      <c r="D1663" s="19"/>
      <c r="E1663" s="19"/>
      <c r="F1663" s="19"/>
      <c r="G1663" s="19"/>
      <c r="H1663" s="19"/>
      <c r="I1663" s="19"/>
      <c r="J1663" s="19"/>
      <c r="K1663" s="19"/>
      <c r="L1663" s="19"/>
      <c r="M1663" s="19"/>
      <c r="N1663" s="19"/>
      <c r="O1663" s="19"/>
      <c r="P1663" s="19"/>
      <c r="Q1663" s="19"/>
      <c r="R1663" s="19"/>
      <c r="S1663" s="19"/>
      <c r="T1663" s="19"/>
      <c r="U1663" s="19"/>
      <c r="V1663" s="19"/>
      <c r="W1663" s="19"/>
      <c r="X1663" s="19"/>
      <c r="Y1663" s="19"/>
      <c r="Z1663" s="19"/>
      <c r="AA1663" s="19"/>
      <c r="AB1663" s="19"/>
      <c r="AC1663" s="19"/>
    </row>
    <row r="1664" spans="2:29" x14ac:dyDescent="0.25">
      <c r="B1664" s="19"/>
      <c r="C1664" s="19"/>
      <c r="D1664" s="19"/>
      <c r="E1664" s="19"/>
      <c r="F1664" s="19"/>
      <c r="G1664" s="19"/>
      <c r="H1664" s="19"/>
      <c r="I1664" s="19"/>
      <c r="J1664" s="19"/>
      <c r="K1664" s="19"/>
      <c r="L1664" s="19"/>
      <c r="M1664" s="19"/>
      <c r="N1664" s="19"/>
      <c r="O1664" s="19"/>
      <c r="P1664" s="19"/>
      <c r="Q1664" s="19"/>
      <c r="R1664" s="19"/>
      <c r="S1664" s="19"/>
      <c r="T1664" s="19"/>
      <c r="U1664" s="19"/>
      <c r="V1664" s="19"/>
      <c r="W1664" s="19"/>
      <c r="X1664" s="19"/>
      <c r="Y1664" s="19"/>
      <c r="Z1664" s="19"/>
      <c r="AA1664" s="19"/>
      <c r="AB1664" s="19"/>
      <c r="AC1664" s="19"/>
    </row>
    <row r="1665" spans="2:29" x14ac:dyDescent="0.25">
      <c r="B1665" s="19"/>
      <c r="C1665" s="19"/>
      <c r="D1665" s="19"/>
      <c r="E1665" s="19"/>
      <c r="F1665" s="19"/>
      <c r="G1665" s="19"/>
      <c r="H1665" s="19"/>
      <c r="I1665" s="19"/>
      <c r="J1665" s="19"/>
      <c r="K1665" s="19"/>
      <c r="L1665" s="19"/>
      <c r="M1665" s="19"/>
      <c r="N1665" s="19"/>
      <c r="O1665" s="19"/>
      <c r="P1665" s="19"/>
      <c r="Q1665" s="19"/>
      <c r="R1665" s="19"/>
      <c r="S1665" s="19"/>
      <c r="T1665" s="19"/>
      <c r="U1665" s="19"/>
      <c r="V1665" s="19"/>
      <c r="W1665" s="19"/>
      <c r="X1665" s="19"/>
      <c r="Y1665" s="19"/>
      <c r="Z1665" s="19"/>
      <c r="AA1665" s="19"/>
      <c r="AB1665" s="19"/>
      <c r="AC1665" s="19"/>
    </row>
    <row r="1666" spans="2:29" x14ac:dyDescent="0.25">
      <c r="B1666" s="19"/>
      <c r="C1666" s="19"/>
      <c r="D1666" s="19"/>
      <c r="E1666" s="19"/>
      <c r="F1666" s="19"/>
      <c r="G1666" s="19"/>
      <c r="H1666" s="19"/>
      <c r="I1666" s="19"/>
      <c r="J1666" s="19"/>
      <c r="K1666" s="19"/>
      <c r="L1666" s="19"/>
      <c r="M1666" s="19"/>
      <c r="N1666" s="19"/>
      <c r="O1666" s="19"/>
      <c r="P1666" s="19"/>
      <c r="Q1666" s="19"/>
      <c r="R1666" s="19"/>
      <c r="S1666" s="19"/>
      <c r="T1666" s="19"/>
      <c r="U1666" s="19"/>
      <c r="V1666" s="19"/>
      <c r="W1666" s="19"/>
      <c r="X1666" s="19"/>
      <c r="Y1666" s="19"/>
      <c r="Z1666" s="19"/>
      <c r="AA1666" s="19"/>
      <c r="AB1666" s="19"/>
      <c r="AC1666" s="19"/>
    </row>
    <row r="1667" spans="2:29" x14ac:dyDescent="0.25">
      <c r="B1667" s="19"/>
      <c r="C1667" s="19"/>
      <c r="D1667" s="19"/>
      <c r="E1667" s="19"/>
      <c r="F1667" s="19"/>
      <c r="G1667" s="19"/>
      <c r="H1667" s="19"/>
      <c r="I1667" s="19"/>
      <c r="J1667" s="19"/>
      <c r="K1667" s="19"/>
      <c r="L1667" s="19"/>
      <c r="M1667" s="19"/>
      <c r="N1667" s="19"/>
      <c r="O1667" s="19"/>
      <c r="P1667" s="19"/>
      <c r="Q1667" s="19"/>
      <c r="R1667" s="19"/>
      <c r="S1667" s="19"/>
      <c r="T1667" s="19"/>
      <c r="U1667" s="19"/>
      <c r="V1667" s="19"/>
      <c r="W1667" s="19"/>
      <c r="X1667" s="19"/>
      <c r="Y1667" s="19"/>
      <c r="Z1667" s="19"/>
      <c r="AA1667" s="19"/>
      <c r="AB1667" s="19"/>
      <c r="AC1667" s="19"/>
    </row>
    <row r="1668" spans="2:29" x14ac:dyDescent="0.25">
      <c r="B1668" s="19"/>
      <c r="C1668" s="19"/>
      <c r="D1668" s="19"/>
      <c r="E1668" s="19"/>
      <c r="F1668" s="19"/>
      <c r="G1668" s="19"/>
      <c r="H1668" s="19"/>
      <c r="I1668" s="19"/>
      <c r="J1668" s="19"/>
      <c r="K1668" s="19"/>
      <c r="L1668" s="19"/>
      <c r="M1668" s="19"/>
      <c r="N1668" s="19"/>
      <c r="O1668" s="19"/>
      <c r="P1668" s="19"/>
      <c r="Q1668" s="19"/>
      <c r="R1668" s="19"/>
      <c r="S1668" s="19"/>
      <c r="T1668" s="19"/>
      <c r="U1668" s="19"/>
      <c r="V1668" s="19"/>
      <c r="W1668" s="19"/>
      <c r="X1668" s="19"/>
      <c r="Y1668" s="19"/>
      <c r="Z1668" s="19"/>
      <c r="AA1668" s="19"/>
      <c r="AB1668" s="19"/>
      <c r="AC1668" s="19"/>
    </row>
    <row r="1669" spans="2:29" x14ac:dyDescent="0.25">
      <c r="B1669" s="19"/>
      <c r="C1669" s="19"/>
      <c r="D1669" s="19"/>
      <c r="E1669" s="19"/>
      <c r="F1669" s="19"/>
      <c r="G1669" s="19"/>
      <c r="H1669" s="19"/>
      <c r="I1669" s="19"/>
      <c r="J1669" s="19"/>
      <c r="K1669" s="19"/>
      <c r="L1669" s="19"/>
      <c r="M1669" s="19"/>
      <c r="N1669" s="19"/>
      <c r="O1669" s="19"/>
      <c r="P1669" s="19"/>
      <c r="Q1669" s="19"/>
      <c r="R1669" s="19"/>
      <c r="S1669" s="19"/>
      <c r="T1669" s="19"/>
      <c r="U1669" s="19"/>
      <c r="V1669" s="19"/>
      <c r="W1669" s="19"/>
      <c r="X1669" s="19"/>
      <c r="Y1669" s="19"/>
      <c r="Z1669" s="19"/>
      <c r="AA1669" s="19"/>
      <c r="AB1669" s="19"/>
      <c r="AC1669" s="19"/>
    </row>
    <row r="1670" spans="2:29" x14ac:dyDescent="0.25">
      <c r="B1670" s="19"/>
      <c r="C1670" s="19"/>
      <c r="D1670" s="19"/>
      <c r="E1670" s="19"/>
      <c r="F1670" s="19"/>
      <c r="G1670" s="19"/>
      <c r="H1670" s="19"/>
      <c r="I1670" s="19"/>
      <c r="J1670" s="19"/>
      <c r="K1670" s="19"/>
      <c r="L1670" s="19"/>
      <c r="M1670" s="19"/>
      <c r="N1670" s="19"/>
      <c r="O1670" s="19"/>
      <c r="P1670" s="19"/>
      <c r="Q1670" s="19"/>
      <c r="R1670" s="19"/>
      <c r="S1670" s="19"/>
      <c r="T1670" s="19"/>
      <c r="U1670" s="19"/>
      <c r="V1670" s="19"/>
      <c r="W1670" s="19"/>
      <c r="X1670" s="19"/>
      <c r="Y1670" s="19"/>
      <c r="Z1670" s="19"/>
      <c r="AA1670" s="19"/>
      <c r="AB1670" s="19"/>
      <c r="AC1670" s="19"/>
    </row>
    <row r="1671" spans="2:29" x14ac:dyDescent="0.25">
      <c r="B1671" s="19"/>
      <c r="C1671" s="19"/>
      <c r="D1671" s="19"/>
      <c r="E1671" s="19"/>
      <c r="F1671" s="19"/>
      <c r="G1671" s="19"/>
      <c r="H1671" s="19"/>
      <c r="I1671" s="19"/>
      <c r="J1671" s="19"/>
      <c r="K1671" s="19"/>
      <c r="L1671" s="19"/>
      <c r="M1671" s="19"/>
      <c r="N1671" s="19"/>
      <c r="O1671" s="19"/>
      <c r="P1671" s="19"/>
      <c r="Q1671" s="19"/>
      <c r="R1671" s="19"/>
      <c r="S1671" s="19"/>
      <c r="T1671" s="19"/>
      <c r="U1671" s="19"/>
      <c r="V1671" s="19"/>
      <c r="W1671" s="19"/>
      <c r="X1671" s="19"/>
      <c r="Y1671" s="19"/>
      <c r="Z1671" s="19"/>
      <c r="AA1671" s="19"/>
      <c r="AB1671" s="19"/>
      <c r="AC1671" s="19"/>
    </row>
    <row r="1672" spans="2:29" x14ac:dyDescent="0.25">
      <c r="B1672" s="19"/>
      <c r="C1672" s="19"/>
      <c r="D1672" s="19"/>
      <c r="E1672" s="19"/>
      <c r="F1672" s="19"/>
      <c r="G1672" s="19"/>
      <c r="H1672" s="19"/>
      <c r="I1672" s="19"/>
      <c r="J1672" s="19"/>
      <c r="K1672" s="19"/>
      <c r="L1672" s="19"/>
      <c r="M1672" s="19"/>
      <c r="N1672" s="19"/>
      <c r="O1672" s="19"/>
      <c r="P1672" s="19"/>
      <c r="Q1672" s="19"/>
      <c r="R1672" s="19"/>
      <c r="S1672" s="19"/>
      <c r="T1672" s="19"/>
      <c r="U1672" s="19"/>
      <c r="V1672" s="19"/>
      <c r="W1672" s="19"/>
      <c r="X1672" s="19"/>
      <c r="Y1672" s="19"/>
      <c r="Z1672" s="19"/>
      <c r="AA1672" s="19"/>
      <c r="AB1672" s="19"/>
      <c r="AC1672" s="19"/>
    </row>
    <row r="1673" spans="2:29" x14ac:dyDescent="0.25">
      <c r="B1673" s="19"/>
      <c r="C1673" s="19"/>
      <c r="D1673" s="19"/>
      <c r="E1673" s="19"/>
      <c r="F1673" s="19"/>
      <c r="G1673" s="19"/>
      <c r="H1673" s="19"/>
      <c r="I1673" s="19"/>
      <c r="J1673" s="19"/>
      <c r="K1673" s="19"/>
      <c r="L1673" s="19"/>
      <c r="M1673" s="19"/>
      <c r="N1673" s="19"/>
      <c r="O1673" s="19"/>
      <c r="P1673" s="19"/>
      <c r="Q1673" s="19"/>
      <c r="R1673" s="19"/>
      <c r="S1673" s="19"/>
      <c r="T1673" s="19"/>
      <c r="U1673" s="19"/>
      <c r="V1673" s="19"/>
      <c r="W1673" s="19"/>
      <c r="X1673" s="19"/>
      <c r="Y1673" s="19"/>
      <c r="Z1673" s="19"/>
      <c r="AA1673" s="19"/>
      <c r="AB1673" s="19"/>
      <c r="AC1673" s="19"/>
    </row>
    <row r="1674" spans="2:29" x14ac:dyDescent="0.25">
      <c r="B1674" s="19"/>
      <c r="C1674" s="19"/>
      <c r="D1674" s="19"/>
      <c r="E1674" s="19"/>
      <c r="F1674" s="19"/>
      <c r="G1674" s="19"/>
      <c r="H1674" s="19"/>
      <c r="I1674" s="19"/>
      <c r="J1674" s="19"/>
      <c r="K1674" s="19"/>
      <c r="L1674" s="19"/>
      <c r="M1674" s="19"/>
      <c r="N1674" s="19"/>
      <c r="O1674" s="19"/>
      <c r="P1674" s="19"/>
      <c r="Q1674" s="19"/>
      <c r="R1674" s="19"/>
      <c r="S1674" s="19"/>
      <c r="T1674" s="19"/>
      <c r="U1674" s="19"/>
      <c r="V1674" s="19"/>
      <c r="W1674" s="19"/>
      <c r="X1674" s="19"/>
      <c r="Y1674" s="19"/>
      <c r="Z1674" s="19"/>
      <c r="AA1674" s="19"/>
      <c r="AB1674" s="19"/>
      <c r="AC1674" s="19"/>
    </row>
    <row r="1675" spans="2:29" x14ac:dyDescent="0.25">
      <c r="B1675" s="19"/>
      <c r="C1675" s="19"/>
      <c r="D1675" s="19"/>
      <c r="E1675" s="19"/>
      <c r="F1675" s="19"/>
      <c r="G1675" s="19"/>
      <c r="H1675" s="19"/>
      <c r="I1675" s="19"/>
      <c r="J1675" s="19"/>
      <c r="K1675" s="19"/>
      <c r="L1675" s="19"/>
      <c r="M1675" s="19"/>
      <c r="N1675" s="19"/>
      <c r="O1675" s="19"/>
      <c r="P1675" s="19"/>
      <c r="Q1675" s="19"/>
      <c r="R1675" s="19"/>
      <c r="S1675" s="19"/>
      <c r="T1675" s="19"/>
      <c r="U1675" s="19"/>
      <c r="V1675" s="19"/>
      <c r="W1675" s="19"/>
      <c r="X1675" s="19"/>
      <c r="Y1675" s="19"/>
      <c r="Z1675" s="19"/>
      <c r="AA1675" s="19"/>
      <c r="AB1675" s="19"/>
      <c r="AC1675" s="19"/>
    </row>
    <row r="1676" spans="2:29" x14ac:dyDescent="0.25">
      <c r="B1676" s="19"/>
      <c r="C1676" s="19"/>
      <c r="D1676" s="19"/>
      <c r="E1676" s="19"/>
      <c r="F1676" s="19"/>
      <c r="G1676" s="19"/>
      <c r="H1676" s="19"/>
      <c r="I1676" s="19"/>
      <c r="J1676" s="19"/>
      <c r="K1676" s="19"/>
      <c r="L1676" s="19"/>
      <c r="M1676" s="19"/>
      <c r="N1676" s="19"/>
      <c r="O1676" s="19"/>
      <c r="P1676" s="19"/>
      <c r="Q1676" s="19"/>
      <c r="R1676" s="19"/>
      <c r="S1676" s="19"/>
      <c r="T1676" s="19"/>
      <c r="U1676" s="19"/>
      <c r="V1676" s="19"/>
      <c r="W1676" s="19"/>
      <c r="X1676" s="19"/>
      <c r="Y1676" s="19"/>
      <c r="Z1676" s="19"/>
      <c r="AA1676" s="19"/>
      <c r="AB1676" s="19"/>
      <c r="AC1676" s="19"/>
    </row>
    <row r="1677" spans="2:29" x14ac:dyDescent="0.25">
      <c r="B1677" s="19"/>
      <c r="C1677" s="19"/>
      <c r="D1677" s="19"/>
      <c r="E1677" s="19"/>
      <c r="F1677" s="19"/>
      <c r="G1677" s="19"/>
      <c r="H1677" s="19"/>
      <c r="I1677" s="19"/>
      <c r="J1677" s="19"/>
      <c r="K1677" s="19"/>
      <c r="L1677" s="19"/>
      <c r="M1677" s="19"/>
      <c r="N1677" s="19"/>
      <c r="O1677" s="19"/>
      <c r="P1677" s="19"/>
      <c r="Q1677" s="19"/>
      <c r="R1677" s="19"/>
      <c r="S1677" s="19"/>
      <c r="T1677" s="19"/>
      <c r="U1677" s="19"/>
      <c r="V1677" s="19"/>
      <c r="W1677" s="19"/>
      <c r="X1677" s="19"/>
      <c r="Y1677" s="19"/>
      <c r="Z1677" s="19"/>
      <c r="AA1677" s="19"/>
      <c r="AB1677" s="19"/>
      <c r="AC1677" s="19"/>
    </row>
    <row r="1678" spans="2:29" x14ac:dyDescent="0.25">
      <c r="B1678" s="19"/>
      <c r="C1678" s="19"/>
      <c r="D1678" s="19"/>
      <c r="E1678" s="19"/>
      <c r="F1678" s="19"/>
      <c r="G1678" s="19"/>
      <c r="H1678" s="19"/>
      <c r="I1678" s="19"/>
      <c r="J1678" s="19"/>
      <c r="K1678" s="19"/>
      <c r="L1678" s="19"/>
      <c r="M1678" s="19"/>
      <c r="N1678" s="19"/>
      <c r="O1678" s="19"/>
      <c r="P1678" s="19"/>
      <c r="Q1678" s="19"/>
      <c r="R1678" s="19"/>
      <c r="S1678" s="19"/>
      <c r="T1678" s="19"/>
      <c r="U1678" s="19"/>
      <c r="V1678" s="19"/>
      <c r="W1678" s="19"/>
      <c r="X1678" s="19"/>
      <c r="Y1678" s="19"/>
      <c r="Z1678" s="19"/>
      <c r="AA1678" s="19"/>
      <c r="AB1678" s="19"/>
      <c r="AC1678" s="19"/>
    </row>
    <row r="1679" spans="2:29" x14ac:dyDescent="0.25">
      <c r="B1679" s="19"/>
      <c r="C1679" s="19"/>
      <c r="D1679" s="19"/>
      <c r="E1679" s="19"/>
      <c r="F1679" s="19"/>
      <c r="G1679" s="19"/>
      <c r="H1679" s="19"/>
      <c r="I1679" s="19"/>
      <c r="J1679" s="19"/>
      <c r="K1679" s="19"/>
      <c r="L1679" s="19"/>
      <c r="M1679" s="19"/>
      <c r="N1679" s="19"/>
      <c r="O1679" s="19"/>
      <c r="P1679" s="19"/>
      <c r="Q1679" s="19"/>
      <c r="R1679" s="19"/>
      <c r="S1679" s="19"/>
      <c r="T1679" s="19"/>
      <c r="U1679" s="19"/>
      <c r="V1679" s="19"/>
      <c r="W1679" s="19"/>
      <c r="X1679" s="19"/>
      <c r="Y1679" s="19"/>
      <c r="Z1679" s="19"/>
      <c r="AA1679" s="19"/>
      <c r="AB1679" s="19"/>
      <c r="AC1679" s="19"/>
    </row>
    <row r="1680" spans="2:29" x14ac:dyDescent="0.25">
      <c r="B1680" s="19"/>
      <c r="C1680" s="19"/>
      <c r="D1680" s="19"/>
      <c r="E1680" s="19"/>
      <c r="F1680" s="19"/>
      <c r="G1680" s="19"/>
      <c r="H1680" s="19"/>
      <c r="I1680" s="19"/>
      <c r="J1680" s="19"/>
      <c r="K1680" s="19"/>
      <c r="L1680" s="19"/>
      <c r="M1680" s="19"/>
      <c r="N1680" s="19"/>
      <c r="O1680" s="19"/>
      <c r="P1680" s="19"/>
      <c r="Q1680" s="19"/>
      <c r="R1680" s="19"/>
      <c r="S1680" s="19"/>
      <c r="T1680" s="19"/>
      <c r="U1680" s="19"/>
      <c r="V1680" s="19"/>
      <c r="W1680" s="19"/>
      <c r="X1680" s="19"/>
      <c r="Y1680" s="19"/>
      <c r="Z1680" s="19"/>
      <c r="AA1680" s="19"/>
      <c r="AB1680" s="19"/>
      <c r="AC1680" s="19"/>
    </row>
    <row r="1681" spans="2:29" x14ac:dyDescent="0.25">
      <c r="B1681" s="19"/>
      <c r="C1681" s="19"/>
      <c r="D1681" s="19"/>
      <c r="E1681" s="19"/>
      <c r="F1681" s="19"/>
      <c r="G1681" s="19"/>
      <c r="H1681" s="19"/>
      <c r="I1681" s="19"/>
      <c r="J1681" s="19"/>
      <c r="K1681" s="19"/>
      <c r="L1681" s="19"/>
      <c r="M1681" s="19"/>
      <c r="N1681" s="19"/>
      <c r="O1681" s="19"/>
      <c r="P1681" s="19"/>
      <c r="Q1681" s="19"/>
      <c r="R1681" s="19"/>
      <c r="S1681" s="19"/>
      <c r="T1681" s="19"/>
      <c r="U1681" s="19"/>
      <c r="V1681" s="19"/>
      <c r="W1681" s="19"/>
      <c r="X1681" s="19"/>
      <c r="Y1681" s="19"/>
      <c r="Z1681" s="19"/>
      <c r="AA1681" s="19"/>
      <c r="AB1681" s="19"/>
      <c r="AC1681" s="19"/>
    </row>
    <row r="1682" spans="2:29" x14ac:dyDescent="0.25">
      <c r="B1682" s="19"/>
      <c r="C1682" s="19"/>
      <c r="D1682" s="19"/>
      <c r="E1682" s="19"/>
      <c r="F1682" s="19"/>
      <c r="G1682" s="19"/>
      <c r="H1682" s="19"/>
      <c r="I1682" s="19"/>
      <c r="J1682" s="19"/>
      <c r="K1682" s="19"/>
      <c r="L1682" s="19"/>
      <c r="M1682" s="19"/>
      <c r="N1682" s="19"/>
      <c r="O1682" s="19"/>
      <c r="P1682" s="19"/>
      <c r="Q1682" s="19"/>
      <c r="R1682" s="19"/>
      <c r="S1682" s="19"/>
      <c r="T1682" s="19"/>
      <c r="U1682" s="19"/>
      <c r="V1682" s="19"/>
      <c r="W1682" s="19"/>
      <c r="X1682" s="19"/>
      <c r="Y1682" s="19"/>
      <c r="Z1682" s="19"/>
      <c r="AA1682" s="19"/>
      <c r="AB1682" s="19"/>
      <c r="AC1682" s="19"/>
    </row>
    <row r="1683" spans="2:29" x14ac:dyDescent="0.25">
      <c r="B1683" s="19"/>
      <c r="C1683" s="19"/>
      <c r="D1683" s="19"/>
      <c r="E1683" s="19"/>
      <c r="F1683" s="19"/>
      <c r="G1683" s="19"/>
      <c r="H1683" s="19"/>
      <c r="I1683" s="19"/>
      <c r="J1683" s="19"/>
      <c r="K1683" s="19"/>
      <c r="L1683" s="19"/>
      <c r="M1683" s="19"/>
      <c r="N1683" s="19"/>
      <c r="O1683" s="19"/>
      <c r="P1683" s="19"/>
      <c r="Q1683" s="19"/>
      <c r="R1683" s="19"/>
      <c r="S1683" s="19"/>
      <c r="T1683" s="19"/>
      <c r="U1683" s="19"/>
      <c r="V1683" s="19"/>
      <c r="W1683" s="19"/>
      <c r="X1683" s="19"/>
      <c r="Y1683" s="19"/>
      <c r="Z1683" s="19"/>
      <c r="AA1683" s="19"/>
      <c r="AB1683" s="19"/>
      <c r="AC1683" s="19"/>
    </row>
    <row r="1684" spans="2:29" x14ac:dyDescent="0.25">
      <c r="B1684" s="19"/>
      <c r="C1684" s="19"/>
      <c r="D1684" s="19"/>
      <c r="E1684" s="19"/>
      <c r="F1684" s="19"/>
      <c r="G1684" s="19"/>
      <c r="H1684" s="19"/>
      <c r="I1684" s="19"/>
      <c r="J1684" s="19"/>
      <c r="K1684" s="19"/>
      <c r="L1684" s="19"/>
      <c r="M1684" s="19"/>
      <c r="N1684" s="19"/>
      <c r="O1684" s="19"/>
      <c r="P1684" s="19"/>
      <c r="Q1684" s="19"/>
      <c r="R1684" s="19"/>
      <c r="S1684" s="19"/>
      <c r="T1684" s="19"/>
      <c r="U1684" s="19"/>
      <c r="V1684" s="19"/>
      <c r="W1684" s="19"/>
      <c r="X1684" s="19"/>
      <c r="Y1684" s="19"/>
      <c r="Z1684" s="19"/>
      <c r="AA1684" s="19"/>
      <c r="AB1684" s="19"/>
      <c r="AC1684" s="19"/>
    </row>
    <row r="1685" spans="2:29" x14ac:dyDescent="0.25">
      <c r="B1685" s="19"/>
      <c r="C1685" s="19"/>
      <c r="D1685" s="19"/>
      <c r="E1685" s="19"/>
      <c r="F1685" s="19"/>
      <c r="G1685" s="19"/>
      <c r="H1685" s="19"/>
      <c r="I1685" s="19"/>
      <c r="J1685" s="19"/>
      <c r="K1685" s="19"/>
      <c r="L1685" s="19"/>
      <c r="M1685" s="19"/>
      <c r="N1685" s="19"/>
      <c r="O1685" s="19"/>
      <c r="P1685" s="19"/>
      <c r="Q1685" s="19"/>
      <c r="R1685" s="19"/>
      <c r="S1685" s="19"/>
      <c r="T1685" s="19"/>
      <c r="U1685" s="19"/>
      <c r="V1685" s="19"/>
      <c r="W1685" s="19"/>
      <c r="X1685" s="19"/>
      <c r="Y1685" s="19"/>
      <c r="Z1685" s="19"/>
      <c r="AA1685" s="19"/>
      <c r="AB1685" s="19"/>
      <c r="AC1685" s="19"/>
    </row>
    <row r="1686" spans="2:29" x14ac:dyDescent="0.25">
      <c r="B1686" s="19"/>
      <c r="C1686" s="19"/>
      <c r="D1686" s="19"/>
      <c r="E1686" s="19"/>
      <c r="F1686" s="19"/>
      <c r="G1686" s="19"/>
      <c r="H1686" s="19"/>
      <c r="I1686" s="19"/>
      <c r="J1686" s="19"/>
      <c r="K1686" s="19"/>
      <c r="L1686" s="19"/>
      <c r="M1686" s="19"/>
      <c r="N1686" s="19"/>
      <c r="O1686" s="19"/>
      <c r="P1686" s="19"/>
      <c r="Q1686" s="19"/>
      <c r="R1686" s="19"/>
      <c r="S1686" s="19"/>
      <c r="T1686" s="19"/>
      <c r="U1686" s="19"/>
      <c r="V1686" s="19"/>
      <c r="W1686" s="19"/>
      <c r="X1686" s="19"/>
      <c r="Y1686" s="19"/>
      <c r="Z1686" s="19"/>
      <c r="AA1686" s="19"/>
      <c r="AB1686" s="19"/>
      <c r="AC1686" s="19"/>
    </row>
    <row r="1687" spans="2:29" x14ac:dyDescent="0.25">
      <c r="B1687" s="19"/>
      <c r="C1687" s="19"/>
      <c r="D1687" s="19"/>
      <c r="E1687" s="19"/>
      <c r="F1687" s="19"/>
      <c r="G1687" s="19"/>
      <c r="H1687" s="19"/>
      <c r="I1687" s="19"/>
      <c r="J1687" s="19"/>
      <c r="K1687" s="19"/>
      <c r="L1687" s="19"/>
      <c r="M1687" s="19"/>
      <c r="N1687" s="19"/>
      <c r="O1687" s="19"/>
      <c r="P1687" s="19"/>
      <c r="Q1687" s="19"/>
      <c r="R1687" s="19"/>
      <c r="S1687" s="19"/>
      <c r="T1687" s="19"/>
      <c r="U1687" s="19"/>
      <c r="V1687" s="19"/>
      <c r="W1687" s="19"/>
      <c r="X1687" s="19"/>
      <c r="Y1687" s="19"/>
      <c r="Z1687" s="19"/>
      <c r="AA1687" s="19"/>
      <c r="AB1687" s="19"/>
      <c r="AC1687" s="19"/>
    </row>
    <row r="1688" spans="2:29" x14ac:dyDescent="0.25">
      <c r="B1688" s="19"/>
      <c r="C1688" s="19"/>
      <c r="D1688" s="19"/>
      <c r="E1688" s="19"/>
      <c r="F1688" s="19"/>
      <c r="G1688" s="19"/>
      <c r="H1688" s="19"/>
      <c r="I1688" s="19"/>
      <c r="J1688" s="19"/>
      <c r="K1688" s="19"/>
      <c r="L1688" s="19"/>
      <c r="M1688" s="19"/>
      <c r="N1688" s="19"/>
      <c r="O1688" s="19"/>
      <c r="P1688" s="19"/>
      <c r="Q1688" s="19"/>
      <c r="R1688" s="19"/>
      <c r="S1688" s="19"/>
      <c r="T1688" s="19"/>
      <c r="U1688" s="19"/>
      <c r="V1688" s="19"/>
      <c r="W1688" s="19"/>
      <c r="X1688" s="19"/>
      <c r="Y1688" s="19"/>
      <c r="Z1688" s="19"/>
      <c r="AA1688" s="19"/>
      <c r="AB1688" s="19"/>
      <c r="AC1688" s="19"/>
    </row>
    <row r="1689" spans="2:29" x14ac:dyDescent="0.25">
      <c r="B1689" s="19"/>
      <c r="C1689" s="19"/>
      <c r="D1689" s="19"/>
      <c r="E1689" s="19"/>
      <c r="F1689" s="19"/>
      <c r="G1689" s="19"/>
      <c r="H1689" s="19"/>
      <c r="I1689" s="19"/>
      <c r="J1689" s="19"/>
      <c r="K1689" s="19"/>
      <c r="L1689" s="19"/>
      <c r="M1689" s="19"/>
      <c r="N1689" s="19"/>
      <c r="O1689" s="19"/>
      <c r="P1689" s="19"/>
      <c r="Q1689" s="19"/>
      <c r="R1689" s="19"/>
      <c r="S1689" s="19"/>
      <c r="T1689" s="19"/>
      <c r="U1689" s="19"/>
      <c r="V1689" s="19"/>
      <c r="W1689" s="19"/>
      <c r="X1689" s="19"/>
      <c r="Y1689" s="19"/>
      <c r="Z1689" s="19"/>
      <c r="AA1689" s="19"/>
      <c r="AB1689" s="19"/>
      <c r="AC1689" s="19"/>
    </row>
    <row r="1690" spans="2:29" x14ac:dyDescent="0.25">
      <c r="B1690" s="19"/>
      <c r="C1690" s="19"/>
      <c r="D1690" s="19"/>
      <c r="E1690" s="19"/>
      <c r="F1690" s="19"/>
      <c r="G1690" s="19"/>
      <c r="H1690" s="19"/>
      <c r="I1690" s="19"/>
      <c r="J1690" s="19"/>
      <c r="K1690" s="19"/>
      <c r="L1690" s="19"/>
      <c r="M1690" s="19"/>
      <c r="N1690" s="19"/>
      <c r="O1690" s="19"/>
      <c r="P1690" s="19"/>
      <c r="Q1690" s="19"/>
      <c r="R1690" s="19"/>
      <c r="S1690" s="19"/>
      <c r="T1690" s="19"/>
      <c r="U1690" s="19"/>
      <c r="V1690" s="19"/>
      <c r="W1690" s="19"/>
      <c r="X1690" s="19"/>
      <c r="Y1690" s="19"/>
      <c r="Z1690" s="19"/>
      <c r="AA1690" s="19"/>
      <c r="AB1690" s="19"/>
      <c r="AC1690" s="19"/>
    </row>
    <row r="1691" spans="2:29" x14ac:dyDescent="0.25">
      <c r="B1691" s="19"/>
      <c r="C1691" s="19"/>
      <c r="D1691" s="19"/>
      <c r="E1691" s="19"/>
      <c r="F1691" s="19"/>
      <c r="G1691" s="19"/>
      <c r="H1691" s="19"/>
      <c r="I1691" s="19"/>
      <c r="J1691" s="19"/>
      <c r="K1691" s="19"/>
      <c r="L1691" s="19"/>
      <c r="M1691" s="19"/>
      <c r="N1691" s="19"/>
      <c r="O1691" s="19"/>
      <c r="P1691" s="19"/>
      <c r="Q1691" s="19"/>
      <c r="R1691" s="19"/>
      <c r="S1691" s="19"/>
      <c r="T1691" s="19"/>
      <c r="U1691" s="19"/>
      <c r="V1691" s="19"/>
      <c r="W1691" s="19"/>
      <c r="X1691" s="19"/>
      <c r="Y1691" s="19"/>
      <c r="Z1691" s="19"/>
      <c r="AA1691" s="19"/>
      <c r="AB1691" s="19"/>
      <c r="AC1691" s="19"/>
    </row>
    <row r="1692" spans="2:29" x14ac:dyDescent="0.25">
      <c r="B1692" s="19"/>
      <c r="C1692" s="19"/>
      <c r="D1692" s="19"/>
      <c r="E1692" s="19"/>
      <c r="F1692" s="19"/>
      <c r="G1692" s="19"/>
      <c r="H1692" s="19"/>
      <c r="I1692" s="19"/>
      <c r="J1692" s="19"/>
      <c r="K1692" s="19"/>
      <c r="L1692" s="19"/>
      <c r="M1692" s="19"/>
      <c r="N1692" s="19"/>
      <c r="O1692" s="19"/>
      <c r="P1692" s="19"/>
      <c r="Q1692" s="19"/>
      <c r="R1692" s="19"/>
      <c r="S1692" s="19"/>
      <c r="T1692" s="19"/>
      <c r="U1692" s="19"/>
      <c r="V1692" s="19"/>
      <c r="W1692" s="19"/>
      <c r="X1692" s="19"/>
      <c r="Y1692" s="19"/>
      <c r="Z1692" s="19"/>
      <c r="AA1692" s="19"/>
      <c r="AB1692" s="19"/>
      <c r="AC1692" s="19"/>
    </row>
    <row r="1693" spans="2:29" x14ac:dyDescent="0.25">
      <c r="B1693" s="19"/>
      <c r="C1693" s="19"/>
      <c r="D1693" s="19"/>
      <c r="E1693" s="19"/>
      <c r="F1693" s="19"/>
      <c r="G1693" s="19"/>
      <c r="H1693" s="19"/>
      <c r="I1693" s="19"/>
      <c r="J1693" s="19"/>
      <c r="K1693" s="19"/>
      <c r="L1693" s="19"/>
      <c r="M1693" s="19"/>
      <c r="N1693" s="19"/>
      <c r="O1693" s="19"/>
      <c r="P1693" s="19"/>
      <c r="Q1693" s="19"/>
      <c r="R1693" s="19"/>
      <c r="S1693" s="19"/>
      <c r="T1693" s="19"/>
      <c r="U1693" s="19"/>
      <c r="V1693" s="19"/>
      <c r="W1693" s="19"/>
      <c r="X1693" s="19"/>
      <c r="Y1693" s="19"/>
      <c r="Z1693" s="19"/>
      <c r="AA1693" s="19"/>
      <c r="AB1693" s="19"/>
      <c r="AC1693" s="19"/>
    </row>
    <row r="1694" spans="2:29" x14ac:dyDescent="0.25">
      <c r="B1694" s="19"/>
      <c r="C1694" s="19"/>
      <c r="D1694" s="19"/>
      <c r="E1694" s="19"/>
      <c r="F1694" s="19"/>
      <c r="G1694" s="19"/>
      <c r="H1694" s="19"/>
      <c r="I1694" s="19"/>
      <c r="J1694" s="19"/>
      <c r="K1694" s="19"/>
      <c r="L1694" s="19"/>
      <c r="M1694" s="19"/>
      <c r="N1694" s="19"/>
      <c r="O1694" s="19"/>
      <c r="P1694" s="19"/>
      <c r="Q1694" s="19"/>
      <c r="R1694" s="19"/>
      <c r="S1694" s="19"/>
      <c r="T1694" s="19"/>
      <c r="U1694" s="19"/>
      <c r="V1694" s="19"/>
      <c r="W1694" s="19"/>
      <c r="X1694" s="19"/>
      <c r="Y1694" s="19"/>
      <c r="Z1694" s="19"/>
      <c r="AA1694" s="19"/>
      <c r="AB1694" s="19"/>
      <c r="AC1694" s="19"/>
    </row>
    <row r="1695" spans="2:29" x14ac:dyDescent="0.25">
      <c r="B1695" s="19"/>
      <c r="C1695" s="19"/>
      <c r="D1695" s="19"/>
      <c r="E1695" s="19"/>
      <c r="F1695" s="19"/>
      <c r="G1695" s="19"/>
      <c r="H1695" s="19"/>
      <c r="I1695" s="19"/>
      <c r="J1695" s="19"/>
      <c r="K1695" s="19"/>
      <c r="L1695" s="19"/>
      <c r="M1695" s="19"/>
      <c r="N1695" s="19"/>
      <c r="O1695" s="19"/>
      <c r="P1695" s="19"/>
      <c r="Q1695" s="19"/>
      <c r="R1695" s="19"/>
      <c r="S1695" s="19"/>
      <c r="T1695" s="19"/>
      <c r="U1695" s="19"/>
      <c r="V1695" s="19"/>
      <c r="W1695" s="19"/>
      <c r="X1695" s="19"/>
      <c r="Y1695" s="19"/>
      <c r="Z1695" s="19"/>
      <c r="AA1695" s="19"/>
      <c r="AB1695" s="19"/>
      <c r="AC1695" s="19"/>
    </row>
    <row r="1696" spans="2:29" x14ac:dyDescent="0.25">
      <c r="B1696" s="19"/>
      <c r="C1696" s="19"/>
      <c r="D1696" s="19"/>
      <c r="E1696" s="19"/>
      <c r="F1696" s="19"/>
      <c r="G1696" s="19"/>
      <c r="H1696" s="19"/>
      <c r="I1696" s="19"/>
      <c r="J1696" s="19"/>
      <c r="K1696" s="19"/>
      <c r="L1696" s="19"/>
      <c r="M1696" s="19"/>
      <c r="N1696" s="19"/>
      <c r="O1696" s="19"/>
      <c r="P1696" s="19"/>
      <c r="Q1696" s="19"/>
      <c r="R1696" s="19"/>
      <c r="S1696" s="19"/>
      <c r="T1696" s="19"/>
      <c r="U1696" s="19"/>
      <c r="V1696" s="19"/>
      <c r="W1696" s="19"/>
      <c r="X1696" s="19"/>
      <c r="Y1696" s="19"/>
      <c r="Z1696" s="19"/>
      <c r="AA1696" s="19"/>
      <c r="AB1696" s="19"/>
      <c r="AC1696" s="19"/>
    </row>
    <row r="1697" spans="2:29" x14ac:dyDescent="0.25">
      <c r="B1697" s="19"/>
      <c r="C1697" s="19"/>
      <c r="D1697" s="19"/>
      <c r="E1697" s="19"/>
      <c r="F1697" s="19"/>
      <c r="G1697" s="19"/>
      <c r="H1697" s="19"/>
      <c r="I1697" s="19"/>
      <c r="J1697" s="19"/>
      <c r="K1697" s="19"/>
      <c r="L1697" s="19"/>
      <c r="M1697" s="19"/>
      <c r="N1697" s="19"/>
      <c r="O1697" s="19"/>
      <c r="P1697" s="19"/>
      <c r="Q1697" s="19"/>
      <c r="R1697" s="19"/>
      <c r="S1697" s="19"/>
      <c r="T1697" s="19"/>
      <c r="U1697" s="19"/>
      <c r="V1697" s="19"/>
      <c r="W1697" s="19"/>
      <c r="X1697" s="19"/>
      <c r="Y1697" s="19"/>
      <c r="Z1697" s="19"/>
      <c r="AA1697" s="19"/>
      <c r="AB1697" s="19"/>
      <c r="AC1697" s="19"/>
    </row>
    <row r="1698" spans="2:29" x14ac:dyDescent="0.25">
      <c r="B1698" s="19"/>
      <c r="C1698" s="19"/>
      <c r="D1698" s="19"/>
      <c r="E1698" s="19"/>
      <c r="F1698" s="19"/>
      <c r="G1698" s="19"/>
      <c r="H1698" s="19"/>
      <c r="I1698" s="19"/>
      <c r="J1698" s="19"/>
      <c r="K1698" s="19"/>
      <c r="L1698" s="19"/>
      <c r="M1698" s="19"/>
      <c r="N1698" s="19"/>
      <c r="O1698" s="19"/>
      <c r="P1698" s="19"/>
      <c r="Q1698" s="19"/>
      <c r="R1698" s="19"/>
      <c r="S1698" s="19"/>
      <c r="T1698" s="19"/>
      <c r="U1698" s="19"/>
      <c r="V1698" s="19"/>
      <c r="W1698" s="19"/>
      <c r="X1698" s="19"/>
      <c r="Y1698" s="19"/>
      <c r="Z1698" s="19"/>
      <c r="AA1698" s="19"/>
      <c r="AB1698" s="19"/>
      <c r="AC1698" s="19"/>
    </row>
    <row r="1699" spans="2:29" x14ac:dyDescent="0.25">
      <c r="B1699" s="19"/>
      <c r="C1699" s="19"/>
      <c r="D1699" s="19"/>
      <c r="E1699" s="19"/>
      <c r="F1699" s="19"/>
      <c r="G1699" s="19"/>
      <c r="H1699" s="19"/>
      <c r="I1699" s="19"/>
      <c r="J1699" s="19"/>
      <c r="K1699" s="19"/>
      <c r="L1699" s="19"/>
      <c r="M1699" s="19"/>
      <c r="N1699" s="19"/>
      <c r="O1699" s="19"/>
      <c r="P1699" s="19"/>
      <c r="Q1699" s="19"/>
      <c r="R1699" s="19"/>
      <c r="S1699" s="19"/>
      <c r="T1699" s="19"/>
      <c r="U1699" s="19"/>
      <c r="V1699" s="19"/>
      <c r="W1699" s="19"/>
      <c r="X1699" s="19"/>
      <c r="Y1699" s="19"/>
      <c r="Z1699" s="19"/>
      <c r="AA1699" s="19"/>
      <c r="AB1699" s="19"/>
      <c r="AC1699" s="19"/>
    </row>
    <row r="1700" spans="2:29" x14ac:dyDescent="0.25">
      <c r="B1700" s="19"/>
      <c r="C1700" s="19"/>
      <c r="D1700" s="19"/>
      <c r="E1700" s="19"/>
      <c r="F1700" s="19"/>
      <c r="G1700" s="19"/>
      <c r="H1700" s="19"/>
      <c r="I1700" s="19"/>
      <c r="J1700" s="19"/>
      <c r="K1700" s="19"/>
      <c r="L1700" s="19"/>
      <c r="M1700" s="19"/>
      <c r="N1700" s="19"/>
      <c r="O1700" s="19"/>
      <c r="P1700" s="19"/>
      <c r="Q1700" s="19"/>
      <c r="R1700" s="19"/>
      <c r="S1700" s="19"/>
      <c r="T1700" s="19"/>
      <c r="U1700" s="19"/>
      <c r="V1700" s="19"/>
      <c r="W1700" s="19"/>
      <c r="X1700" s="19"/>
      <c r="Y1700" s="19"/>
      <c r="Z1700" s="19"/>
      <c r="AA1700" s="19"/>
      <c r="AB1700" s="19"/>
      <c r="AC1700" s="19"/>
    </row>
    <row r="1701" spans="2:29" x14ac:dyDescent="0.25">
      <c r="B1701" s="19"/>
      <c r="C1701" s="19"/>
      <c r="D1701" s="19"/>
      <c r="E1701" s="19"/>
      <c r="F1701" s="19"/>
      <c r="G1701" s="19"/>
      <c r="H1701" s="19"/>
      <c r="I1701" s="19"/>
      <c r="J1701" s="19"/>
      <c r="K1701" s="19"/>
      <c r="L1701" s="19"/>
      <c r="M1701" s="19"/>
      <c r="N1701" s="19"/>
      <c r="O1701" s="19"/>
      <c r="P1701" s="19"/>
      <c r="Q1701" s="19"/>
      <c r="R1701" s="19"/>
      <c r="S1701" s="19"/>
      <c r="T1701" s="19"/>
      <c r="U1701" s="19"/>
      <c r="V1701" s="19"/>
      <c r="W1701" s="19"/>
      <c r="X1701" s="19"/>
      <c r="Y1701" s="19"/>
      <c r="Z1701" s="19"/>
      <c r="AA1701" s="19"/>
      <c r="AB1701" s="19"/>
      <c r="AC1701" s="19"/>
    </row>
    <row r="1702" spans="2:29" x14ac:dyDescent="0.25">
      <c r="B1702" s="19"/>
      <c r="C1702" s="19"/>
      <c r="D1702" s="19"/>
      <c r="E1702" s="19"/>
      <c r="F1702" s="19"/>
      <c r="G1702" s="19"/>
      <c r="H1702" s="19"/>
      <c r="I1702" s="19"/>
      <c r="J1702" s="19"/>
      <c r="K1702" s="19"/>
      <c r="L1702" s="19"/>
      <c r="M1702" s="19"/>
      <c r="N1702" s="19"/>
      <c r="O1702" s="19"/>
      <c r="P1702" s="19"/>
      <c r="Q1702" s="19"/>
      <c r="R1702" s="19"/>
      <c r="S1702" s="19"/>
      <c r="T1702" s="19"/>
      <c r="U1702" s="19"/>
      <c r="V1702" s="19"/>
      <c r="W1702" s="19"/>
      <c r="X1702" s="19"/>
      <c r="Y1702" s="19"/>
      <c r="Z1702" s="19"/>
      <c r="AA1702" s="19"/>
      <c r="AB1702" s="19"/>
      <c r="AC1702" s="19"/>
    </row>
    <row r="1703" spans="2:29" x14ac:dyDescent="0.25">
      <c r="B1703" s="19"/>
      <c r="C1703" s="19"/>
      <c r="D1703" s="19"/>
      <c r="E1703" s="19"/>
      <c r="F1703" s="19"/>
      <c r="G1703" s="19"/>
      <c r="H1703" s="19"/>
      <c r="I1703" s="19"/>
      <c r="J1703" s="19"/>
      <c r="K1703" s="19"/>
      <c r="L1703" s="19"/>
      <c r="M1703" s="19"/>
      <c r="N1703" s="19"/>
      <c r="O1703" s="19"/>
      <c r="P1703" s="19"/>
      <c r="Q1703" s="19"/>
      <c r="R1703" s="19"/>
      <c r="S1703" s="19"/>
      <c r="T1703" s="19"/>
      <c r="U1703" s="19"/>
      <c r="V1703" s="19"/>
      <c r="W1703" s="19"/>
      <c r="X1703" s="19"/>
      <c r="Y1703" s="19"/>
      <c r="Z1703" s="19"/>
      <c r="AA1703" s="19"/>
      <c r="AB1703" s="19"/>
      <c r="AC1703" s="19"/>
    </row>
    <row r="1704" spans="2:29" x14ac:dyDescent="0.25">
      <c r="B1704" s="19"/>
      <c r="C1704" s="19"/>
      <c r="D1704" s="19"/>
      <c r="E1704" s="19"/>
      <c r="F1704" s="19"/>
      <c r="G1704" s="19"/>
      <c r="H1704" s="19"/>
      <c r="I1704" s="19"/>
      <c r="J1704" s="19"/>
      <c r="K1704" s="19"/>
      <c r="L1704" s="19"/>
      <c r="M1704" s="19"/>
      <c r="N1704" s="19"/>
      <c r="O1704" s="19"/>
      <c r="P1704" s="19"/>
      <c r="Q1704" s="19"/>
      <c r="R1704" s="19"/>
      <c r="S1704" s="19"/>
      <c r="T1704" s="19"/>
      <c r="U1704" s="19"/>
      <c r="V1704" s="19"/>
      <c r="W1704" s="19"/>
      <c r="X1704" s="19"/>
      <c r="Y1704" s="19"/>
      <c r="Z1704" s="19"/>
      <c r="AA1704" s="19"/>
      <c r="AB1704" s="19"/>
      <c r="AC1704" s="19"/>
    </row>
    <row r="1705" spans="2:29" x14ac:dyDescent="0.25">
      <c r="B1705" s="19"/>
      <c r="C1705" s="19"/>
      <c r="D1705" s="19"/>
      <c r="E1705" s="19"/>
      <c r="F1705" s="19"/>
      <c r="G1705" s="19"/>
      <c r="H1705" s="19"/>
      <c r="I1705" s="19"/>
      <c r="J1705" s="19"/>
      <c r="K1705" s="19"/>
      <c r="L1705" s="19"/>
      <c r="M1705" s="19"/>
      <c r="N1705" s="19"/>
      <c r="O1705" s="19"/>
      <c r="P1705" s="19"/>
      <c r="Q1705" s="19"/>
      <c r="R1705" s="19"/>
      <c r="S1705" s="19"/>
      <c r="T1705" s="19"/>
      <c r="U1705" s="19"/>
      <c r="V1705" s="19"/>
      <c r="W1705" s="19"/>
      <c r="X1705" s="19"/>
      <c r="Y1705" s="19"/>
      <c r="Z1705" s="19"/>
      <c r="AA1705" s="19"/>
      <c r="AB1705" s="19"/>
      <c r="AC1705" s="19"/>
    </row>
    <row r="1706" spans="2:29" x14ac:dyDescent="0.25">
      <c r="B1706" s="19"/>
      <c r="C1706" s="19"/>
      <c r="D1706" s="19"/>
      <c r="E1706" s="19"/>
      <c r="F1706" s="19"/>
      <c r="G1706" s="19"/>
      <c r="H1706" s="19"/>
      <c r="I1706" s="19"/>
      <c r="J1706" s="19"/>
      <c r="K1706" s="19"/>
      <c r="L1706" s="19"/>
      <c r="M1706" s="19"/>
      <c r="N1706" s="19"/>
      <c r="O1706" s="19"/>
      <c r="P1706" s="19"/>
      <c r="Q1706" s="19"/>
      <c r="R1706" s="19"/>
      <c r="S1706" s="19"/>
      <c r="T1706" s="19"/>
      <c r="U1706" s="19"/>
      <c r="V1706" s="19"/>
      <c r="W1706" s="19"/>
      <c r="X1706" s="19"/>
      <c r="Y1706" s="19"/>
      <c r="Z1706" s="19"/>
      <c r="AA1706" s="19"/>
      <c r="AB1706" s="19"/>
      <c r="AC1706" s="19"/>
    </row>
    <row r="1707" spans="2:29" x14ac:dyDescent="0.25">
      <c r="B1707" s="19"/>
      <c r="C1707" s="19"/>
      <c r="D1707" s="19"/>
      <c r="E1707" s="19"/>
      <c r="F1707" s="19"/>
      <c r="G1707" s="19"/>
      <c r="H1707" s="19"/>
      <c r="I1707" s="19"/>
      <c r="J1707" s="19"/>
      <c r="K1707" s="19"/>
      <c r="L1707" s="19"/>
      <c r="M1707" s="19"/>
      <c r="N1707" s="19"/>
      <c r="O1707" s="19"/>
      <c r="P1707" s="19"/>
      <c r="Q1707" s="19"/>
      <c r="R1707" s="19"/>
      <c r="S1707" s="19"/>
      <c r="T1707" s="19"/>
      <c r="U1707" s="19"/>
      <c r="V1707" s="19"/>
      <c r="W1707" s="19"/>
      <c r="X1707" s="19"/>
      <c r="Y1707" s="19"/>
      <c r="Z1707" s="19"/>
      <c r="AA1707" s="19"/>
      <c r="AB1707" s="19"/>
      <c r="AC1707" s="19"/>
    </row>
    <row r="1708" spans="2:29" x14ac:dyDescent="0.25">
      <c r="B1708" s="19"/>
      <c r="C1708" s="19"/>
      <c r="D1708" s="19"/>
      <c r="E1708" s="19"/>
      <c r="F1708" s="19"/>
      <c r="G1708" s="19"/>
      <c r="H1708" s="19"/>
      <c r="I1708" s="19"/>
      <c r="J1708" s="19"/>
      <c r="K1708" s="19"/>
      <c r="L1708" s="19"/>
      <c r="M1708" s="19"/>
      <c r="N1708" s="19"/>
      <c r="O1708" s="19"/>
      <c r="P1708" s="19"/>
      <c r="Q1708" s="19"/>
      <c r="R1708" s="19"/>
      <c r="S1708" s="19"/>
      <c r="T1708" s="19"/>
      <c r="U1708" s="19"/>
      <c r="V1708" s="19"/>
      <c r="W1708" s="19"/>
      <c r="X1708" s="19"/>
      <c r="Y1708" s="19"/>
      <c r="Z1708" s="19"/>
      <c r="AA1708" s="19"/>
      <c r="AB1708" s="19"/>
      <c r="AC1708" s="19"/>
    </row>
    <row r="1709" spans="2:29" x14ac:dyDescent="0.25">
      <c r="B1709" s="19"/>
      <c r="C1709" s="19"/>
      <c r="D1709" s="19"/>
      <c r="E1709" s="19"/>
      <c r="F1709" s="19"/>
      <c r="G1709" s="19"/>
      <c r="H1709" s="19"/>
      <c r="I1709" s="19"/>
      <c r="J1709" s="19"/>
      <c r="K1709" s="19"/>
      <c r="L1709" s="19"/>
      <c r="M1709" s="19"/>
      <c r="N1709" s="19"/>
      <c r="O1709" s="19"/>
      <c r="P1709" s="19"/>
      <c r="Q1709" s="19"/>
      <c r="R1709" s="19"/>
      <c r="S1709" s="19"/>
      <c r="T1709" s="19"/>
      <c r="U1709" s="19"/>
      <c r="V1709" s="19"/>
      <c r="W1709" s="19"/>
      <c r="X1709" s="19"/>
      <c r="Y1709" s="19"/>
      <c r="Z1709" s="19"/>
      <c r="AA1709" s="19"/>
      <c r="AB1709" s="19"/>
      <c r="AC1709" s="19"/>
    </row>
    <row r="1710" spans="2:29" x14ac:dyDescent="0.25">
      <c r="B1710" s="19"/>
      <c r="C1710" s="19"/>
      <c r="D1710" s="19"/>
      <c r="E1710" s="19"/>
      <c r="F1710" s="19"/>
      <c r="G1710" s="19"/>
      <c r="H1710" s="19"/>
      <c r="I1710" s="19"/>
      <c r="J1710" s="19"/>
      <c r="K1710" s="19"/>
      <c r="L1710" s="19"/>
      <c r="M1710" s="19"/>
      <c r="N1710" s="19"/>
      <c r="O1710" s="19"/>
      <c r="P1710" s="19"/>
      <c r="Q1710" s="19"/>
      <c r="R1710" s="19"/>
      <c r="S1710" s="19"/>
      <c r="T1710" s="19"/>
      <c r="U1710" s="19"/>
      <c r="V1710" s="19"/>
      <c r="W1710" s="19"/>
      <c r="X1710" s="19"/>
      <c r="Y1710" s="19"/>
      <c r="Z1710" s="19"/>
      <c r="AA1710" s="19"/>
      <c r="AB1710" s="19"/>
      <c r="AC1710" s="19"/>
    </row>
    <row r="1711" spans="2:29" x14ac:dyDescent="0.25">
      <c r="B1711" s="19"/>
      <c r="C1711" s="19"/>
      <c r="D1711" s="19"/>
      <c r="E1711" s="19"/>
      <c r="F1711" s="19"/>
      <c r="G1711" s="19"/>
      <c r="H1711" s="19"/>
      <c r="I1711" s="19"/>
      <c r="J1711" s="19"/>
      <c r="K1711" s="19"/>
      <c r="L1711" s="19"/>
      <c r="M1711" s="19"/>
      <c r="N1711" s="19"/>
      <c r="O1711" s="19"/>
      <c r="P1711" s="19"/>
      <c r="Q1711" s="19"/>
      <c r="R1711" s="19"/>
      <c r="S1711" s="19"/>
      <c r="T1711" s="19"/>
      <c r="U1711" s="19"/>
      <c r="V1711" s="19"/>
      <c r="W1711" s="19"/>
      <c r="X1711" s="19"/>
      <c r="Y1711" s="19"/>
      <c r="Z1711" s="19"/>
      <c r="AA1711" s="19"/>
      <c r="AB1711" s="19"/>
      <c r="AC1711" s="19"/>
    </row>
    <row r="1712" spans="2:29" x14ac:dyDescent="0.25">
      <c r="B1712" s="19"/>
      <c r="C1712" s="19"/>
      <c r="D1712" s="19"/>
      <c r="E1712" s="19"/>
      <c r="F1712" s="19"/>
      <c r="G1712" s="19"/>
      <c r="H1712" s="19"/>
      <c r="I1712" s="19"/>
      <c r="J1712" s="19"/>
      <c r="K1712" s="19"/>
      <c r="L1712" s="19"/>
      <c r="M1712" s="19"/>
      <c r="N1712" s="19"/>
      <c r="O1712" s="19"/>
      <c r="P1712" s="19"/>
      <c r="Q1712" s="19"/>
      <c r="R1712" s="19"/>
      <c r="S1712" s="19"/>
      <c r="T1712" s="19"/>
      <c r="U1712" s="19"/>
      <c r="V1712" s="19"/>
      <c r="W1712" s="19"/>
      <c r="X1712" s="19"/>
      <c r="Y1712" s="19"/>
      <c r="Z1712" s="19"/>
      <c r="AA1712" s="19"/>
      <c r="AB1712" s="19"/>
      <c r="AC1712" s="19"/>
    </row>
    <row r="1713" spans="2:29" x14ac:dyDescent="0.25">
      <c r="B1713" s="19"/>
      <c r="C1713" s="19"/>
      <c r="D1713" s="19"/>
      <c r="E1713" s="19"/>
      <c r="F1713" s="19"/>
      <c r="G1713" s="19"/>
      <c r="H1713" s="19"/>
      <c r="I1713" s="19"/>
      <c r="J1713" s="19"/>
      <c r="K1713" s="19"/>
      <c r="L1713" s="19"/>
      <c r="M1713" s="19"/>
      <c r="N1713" s="19"/>
      <c r="O1713" s="19"/>
      <c r="P1713" s="19"/>
      <c r="Q1713" s="19"/>
      <c r="R1713" s="19"/>
      <c r="S1713" s="19"/>
      <c r="T1713" s="19"/>
      <c r="U1713" s="19"/>
      <c r="V1713" s="19"/>
      <c r="W1713" s="19"/>
      <c r="X1713" s="19"/>
      <c r="Y1713" s="19"/>
      <c r="Z1713" s="19"/>
      <c r="AA1713" s="19"/>
      <c r="AB1713" s="19"/>
      <c r="AC1713" s="19"/>
    </row>
    <row r="1714" spans="2:29" x14ac:dyDescent="0.25">
      <c r="B1714" s="19"/>
      <c r="C1714" s="19"/>
      <c r="D1714" s="19"/>
      <c r="E1714" s="19"/>
      <c r="F1714" s="19"/>
      <c r="G1714" s="19"/>
      <c r="H1714" s="19"/>
      <c r="I1714" s="19"/>
      <c r="J1714" s="19"/>
      <c r="K1714" s="19"/>
      <c r="L1714" s="19"/>
      <c r="M1714" s="19"/>
      <c r="N1714" s="19"/>
      <c r="O1714" s="19"/>
      <c r="P1714" s="19"/>
      <c r="Q1714" s="19"/>
      <c r="R1714" s="19"/>
      <c r="S1714" s="19"/>
      <c r="T1714" s="19"/>
      <c r="U1714" s="19"/>
      <c r="V1714" s="19"/>
      <c r="W1714" s="19"/>
      <c r="X1714" s="19"/>
      <c r="Y1714" s="19"/>
      <c r="Z1714" s="19"/>
      <c r="AA1714" s="19"/>
      <c r="AB1714" s="19"/>
      <c r="AC1714" s="19"/>
    </row>
    <row r="1715" spans="2:29" x14ac:dyDescent="0.25">
      <c r="B1715" s="19"/>
      <c r="C1715" s="19"/>
      <c r="D1715" s="19"/>
      <c r="E1715" s="19"/>
      <c r="F1715" s="19"/>
      <c r="G1715" s="19"/>
      <c r="H1715" s="19"/>
      <c r="I1715" s="19"/>
      <c r="J1715" s="19"/>
      <c r="K1715" s="19"/>
      <c r="L1715" s="19"/>
      <c r="M1715" s="19"/>
      <c r="N1715" s="19"/>
      <c r="O1715" s="19"/>
      <c r="P1715" s="19"/>
      <c r="Q1715" s="19"/>
      <c r="R1715" s="19"/>
      <c r="S1715" s="19"/>
      <c r="T1715" s="19"/>
      <c r="U1715" s="19"/>
      <c r="V1715" s="19"/>
      <c r="W1715" s="19"/>
      <c r="X1715" s="19"/>
      <c r="Y1715" s="19"/>
      <c r="Z1715" s="19"/>
      <c r="AA1715" s="19"/>
      <c r="AB1715" s="19"/>
      <c r="AC1715" s="19"/>
    </row>
    <row r="1716" spans="2:29" x14ac:dyDescent="0.25">
      <c r="B1716" s="19"/>
      <c r="C1716" s="19"/>
      <c r="D1716" s="19"/>
      <c r="E1716" s="19"/>
      <c r="F1716" s="19"/>
      <c r="G1716" s="19"/>
      <c r="H1716" s="19"/>
      <c r="I1716" s="19"/>
      <c r="J1716" s="19"/>
      <c r="K1716" s="19"/>
      <c r="L1716" s="19"/>
      <c r="M1716" s="19"/>
      <c r="N1716" s="19"/>
      <c r="O1716" s="19"/>
      <c r="P1716" s="19"/>
      <c r="Q1716" s="19"/>
      <c r="R1716" s="19"/>
      <c r="S1716" s="19"/>
      <c r="T1716" s="19"/>
      <c r="U1716" s="19"/>
      <c r="V1716" s="19"/>
      <c r="W1716" s="19"/>
      <c r="X1716" s="19"/>
      <c r="Y1716" s="19"/>
      <c r="Z1716" s="19"/>
      <c r="AA1716" s="19"/>
      <c r="AB1716" s="19"/>
      <c r="AC1716" s="19"/>
    </row>
    <row r="1717" spans="2:29" x14ac:dyDescent="0.25">
      <c r="B1717" s="19"/>
      <c r="C1717" s="19"/>
      <c r="D1717" s="19"/>
      <c r="E1717" s="19"/>
      <c r="F1717" s="19"/>
      <c r="G1717" s="19"/>
      <c r="H1717" s="19"/>
      <c r="I1717" s="19"/>
      <c r="J1717" s="19"/>
      <c r="K1717" s="19"/>
      <c r="L1717" s="19"/>
      <c r="M1717" s="19"/>
      <c r="N1717" s="19"/>
      <c r="O1717" s="19"/>
      <c r="P1717" s="19"/>
      <c r="Q1717" s="19"/>
      <c r="R1717" s="19"/>
      <c r="S1717" s="19"/>
      <c r="T1717" s="19"/>
      <c r="U1717" s="19"/>
      <c r="V1717" s="19"/>
      <c r="W1717" s="19"/>
      <c r="X1717" s="19"/>
      <c r="Y1717" s="19"/>
      <c r="Z1717" s="19"/>
      <c r="AA1717" s="19"/>
      <c r="AB1717" s="19"/>
      <c r="AC1717" s="19"/>
    </row>
    <row r="1718" spans="2:29" x14ac:dyDescent="0.25">
      <c r="B1718" s="19"/>
      <c r="C1718" s="19"/>
      <c r="D1718" s="19"/>
      <c r="E1718" s="19"/>
      <c r="F1718" s="19"/>
      <c r="G1718" s="19"/>
      <c r="H1718" s="19"/>
      <c r="I1718" s="19"/>
      <c r="J1718" s="19"/>
      <c r="K1718" s="19"/>
      <c r="L1718" s="19"/>
      <c r="M1718" s="19"/>
      <c r="N1718" s="19"/>
      <c r="O1718" s="19"/>
      <c r="P1718" s="19"/>
      <c r="Q1718" s="19"/>
      <c r="R1718" s="19"/>
      <c r="S1718" s="19"/>
      <c r="T1718" s="19"/>
      <c r="U1718" s="19"/>
      <c r="V1718" s="19"/>
      <c r="W1718" s="19"/>
      <c r="X1718" s="19"/>
      <c r="Y1718" s="19"/>
      <c r="Z1718" s="19"/>
      <c r="AA1718" s="19"/>
      <c r="AB1718" s="19"/>
      <c r="AC1718" s="19"/>
    </row>
    <row r="1719" spans="2:29" x14ac:dyDescent="0.25">
      <c r="B1719" s="19"/>
      <c r="C1719" s="19"/>
      <c r="D1719" s="19"/>
      <c r="E1719" s="19"/>
      <c r="F1719" s="19"/>
      <c r="G1719" s="19"/>
      <c r="H1719" s="19"/>
      <c r="I1719" s="19"/>
      <c r="J1719" s="19"/>
      <c r="K1719" s="19"/>
      <c r="L1719" s="19"/>
      <c r="M1719" s="19"/>
      <c r="N1719" s="19"/>
      <c r="O1719" s="19"/>
      <c r="P1719" s="19"/>
      <c r="Q1719" s="19"/>
      <c r="R1719" s="19"/>
      <c r="S1719" s="19"/>
      <c r="T1719" s="19"/>
      <c r="U1719" s="19"/>
      <c r="V1719" s="19"/>
      <c r="W1719" s="19"/>
      <c r="X1719" s="19"/>
      <c r="Y1719" s="19"/>
      <c r="Z1719" s="19"/>
      <c r="AA1719" s="19"/>
      <c r="AB1719" s="19"/>
      <c r="AC1719" s="19"/>
    </row>
    <row r="1720" spans="2:29" x14ac:dyDescent="0.25">
      <c r="B1720" s="19"/>
      <c r="C1720" s="19"/>
      <c r="D1720" s="19"/>
      <c r="E1720" s="19"/>
      <c r="F1720" s="19"/>
      <c r="G1720" s="19"/>
      <c r="H1720" s="19"/>
      <c r="I1720" s="19"/>
      <c r="J1720" s="19"/>
      <c r="K1720" s="19"/>
      <c r="L1720" s="19"/>
      <c r="M1720" s="19"/>
      <c r="N1720" s="19"/>
      <c r="O1720" s="19"/>
      <c r="P1720" s="19"/>
      <c r="Q1720" s="19"/>
      <c r="R1720" s="19"/>
      <c r="S1720" s="19"/>
      <c r="T1720" s="19"/>
      <c r="U1720" s="19"/>
      <c r="V1720" s="19"/>
      <c r="W1720" s="19"/>
      <c r="X1720" s="19"/>
      <c r="Y1720" s="19"/>
      <c r="Z1720" s="19"/>
      <c r="AA1720" s="19"/>
      <c r="AB1720" s="19"/>
      <c r="AC1720" s="19"/>
    </row>
    <row r="1721" spans="2:29" x14ac:dyDescent="0.25">
      <c r="B1721" s="19"/>
      <c r="C1721" s="19"/>
      <c r="D1721" s="19"/>
      <c r="E1721" s="19"/>
      <c r="F1721" s="19"/>
      <c r="G1721" s="19"/>
      <c r="H1721" s="19"/>
      <c r="I1721" s="19"/>
      <c r="J1721" s="19"/>
      <c r="K1721" s="19"/>
      <c r="L1721" s="19"/>
      <c r="M1721" s="19"/>
      <c r="N1721" s="19"/>
      <c r="O1721" s="19"/>
      <c r="P1721" s="19"/>
      <c r="Q1721" s="19"/>
      <c r="R1721" s="19"/>
      <c r="S1721" s="19"/>
      <c r="T1721" s="19"/>
      <c r="U1721" s="19"/>
      <c r="V1721" s="19"/>
      <c r="W1721" s="19"/>
      <c r="X1721" s="19"/>
      <c r="Y1721" s="19"/>
      <c r="Z1721" s="19"/>
      <c r="AA1721" s="19"/>
      <c r="AB1721" s="19"/>
      <c r="AC1721" s="19"/>
    </row>
    <row r="1722" spans="2:29" x14ac:dyDescent="0.25">
      <c r="B1722" s="19"/>
      <c r="C1722" s="19"/>
      <c r="D1722" s="19"/>
      <c r="E1722" s="19"/>
      <c r="F1722" s="19"/>
      <c r="G1722" s="19"/>
      <c r="H1722" s="19"/>
      <c r="I1722" s="19"/>
      <c r="J1722" s="19"/>
      <c r="K1722" s="19"/>
      <c r="L1722" s="19"/>
      <c r="M1722" s="19"/>
      <c r="N1722" s="19"/>
      <c r="O1722" s="19"/>
      <c r="P1722" s="19"/>
      <c r="Q1722" s="19"/>
      <c r="R1722" s="19"/>
      <c r="S1722" s="19"/>
      <c r="T1722" s="19"/>
      <c r="U1722" s="19"/>
      <c r="V1722" s="19"/>
      <c r="W1722" s="19"/>
      <c r="X1722" s="19"/>
      <c r="Y1722" s="19"/>
      <c r="Z1722" s="19"/>
      <c r="AA1722" s="19"/>
      <c r="AB1722" s="19"/>
      <c r="AC1722" s="19"/>
    </row>
    <row r="1723" spans="2:29" x14ac:dyDescent="0.25">
      <c r="B1723" s="19"/>
      <c r="C1723" s="19"/>
      <c r="D1723" s="19"/>
      <c r="E1723" s="19"/>
      <c r="F1723" s="19"/>
      <c r="G1723" s="19"/>
      <c r="H1723" s="19"/>
      <c r="I1723" s="19"/>
      <c r="J1723" s="19"/>
      <c r="K1723" s="19"/>
      <c r="L1723" s="19"/>
      <c r="M1723" s="19"/>
      <c r="N1723" s="19"/>
      <c r="O1723" s="19"/>
      <c r="P1723" s="19"/>
      <c r="Q1723" s="19"/>
      <c r="R1723" s="19"/>
      <c r="S1723" s="19"/>
      <c r="T1723" s="19"/>
      <c r="U1723" s="19"/>
      <c r="V1723" s="19"/>
      <c r="W1723" s="19"/>
      <c r="X1723" s="19"/>
      <c r="Y1723" s="19"/>
      <c r="Z1723" s="19"/>
      <c r="AA1723" s="19"/>
      <c r="AB1723" s="19"/>
      <c r="AC1723" s="19"/>
    </row>
    <row r="1724" spans="2:29" x14ac:dyDescent="0.25">
      <c r="B1724" s="19"/>
      <c r="C1724" s="19"/>
      <c r="D1724" s="19"/>
      <c r="E1724" s="19"/>
      <c r="F1724" s="19"/>
      <c r="G1724" s="19"/>
      <c r="H1724" s="19"/>
      <c r="I1724" s="19"/>
      <c r="J1724" s="19"/>
      <c r="K1724" s="19"/>
      <c r="L1724" s="19"/>
      <c r="M1724" s="19"/>
      <c r="N1724" s="19"/>
      <c r="O1724" s="19"/>
      <c r="P1724" s="19"/>
      <c r="Q1724" s="19"/>
      <c r="R1724" s="19"/>
      <c r="S1724" s="19"/>
      <c r="T1724" s="19"/>
      <c r="U1724" s="19"/>
      <c r="V1724" s="19"/>
      <c r="W1724" s="19"/>
      <c r="X1724" s="19"/>
      <c r="Y1724" s="19"/>
      <c r="Z1724" s="19"/>
      <c r="AA1724" s="19"/>
      <c r="AB1724" s="19"/>
      <c r="AC1724" s="19"/>
    </row>
    <row r="1725" spans="2:29" x14ac:dyDescent="0.25">
      <c r="B1725" s="19"/>
      <c r="C1725" s="19"/>
      <c r="D1725" s="19"/>
      <c r="E1725" s="19"/>
      <c r="F1725" s="19"/>
      <c r="G1725" s="19"/>
      <c r="H1725" s="19"/>
      <c r="I1725" s="19"/>
      <c r="J1725" s="19"/>
      <c r="K1725" s="19"/>
      <c r="L1725" s="19"/>
      <c r="M1725" s="19"/>
      <c r="N1725" s="19"/>
      <c r="O1725" s="19"/>
      <c r="P1725" s="19"/>
      <c r="Q1725" s="19"/>
      <c r="R1725" s="19"/>
      <c r="S1725" s="19"/>
      <c r="T1725" s="19"/>
      <c r="U1725" s="19"/>
      <c r="V1725" s="19"/>
      <c r="W1725" s="19"/>
      <c r="X1725" s="19"/>
      <c r="Y1725" s="19"/>
      <c r="Z1725" s="19"/>
      <c r="AA1725" s="19"/>
      <c r="AB1725" s="19"/>
      <c r="AC1725" s="19"/>
    </row>
    <row r="1726" spans="2:29" x14ac:dyDescent="0.25">
      <c r="B1726" s="19"/>
      <c r="C1726" s="19"/>
      <c r="D1726" s="19"/>
      <c r="E1726" s="19"/>
      <c r="F1726" s="19"/>
      <c r="G1726" s="19"/>
      <c r="H1726" s="19"/>
      <c r="I1726" s="19"/>
      <c r="J1726" s="19"/>
      <c r="K1726" s="19"/>
      <c r="L1726" s="19"/>
      <c r="M1726" s="19"/>
      <c r="N1726" s="19"/>
      <c r="O1726" s="19"/>
      <c r="P1726" s="19"/>
      <c r="Q1726" s="19"/>
      <c r="R1726" s="19"/>
      <c r="S1726" s="19"/>
      <c r="T1726" s="19"/>
      <c r="U1726" s="19"/>
      <c r="V1726" s="19"/>
      <c r="W1726" s="19"/>
      <c r="X1726" s="19"/>
      <c r="Y1726" s="19"/>
      <c r="Z1726" s="19"/>
      <c r="AA1726" s="19"/>
      <c r="AB1726" s="19"/>
      <c r="AC1726" s="19"/>
    </row>
    <row r="1727" spans="2:29" x14ac:dyDescent="0.25">
      <c r="B1727" s="19"/>
      <c r="C1727" s="19"/>
      <c r="D1727" s="19"/>
      <c r="E1727" s="19"/>
      <c r="F1727" s="19"/>
      <c r="G1727" s="19"/>
      <c r="H1727" s="19"/>
      <c r="I1727" s="19"/>
      <c r="J1727" s="19"/>
      <c r="K1727" s="19"/>
      <c r="L1727" s="19"/>
      <c r="M1727" s="19"/>
      <c r="N1727" s="19"/>
      <c r="O1727" s="19"/>
      <c r="P1727" s="19"/>
      <c r="Q1727" s="19"/>
      <c r="R1727" s="19"/>
      <c r="S1727" s="19"/>
      <c r="T1727" s="19"/>
      <c r="U1727" s="19"/>
      <c r="V1727" s="19"/>
      <c r="W1727" s="19"/>
      <c r="X1727" s="19"/>
      <c r="Y1727" s="19"/>
      <c r="Z1727" s="19"/>
      <c r="AA1727" s="19"/>
      <c r="AB1727" s="19"/>
      <c r="AC1727" s="19"/>
    </row>
    <row r="1728" spans="2:29" x14ac:dyDescent="0.25">
      <c r="B1728" s="19"/>
      <c r="C1728" s="19"/>
      <c r="D1728" s="19"/>
      <c r="E1728" s="19"/>
      <c r="F1728" s="19"/>
      <c r="G1728" s="19"/>
      <c r="H1728" s="19"/>
      <c r="I1728" s="19"/>
      <c r="J1728" s="19"/>
      <c r="K1728" s="19"/>
      <c r="L1728" s="19"/>
      <c r="M1728" s="19"/>
      <c r="N1728" s="19"/>
      <c r="O1728" s="19"/>
      <c r="P1728" s="19"/>
      <c r="Q1728" s="19"/>
      <c r="R1728" s="19"/>
      <c r="S1728" s="19"/>
      <c r="T1728" s="19"/>
      <c r="U1728" s="19"/>
      <c r="V1728" s="19"/>
      <c r="W1728" s="19"/>
      <c r="X1728" s="19"/>
      <c r="Y1728" s="19"/>
      <c r="Z1728" s="19"/>
      <c r="AA1728" s="19"/>
      <c r="AB1728" s="19"/>
      <c r="AC1728" s="19"/>
    </row>
    <row r="1729" spans="2:29" x14ac:dyDescent="0.25">
      <c r="B1729" s="19"/>
      <c r="C1729" s="19"/>
      <c r="D1729" s="19"/>
      <c r="E1729" s="19"/>
      <c r="F1729" s="19"/>
      <c r="G1729" s="19"/>
      <c r="H1729" s="19"/>
      <c r="I1729" s="19"/>
      <c r="J1729" s="19"/>
      <c r="K1729" s="19"/>
      <c r="L1729" s="19"/>
      <c r="M1729" s="19"/>
      <c r="N1729" s="19"/>
      <c r="O1729" s="19"/>
      <c r="P1729" s="19"/>
      <c r="Q1729" s="19"/>
      <c r="R1729" s="19"/>
      <c r="S1729" s="19"/>
      <c r="T1729" s="19"/>
      <c r="U1729" s="19"/>
      <c r="V1729" s="19"/>
      <c r="W1729" s="19"/>
      <c r="X1729" s="19"/>
      <c r="Y1729" s="19"/>
      <c r="Z1729" s="19"/>
      <c r="AA1729" s="19"/>
      <c r="AB1729" s="19"/>
      <c r="AC1729" s="19"/>
    </row>
    <row r="1730" spans="2:29" x14ac:dyDescent="0.25">
      <c r="B1730" s="19"/>
      <c r="C1730" s="19"/>
      <c r="D1730" s="19"/>
      <c r="E1730" s="19"/>
      <c r="F1730" s="19"/>
      <c r="G1730" s="19"/>
      <c r="H1730" s="19"/>
      <c r="I1730" s="19"/>
      <c r="J1730" s="19"/>
      <c r="K1730" s="19"/>
      <c r="L1730" s="19"/>
      <c r="M1730" s="19"/>
      <c r="N1730" s="19"/>
      <c r="O1730" s="19"/>
      <c r="P1730" s="19"/>
      <c r="Q1730" s="19"/>
      <c r="R1730" s="19"/>
      <c r="S1730" s="19"/>
      <c r="T1730" s="19"/>
      <c r="U1730" s="19"/>
      <c r="V1730" s="19"/>
      <c r="W1730" s="19"/>
      <c r="X1730" s="19"/>
      <c r="Y1730" s="19"/>
      <c r="Z1730" s="19"/>
      <c r="AA1730" s="19"/>
      <c r="AB1730" s="19"/>
      <c r="AC1730" s="19"/>
    </row>
    <row r="1731" spans="2:29" x14ac:dyDescent="0.25">
      <c r="B1731" s="19"/>
      <c r="C1731" s="19"/>
      <c r="D1731" s="19"/>
      <c r="E1731" s="19"/>
      <c r="F1731" s="19"/>
      <c r="G1731" s="19"/>
      <c r="H1731" s="19"/>
      <c r="I1731" s="19"/>
      <c r="J1731" s="19"/>
      <c r="K1731" s="19"/>
      <c r="L1731" s="19"/>
      <c r="M1731" s="19"/>
      <c r="N1731" s="19"/>
      <c r="O1731" s="19"/>
      <c r="P1731" s="19"/>
      <c r="Q1731" s="19"/>
      <c r="R1731" s="19"/>
      <c r="S1731" s="19"/>
      <c r="T1731" s="19"/>
      <c r="U1731" s="19"/>
      <c r="V1731" s="19"/>
      <c r="W1731" s="19"/>
      <c r="X1731" s="19"/>
      <c r="Y1731" s="19"/>
      <c r="Z1731" s="19"/>
      <c r="AA1731" s="19"/>
      <c r="AB1731" s="19"/>
      <c r="AC1731" s="19"/>
    </row>
    <row r="1732" spans="2:29" x14ac:dyDescent="0.25">
      <c r="B1732" s="19"/>
      <c r="C1732" s="19"/>
      <c r="D1732" s="19"/>
      <c r="E1732" s="19"/>
      <c r="F1732" s="19"/>
      <c r="G1732" s="19"/>
      <c r="H1732" s="19"/>
      <c r="I1732" s="19"/>
      <c r="J1732" s="19"/>
      <c r="K1732" s="19"/>
      <c r="L1732" s="19"/>
      <c r="M1732" s="19"/>
      <c r="N1732" s="19"/>
      <c r="O1732" s="19"/>
      <c r="P1732" s="19"/>
      <c r="Q1732" s="19"/>
      <c r="R1732" s="19"/>
      <c r="S1732" s="19"/>
      <c r="T1732" s="19"/>
      <c r="U1732" s="19"/>
      <c r="V1732" s="19"/>
      <c r="W1732" s="19"/>
      <c r="X1732" s="19"/>
      <c r="Y1732" s="19"/>
      <c r="Z1732" s="19"/>
      <c r="AA1732" s="19"/>
      <c r="AB1732" s="19"/>
      <c r="AC1732" s="19"/>
    </row>
    <row r="1733" spans="2:29" x14ac:dyDescent="0.25">
      <c r="B1733" s="19"/>
      <c r="C1733" s="19"/>
      <c r="D1733" s="19"/>
      <c r="E1733" s="19"/>
      <c r="F1733" s="19"/>
      <c r="G1733" s="19"/>
      <c r="H1733" s="19"/>
      <c r="I1733" s="19"/>
      <c r="J1733" s="19"/>
      <c r="K1733" s="19"/>
      <c r="L1733" s="19"/>
      <c r="M1733" s="19"/>
      <c r="N1733" s="19"/>
      <c r="O1733" s="19"/>
      <c r="P1733" s="19"/>
      <c r="Q1733" s="19"/>
      <c r="R1733" s="19"/>
      <c r="S1733" s="19"/>
      <c r="T1733" s="19"/>
      <c r="U1733" s="19"/>
      <c r="V1733" s="19"/>
      <c r="W1733" s="19"/>
      <c r="X1733" s="19"/>
      <c r="Y1733" s="19"/>
      <c r="Z1733" s="19"/>
      <c r="AA1733" s="19"/>
      <c r="AB1733" s="19"/>
      <c r="AC1733" s="19"/>
    </row>
    <row r="1734" spans="2:29" x14ac:dyDescent="0.25">
      <c r="B1734" s="19"/>
      <c r="C1734" s="19"/>
      <c r="D1734" s="19"/>
      <c r="E1734" s="19"/>
      <c r="F1734" s="19"/>
      <c r="G1734" s="19"/>
      <c r="H1734" s="19"/>
      <c r="I1734" s="19"/>
      <c r="J1734" s="19"/>
      <c r="K1734" s="19"/>
      <c r="L1734" s="19"/>
      <c r="M1734" s="19"/>
      <c r="N1734" s="19"/>
      <c r="O1734" s="19"/>
      <c r="P1734" s="19"/>
      <c r="Q1734" s="19"/>
      <c r="R1734" s="19"/>
      <c r="S1734" s="19"/>
      <c r="T1734" s="19"/>
      <c r="U1734" s="19"/>
      <c r="V1734" s="19"/>
      <c r="W1734" s="19"/>
      <c r="X1734" s="19"/>
      <c r="Y1734" s="19"/>
      <c r="Z1734" s="19"/>
      <c r="AA1734" s="19"/>
      <c r="AB1734" s="19"/>
      <c r="AC1734" s="19"/>
    </row>
    <row r="1735" spans="2:29" x14ac:dyDescent="0.25">
      <c r="B1735" s="19"/>
      <c r="C1735" s="19"/>
      <c r="D1735" s="19"/>
      <c r="E1735" s="19"/>
      <c r="F1735" s="19"/>
      <c r="G1735" s="19"/>
      <c r="H1735" s="19"/>
      <c r="I1735" s="19"/>
      <c r="J1735" s="19"/>
      <c r="K1735" s="19"/>
      <c r="L1735" s="19"/>
      <c r="M1735" s="19"/>
      <c r="N1735" s="19"/>
      <c r="O1735" s="19"/>
      <c r="P1735" s="19"/>
      <c r="Q1735" s="19"/>
      <c r="R1735" s="19"/>
      <c r="S1735" s="19"/>
      <c r="T1735" s="19"/>
      <c r="U1735" s="19"/>
      <c r="V1735" s="19"/>
      <c r="W1735" s="19"/>
      <c r="X1735" s="19"/>
      <c r="Y1735" s="19"/>
      <c r="Z1735" s="19"/>
      <c r="AA1735" s="19"/>
      <c r="AB1735" s="19"/>
      <c r="AC1735" s="19"/>
    </row>
    <row r="1736" spans="2:29" x14ac:dyDescent="0.25">
      <c r="B1736" s="19"/>
      <c r="C1736" s="19"/>
      <c r="D1736" s="19"/>
      <c r="E1736" s="19"/>
      <c r="F1736" s="19"/>
      <c r="G1736" s="19"/>
      <c r="H1736" s="19"/>
      <c r="I1736" s="19"/>
      <c r="J1736" s="19"/>
      <c r="K1736" s="19"/>
      <c r="L1736" s="19"/>
      <c r="M1736" s="19"/>
      <c r="N1736" s="19"/>
      <c r="O1736" s="19"/>
      <c r="P1736" s="19"/>
      <c r="Q1736" s="19"/>
      <c r="R1736" s="19"/>
      <c r="S1736" s="19"/>
      <c r="T1736" s="19"/>
      <c r="U1736" s="19"/>
      <c r="V1736" s="19"/>
      <c r="W1736" s="19"/>
      <c r="X1736" s="19"/>
      <c r="Y1736" s="19"/>
      <c r="Z1736" s="19"/>
      <c r="AA1736" s="19"/>
      <c r="AB1736" s="19"/>
      <c r="AC1736" s="19"/>
    </row>
    <row r="1737" spans="2:29" x14ac:dyDescent="0.25">
      <c r="B1737" s="19"/>
      <c r="C1737" s="19"/>
      <c r="D1737" s="19"/>
      <c r="E1737" s="19"/>
      <c r="F1737" s="19"/>
      <c r="G1737" s="19"/>
      <c r="H1737" s="19"/>
      <c r="I1737" s="19"/>
      <c r="J1737" s="19"/>
      <c r="K1737" s="19"/>
      <c r="L1737" s="19"/>
      <c r="M1737" s="19"/>
      <c r="N1737" s="19"/>
      <c r="O1737" s="19"/>
      <c r="P1737" s="19"/>
      <c r="Q1737" s="19"/>
      <c r="R1737" s="19"/>
      <c r="S1737" s="19"/>
      <c r="T1737" s="19"/>
      <c r="U1737" s="19"/>
      <c r="V1737" s="19"/>
      <c r="W1737" s="19"/>
      <c r="X1737" s="19"/>
      <c r="Y1737" s="19"/>
      <c r="Z1737" s="19"/>
      <c r="AA1737" s="19"/>
      <c r="AB1737" s="19"/>
      <c r="AC1737" s="19"/>
    </row>
    <row r="1738" spans="2:29" x14ac:dyDescent="0.25">
      <c r="B1738" s="19"/>
      <c r="C1738" s="19"/>
      <c r="D1738" s="19"/>
      <c r="E1738" s="19"/>
      <c r="F1738" s="19"/>
      <c r="G1738" s="19"/>
      <c r="H1738" s="19"/>
      <c r="I1738" s="19"/>
      <c r="J1738" s="19"/>
      <c r="K1738" s="19"/>
      <c r="L1738" s="19"/>
      <c r="M1738" s="19"/>
      <c r="N1738" s="19"/>
      <c r="O1738" s="19"/>
      <c r="P1738" s="19"/>
      <c r="Q1738" s="19"/>
      <c r="R1738" s="19"/>
      <c r="S1738" s="19"/>
      <c r="T1738" s="19"/>
      <c r="U1738" s="19"/>
      <c r="V1738" s="19"/>
      <c r="W1738" s="19"/>
      <c r="X1738" s="19"/>
      <c r="Y1738" s="19"/>
      <c r="Z1738" s="19"/>
      <c r="AA1738" s="19"/>
      <c r="AB1738" s="19"/>
      <c r="AC1738" s="19"/>
    </row>
    <row r="1739" spans="2:29" x14ac:dyDescent="0.25">
      <c r="B1739" s="19"/>
      <c r="C1739" s="19"/>
      <c r="D1739" s="19"/>
      <c r="E1739" s="19"/>
      <c r="F1739" s="19"/>
      <c r="G1739" s="19"/>
      <c r="H1739" s="19"/>
      <c r="I1739" s="19"/>
      <c r="J1739" s="19"/>
      <c r="K1739" s="19"/>
      <c r="L1739" s="19"/>
      <c r="M1739" s="19"/>
      <c r="N1739" s="19"/>
      <c r="O1739" s="19"/>
      <c r="P1739" s="19"/>
      <c r="Q1739" s="19"/>
      <c r="R1739" s="19"/>
      <c r="S1739" s="19"/>
      <c r="T1739" s="19"/>
      <c r="U1739" s="19"/>
      <c r="V1739" s="19"/>
      <c r="W1739" s="19"/>
      <c r="X1739" s="19"/>
      <c r="Y1739" s="19"/>
      <c r="Z1739" s="19"/>
      <c r="AA1739" s="19"/>
      <c r="AB1739" s="19"/>
      <c r="AC1739" s="19"/>
    </row>
    <row r="1740" spans="2:29" x14ac:dyDescent="0.25">
      <c r="B1740" s="19"/>
      <c r="C1740" s="19"/>
      <c r="D1740" s="19"/>
      <c r="E1740" s="19"/>
      <c r="F1740" s="19"/>
      <c r="G1740" s="19"/>
      <c r="H1740" s="19"/>
      <c r="I1740" s="19"/>
      <c r="J1740" s="19"/>
      <c r="K1740" s="19"/>
      <c r="L1740" s="19"/>
      <c r="M1740" s="19"/>
      <c r="N1740" s="19"/>
      <c r="O1740" s="19"/>
      <c r="P1740" s="19"/>
      <c r="Q1740" s="19"/>
      <c r="R1740" s="19"/>
      <c r="S1740" s="19"/>
      <c r="T1740" s="19"/>
      <c r="U1740" s="19"/>
      <c r="V1740" s="19"/>
      <c r="W1740" s="19"/>
      <c r="X1740" s="19"/>
      <c r="Y1740" s="19"/>
      <c r="Z1740" s="19"/>
      <c r="AA1740" s="19"/>
      <c r="AB1740" s="19"/>
      <c r="AC1740" s="19"/>
    </row>
    <row r="1741" spans="2:29" x14ac:dyDescent="0.25">
      <c r="B1741" s="19"/>
      <c r="C1741" s="19"/>
      <c r="D1741" s="19"/>
      <c r="E1741" s="19"/>
      <c r="F1741" s="19"/>
      <c r="G1741" s="19"/>
      <c r="H1741" s="19"/>
      <c r="I1741" s="19"/>
      <c r="J1741" s="19"/>
      <c r="K1741" s="19"/>
      <c r="L1741" s="19"/>
      <c r="M1741" s="19"/>
      <c r="N1741" s="19"/>
      <c r="O1741" s="19"/>
      <c r="P1741" s="19"/>
      <c r="Q1741" s="19"/>
      <c r="R1741" s="19"/>
      <c r="S1741" s="19"/>
      <c r="T1741" s="19"/>
      <c r="U1741" s="19"/>
      <c r="V1741" s="19"/>
      <c r="W1741" s="19"/>
      <c r="X1741" s="19"/>
      <c r="Y1741" s="19"/>
      <c r="Z1741" s="19"/>
      <c r="AA1741" s="19"/>
      <c r="AB1741" s="19"/>
      <c r="AC1741" s="19"/>
    </row>
    <row r="1742" spans="2:29" x14ac:dyDescent="0.25">
      <c r="B1742" s="19"/>
      <c r="C1742" s="19"/>
      <c r="D1742" s="19"/>
      <c r="E1742" s="19"/>
      <c r="F1742" s="19"/>
      <c r="G1742" s="19"/>
      <c r="H1742" s="19"/>
      <c r="I1742" s="19"/>
      <c r="J1742" s="19"/>
      <c r="K1742" s="19"/>
      <c r="L1742" s="19"/>
      <c r="M1742" s="19"/>
      <c r="N1742" s="19"/>
      <c r="O1742" s="19"/>
      <c r="P1742" s="19"/>
      <c r="Q1742" s="19"/>
      <c r="R1742" s="19"/>
      <c r="S1742" s="19"/>
      <c r="T1742" s="19"/>
      <c r="U1742" s="19"/>
      <c r="V1742" s="19"/>
      <c r="W1742" s="19"/>
      <c r="X1742" s="19"/>
      <c r="Y1742" s="19"/>
      <c r="Z1742" s="19"/>
      <c r="AA1742" s="19"/>
      <c r="AB1742" s="19"/>
      <c r="AC1742" s="19"/>
    </row>
    <row r="1743" spans="2:29" x14ac:dyDescent="0.25">
      <c r="B1743" s="19"/>
      <c r="C1743" s="19"/>
      <c r="D1743" s="19"/>
      <c r="E1743" s="19"/>
      <c r="F1743" s="19"/>
      <c r="G1743" s="19"/>
      <c r="H1743" s="19"/>
      <c r="I1743" s="19"/>
      <c r="J1743" s="19"/>
      <c r="K1743" s="19"/>
      <c r="L1743" s="19"/>
      <c r="M1743" s="19"/>
      <c r="N1743" s="19"/>
      <c r="O1743" s="19"/>
      <c r="P1743" s="19"/>
      <c r="Q1743" s="19"/>
      <c r="R1743" s="19"/>
      <c r="S1743" s="19"/>
      <c r="T1743" s="19"/>
      <c r="U1743" s="19"/>
      <c r="V1743" s="19"/>
      <c r="W1743" s="19"/>
      <c r="X1743" s="19"/>
      <c r="Y1743" s="19"/>
      <c r="Z1743" s="19"/>
      <c r="AA1743" s="19"/>
      <c r="AB1743" s="19"/>
      <c r="AC1743" s="19"/>
    </row>
    <row r="1744" spans="2:29" x14ac:dyDescent="0.25">
      <c r="B1744" s="19"/>
      <c r="C1744" s="19"/>
      <c r="D1744" s="19"/>
      <c r="E1744" s="19"/>
      <c r="F1744" s="19"/>
      <c r="G1744" s="19"/>
      <c r="H1744" s="19"/>
      <c r="I1744" s="19"/>
      <c r="J1744" s="19"/>
      <c r="K1744" s="19"/>
      <c r="L1744" s="19"/>
      <c r="M1744" s="19"/>
      <c r="N1744" s="19"/>
      <c r="O1744" s="19"/>
      <c r="P1744" s="19"/>
      <c r="Q1744" s="19"/>
      <c r="R1744" s="19"/>
      <c r="S1744" s="19"/>
      <c r="T1744" s="19"/>
      <c r="U1744" s="19"/>
      <c r="V1744" s="19"/>
      <c r="W1744" s="19"/>
      <c r="X1744" s="19"/>
      <c r="Y1744" s="19"/>
      <c r="Z1744" s="19"/>
      <c r="AA1744" s="19"/>
      <c r="AB1744" s="19"/>
      <c r="AC1744" s="19"/>
    </row>
    <row r="1745" spans="2:29" x14ac:dyDescent="0.25">
      <c r="B1745" s="19"/>
      <c r="C1745" s="19"/>
      <c r="D1745" s="19"/>
      <c r="E1745" s="19"/>
      <c r="F1745" s="19"/>
      <c r="G1745" s="19"/>
      <c r="H1745" s="19"/>
      <c r="I1745" s="19"/>
      <c r="J1745" s="19"/>
      <c r="K1745" s="19"/>
      <c r="L1745" s="19"/>
      <c r="M1745" s="19"/>
      <c r="N1745" s="19"/>
      <c r="O1745" s="19"/>
      <c r="P1745" s="19"/>
      <c r="Q1745" s="19"/>
      <c r="R1745" s="19"/>
      <c r="S1745" s="19"/>
      <c r="T1745" s="19"/>
      <c r="U1745" s="19"/>
      <c r="V1745" s="19"/>
      <c r="W1745" s="19"/>
      <c r="X1745" s="19"/>
      <c r="Y1745" s="19"/>
      <c r="Z1745" s="19"/>
      <c r="AA1745" s="19"/>
      <c r="AB1745" s="19"/>
      <c r="AC1745" s="19"/>
    </row>
    <row r="1746" spans="2:29" x14ac:dyDescent="0.25">
      <c r="B1746" s="19"/>
      <c r="C1746" s="19"/>
      <c r="D1746" s="19"/>
      <c r="E1746" s="19"/>
      <c r="F1746" s="19"/>
      <c r="G1746" s="19"/>
      <c r="H1746" s="19"/>
      <c r="I1746" s="19"/>
      <c r="J1746" s="19"/>
      <c r="K1746" s="19"/>
      <c r="L1746" s="19"/>
      <c r="M1746" s="19"/>
      <c r="N1746" s="19"/>
      <c r="O1746" s="19"/>
      <c r="P1746" s="19"/>
      <c r="Q1746" s="19"/>
      <c r="R1746" s="19"/>
      <c r="S1746" s="19"/>
      <c r="T1746" s="19"/>
      <c r="U1746" s="19"/>
      <c r="V1746" s="19"/>
      <c r="W1746" s="19"/>
      <c r="X1746" s="19"/>
      <c r="Y1746" s="19"/>
      <c r="Z1746" s="19"/>
      <c r="AA1746" s="19"/>
      <c r="AB1746" s="19"/>
      <c r="AC1746" s="19"/>
    </row>
    <row r="1747" spans="2:29" x14ac:dyDescent="0.25">
      <c r="B1747" s="19"/>
      <c r="C1747" s="19"/>
      <c r="D1747" s="19"/>
      <c r="E1747" s="19"/>
      <c r="F1747" s="19"/>
      <c r="G1747" s="19"/>
      <c r="H1747" s="19"/>
      <c r="I1747" s="19"/>
      <c r="J1747" s="19"/>
      <c r="K1747" s="19"/>
      <c r="L1747" s="19"/>
      <c r="M1747" s="19"/>
      <c r="N1747" s="19"/>
      <c r="O1747" s="19"/>
      <c r="P1747" s="19"/>
      <c r="Q1747" s="19"/>
      <c r="R1747" s="19"/>
      <c r="S1747" s="19"/>
      <c r="T1747" s="19"/>
      <c r="U1747" s="19"/>
      <c r="V1747" s="19"/>
      <c r="W1747" s="19"/>
      <c r="X1747" s="19"/>
      <c r="Y1747" s="19"/>
      <c r="Z1747" s="19"/>
      <c r="AA1747" s="19"/>
      <c r="AB1747" s="19"/>
      <c r="AC1747" s="19"/>
    </row>
    <row r="1748" spans="2:29" x14ac:dyDescent="0.25">
      <c r="B1748" s="19"/>
      <c r="C1748" s="19"/>
      <c r="D1748" s="19"/>
      <c r="E1748" s="19"/>
      <c r="F1748" s="19"/>
      <c r="G1748" s="19"/>
      <c r="H1748" s="19"/>
      <c r="I1748" s="19"/>
      <c r="J1748" s="19"/>
      <c r="K1748" s="19"/>
      <c r="L1748" s="19"/>
      <c r="M1748" s="19"/>
      <c r="N1748" s="19"/>
      <c r="O1748" s="19"/>
      <c r="P1748" s="19"/>
      <c r="Q1748" s="19"/>
      <c r="R1748" s="19"/>
      <c r="S1748" s="19"/>
      <c r="T1748" s="19"/>
      <c r="U1748" s="19"/>
      <c r="V1748" s="19"/>
      <c r="W1748" s="19"/>
      <c r="X1748" s="19"/>
      <c r="Y1748" s="19"/>
      <c r="Z1748" s="19"/>
      <c r="AA1748" s="19"/>
      <c r="AB1748" s="19"/>
      <c r="AC1748" s="19"/>
    </row>
    <row r="1749" spans="2:29" x14ac:dyDescent="0.25">
      <c r="B1749" s="19"/>
      <c r="C1749" s="19"/>
      <c r="D1749" s="19"/>
      <c r="E1749" s="19"/>
      <c r="F1749" s="19"/>
      <c r="G1749" s="19"/>
      <c r="H1749" s="19"/>
      <c r="I1749" s="19"/>
      <c r="J1749" s="19"/>
      <c r="K1749" s="19"/>
      <c r="L1749" s="19"/>
      <c r="M1749" s="19"/>
      <c r="N1749" s="19"/>
      <c r="O1749" s="19"/>
      <c r="P1749" s="19"/>
      <c r="Q1749" s="19"/>
      <c r="R1749" s="19"/>
      <c r="S1749" s="19"/>
      <c r="T1749" s="19"/>
      <c r="U1749" s="19"/>
      <c r="V1749" s="19"/>
      <c r="W1749" s="19"/>
      <c r="X1749" s="19"/>
      <c r="Y1749" s="19"/>
      <c r="Z1749" s="19"/>
      <c r="AA1749" s="19"/>
      <c r="AB1749" s="19"/>
      <c r="AC1749" s="19"/>
    </row>
    <row r="1750" spans="2:29" x14ac:dyDescent="0.25">
      <c r="B1750" s="19"/>
      <c r="C1750" s="19"/>
      <c r="D1750" s="19"/>
      <c r="E1750" s="19"/>
      <c r="F1750" s="19"/>
      <c r="G1750" s="19"/>
      <c r="H1750" s="19"/>
      <c r="I1750" s="19"/>
      <c r="J1750" s="19"/>
      <c r="K1750" s="19"/>
      <c r="L1750" s="19"/>
      <c r="M1750" s="19"/>
      <c r="N1750" s="19"/>
      <c r="O1750" s="19"/>
      <c r="P1750" s="19"/>
      <c r="Q1750" s="19"/>
      <c r="R1750" s="19"/>
      <c r="S1750" s="19"/>
      <c r="T1750" s="19"/>
      <c r="U1750" s="19"/>
      <c r="V1750" s="19"/>
      <c r="W1750" s="19"/>
      <c r="X1750" s="19"/>
      <c r="Y1750" s="19"/>
      <c r="Z1750" s="19"/>
      <c r="AA1750" s="19"/>
      <c r="AB1750" s="19"/>
      <c r="AC1750" s="19"/>
    </row>
    <row r="1751" spans="2:29" x14ac:dyDescent="0.25">
      <c r="B1751" s="19"/>
      <c r="C1751" s="19"/>
      <c r="D1751" s="19"/>
      <c r="E1751" s="19"/>
      <c r="F1751" s="19"/>
      <c r="G1751" s="19"/>
      <c r="H1751" s="19"/>
      <c r="I1751" s="19"/>
      <c r="J1751" s="19"/>
      <c r="K1751" s="19"/>
      <c r="L1751" s="19"/>
      <c r="M1751" s="19"/>
      <c r="N1751" s="19"/>
      <c r="O1751" s="19"/>
      <c r="P1751" s="19"/>
      <c r="Q1751" s="19"/>
      <c r="R1751" s="19"/>
      <c r="S1751" s="19"/>
      <c r="T1751" s="19"/>
      <c r="U1751" s="19"/>
      <c r="V1751" s="19"/>
      <c r="W1751" s="19"/>
      <c r="X1751" s="19"/>
      <c r="Y1751" s="19"/>
      <c r="Z1751" s="19"/>
      <c r="AA1751" s="19"/>
      <c r="AB1751" s="19"/>
      <c r="AC1751" s="19"/>
    </row>
    <row r="1752" spans="2:29" x14ac:dyDescent="0.25">
      <c r="B1752" s="19"/>
      <c r="C1752" s="19"/>
      <c r="D1752" s="19"/>
      <c r="E1752" s="19"/>
      <c r="F1752" s="19"/>
      <c r="G1752" s="19"/>
      <c r="H1752" s="19"/>
      <c r="I1752" s="19"/>
      <c r="J1752" s="19"/>
      <c r="K1752" s="19"/>
      <c r="L1752" s="19"/>
      <c r="M1752" s="19"/>
      <c r="N1752" s="19"/>
      <c r="O1752" s="19"/>
      <c r="P1752" s="19"/>
      <c r="Q1752" s="19"/>
      <c r="R1752" s="19"/>
      <c r="S1752" s="19"/>
      <c r="T1752" s="19"/>
      <c r="U1752" s="19"/>
      <c r="V1752" s="19"/>
      <c r="W1752" s="19"/>
      <c r="X1752" s="19"/>
      <c r="Y1752" s="19"/>
      <c r="Z1752" s="19"/>
      <c r="AA1752" s="19"/>
      <c r="AB1752" s="19"/>
      <c r="AC1752" s="19"/>
    </row>
    <row r="1753" spans="2:29" x14ac:dyDescent="0.25">
      <c r="B1753" s="19"/>
      <c r="C1753" s="19"/>
      <c r="D1753" s="19"/>
      <c r="E1753" s="19"/>
      <c r="F1753" s="19"/>
      <c r="G1753" s="19"/>
      <c r="H1753" s="19"/>
      <c r="I1753" s="19"/>
      <c r="J1753" s="19"/>
      <c r="K1753" s="19"/>
      <c r="L1753" s="19"/>
      <c r="M1753" s="19"/>
      <c r="N1753" s="19"/>
      <c r="O1753" s="19"/>
      <c r="P1753" s="19"/>
      <c r="Q1753" s="19"/>
      <c r="R1753" s="19"/>
      <c r="S1753" s="19"/>
      <c r="T1753" s="19"/>
      <c r="U1753" s="19"/>
      <c r="V1753" s="19"/>
      <c r="W1753" s="19"/>
      <c r="X1753" s="19"/>
      <c r="Y1753" s="19"/>
      <c r="Z1753" s="19"/>
      <c r="AA1753" s="19"/>
      <c r="AB1753" s="19"/>
      <c r="AC1753" s="19"/>
    </row>
    <row r="1754" spans="2:29" x14ac:dyDescent="0.25">
      <c r="B1754" s="19"/>
      <c r="C1754" s="19"/>
      <c r="D1754" s="19"/>
      <c r="E1754" s="19"/>
      <c r="F1754" s="19"/>
      <c r="G1754" s="19"/>
      <c r="H1754" s="19"/>
      <c r="I1754" s="19"/>
      <c r="J1754" s="19"/>
      <c r="K1754" s="19"/>
      <c r="L1754" s="19"/>
      <c r="M1754" s="19"/>
      <c r="N1754" s="19"/>
      <c r="O1754" s="19"/>
      <c r="P1754" s="19"/>
      <c r="Q1754" s="19"/>
      <c r="R1754" s="19"/>
      <c r="S1754" s="19"/>
      <c r="T1754" s="19"/>
      <c r="U1754" s="19"/>
      <c r="V1754" s="19"/>
      <c r="W1754" s="19"/>
      <c r="X1754" s="19"/>
      <c r="Y1754" s="19"/>
      <c r="Z1754" s="19"/>
      <c r="AA1754" s="19"/>
      <c r="AB1754" s="19"/>
      <c r="AC1754" s="19"/>
    </row>
    <row r="1755" spans="2:29" x14ac:dyDescent="0.25">
      <c r="B1755" s="19"/>
      <c r="C1755" s="19"/>
      <c r="D1755" s="19"/>
      <c r="E1755" s="19"/>
      <c r="F1755" s="19"/>
      <c r="G1755" s="19"/>
      <c r="H1755" s="19"/>
      <c r="I1755" s="19"/>
      <c r="J1755" s="19"/>
      <c r="K1755" s="19"/>
      <c r="L1755" s="19"/>
      <c r="M1755" s="19"/>
      <c r="N1755" s="19"/>
      <c r="O1755" s="19"/>
      <c r="P1755" s="19"/>
      <c r="Q1755" s="19"/>
      <c r="R1755" s="19"/>
      <c r="S1755" s="19"/>
      <c r="T1755" s="19"/>
      <c r="U1755" s="19"/>
      <c r="V1755" s="19"/>
      <c r="W1755" s="19"/>
      <c r="X1755" s="19"/>
      <c r="Y1755" s="19"/>
      <c r="Z1755" s="19"/>
      <c r="AA1755" s="19"/>
      <c r="AB1755" s="19"/>
      <c r="AC1755" s="19"/>
    </row>
    <row r="1756" spans="2:29" x14ac:dyDescent="0.25">
      <c r="B1756" s="19"/>
      <c r="C1756" s="19"/>
      <c r="D1756" s="19"/>
      <c r="E1756" s="19"/>
      <c r="F1756" s="19"/>
      <c r="G1756" s="19"/>
      <c r="H1756" s="19"/>
      <c r="I1756" s="19"/>
      <c r="J1756" s="19"/>
      <c r="K1756" s="19"/>
      <c r="L1756" s="19"/>
      <c r="M1756" s="19"/>
      <c r="N1756" s="19"/>
      <c r="O1756" s="19"/>
      <c r="P1756" s="19"/>
      <c r="Q1756" s="19"/>
      <c r="R1756" s="19"/>
      <c r="S1756" s="19"/>
      <c r="T1756" s="19"/>
      <c r="U1756" s="19"/>
      <c r="V1756" s="19"/>
      <c r="W1756" s="19"/>
      <c r="X1756" s="19"/>
      <c r="Y1756" s="19"/>
      <c r="Z1756" s="19"/>
      <c r="AA1756" s="19"/>
      <c r="AB1756" s="19"/>
      <c r="AC1756" s="19"/>
    </row>
    <row r="1757" spans="2:29" x14ac:dyDescent="0.25">
      <c r="B1757" s="19"/>
      <c r="C1757" s="19"/>
      <c r="D1757" s="19"/>
      <c r="E1757" s="19"/>
      <c r="F1757" s="19"/>
      <c r="G1757" s="19"/>
      <c r="H1757" s="19"/>
      <c r="I1757" s="19"/>
      <c r="J1757" s="19"/>
      <c r="K1757" s="19"/>
      <c r="L1757" s="19"/>
      <c r="M1757" s="19"/>
      <c r="N1757" s="19"/>
      <c r="O1757" s="19"/>
      <c r="P1757" s="19"/>
      <c r="Q1757" s="19"/>
      <c r="R1757" s="19"/>
      <c r="S1757" s="19"/>
      <c r="T1757" s="19"/>
      <c r="U1757" s="19"/>
      <c r="V1757" s="19"/>
      <c r="W1757" s="19"/>
      <c r="X1757" s="19"/>
      <c r="Y1757" s="19"/>
      <c r="Z1757" s="19"/>
      <c r="AA1757" s="19"/>
      <c r="AB1757" s="19"/>
      <c r="AC1757" s="19"/>
    </row>
    <row r="1758" spans="2:29" x14ac:dyDescent="0.25">
      <c r="B1758" s="19"/>
      <c r="C1758" s="19"/>
      <c r="D1758" s="19"/>
      <c r="E1758" s="19"/>
      <c r="F1758" s="19"/>
      <c r="G1758" s="19"/>
      <c r="H1758" s="19"/>
      <c r="I1758" s="19"/>
      <c r="J1758" s="19"/>
      <c r="K1758" s="19"/>
      <c r="L1758" s="19"/>
      <c r="M1758" s="19"/>
      <c r="N1758" s="19"/>
      <c r="O1758" s="19"/>
      <c r="P1758" s="19"/>
      <c r="Q1758" s="19"/>
      <c r="R1758" s="19"/>
      <c r="S1758" s="19"/>
      <c r="T1758" s="19"/>
      <c r="U1758" s="19"/>
      <c r="V1758" s="19"/>
      <c r="W1758" s="19"/>
      <c r="X1758" s="19"/>
      <c r="Y1758" s="19"/>
      <c r="Z1758" s="19"/>
      <c r="AA1758" s="19"/>
      <c r="AB1758" s="19"/>
      <c r="AC1758" s="19"/>
    </row>
    <row r="1759" spans="2:29" x14ac:dyDescent="0.25">
      <c r="B1759" s="19"/>
      <c r="C1759" s="19"/>
      <c r="D1759" s="19"/>
      <c r="E1759" s="19"/>
      <c r="F1759" s="19"/>
      <c r="G1759" s="19"/>
      <c r="H1759" s="19"/>
      <c r="I1759" s="19"/>
      <c r="J1759" s="19"/>
      <c r="K1759" s="19"/>
      <c r="L1759" s="19"/>
      <c r="M1759" s="19"/>
      <c r="N1759" s="19"/>
      <c r="O1759" s="19"/>
      <c r="P1759" s="19"/>
      <c r="Q1759" s="19"/>
      <c r="R1759" s="19"/>
      <c r="S1759" s="19"/>
      <c r="T1759" s="19"/>
      <c r="U1759" s="19"/>
      <c r="V1759" s="19"/>
      <c r="W1759" s="19"/>
      <c r="X1759" s="19"/>
      <c r="Y1759" s="19"/>
      <c r="Z1759" s="19"/>
      <c r="AA1759" s="19"/>
      <c r="AB1759" s="19"/>
      <c r="AC1759" s="19"/>
    </row>
    <row r="1760" spans="2:29" x14ac:dyDescent="0.25">
      <c r="B1760" s="19"/>
      <c r="C1760" s="19"/>
      <c r="D1760" s="19"/>
      <c r="E1760" s="19"/>
      <c r="F1760" s="19"/>
      <c r="G1760" s="19"/>
      <c r="H1760" s="19"/>
      <c r="I1760" s="19"/>
      <c r="J1760" s="19"/>
      <c r="K1760" s="19"/>
      <c r="L1760" s="19"/>
      <c r="M1760" s="19"/>
      <c r="N1760" s="19"/>
      <c r="O1760" s="19"/>
      <c r="P1760" s="19"/>
      <c r="Q1760" s="19"/>
      <c r="R1760" s="19"/>
      <c r="S1760" s="19"/>
      <c r="T1760" s="19"/>
      <c r="U1760" s="19"/>
      <c r="V1760" s="19"/>
      <c r="W1760" s="19"/>
      <c r="X1760" s="19"/>
      <c r="Y1760" s="19"/>
      <c r="Z1760" s="19"/>
      <c r="AA1760" s="19"/>
      <c r="AB1760" s="19"/>
      <c r="AC1760" s="19"/>
    </row>
    <row r="1761" spans="2:29" x14ac:dyDescent="0.25">
      <c r="B1761" s="19"/>
      <c r="C1761" s="19"/>
      <c r="D1761" s="19"/>
      <c r="E1761" s="19"/>
      <c r="F1761" s="19"/>
      <c r="G1761" s="19"/>
      <c r="H1761" s="19"/>
      <c r="I1761" s="19"/>
      <c r="J1761" s="19"/>
      <c r="K1761" s="19"/>
      <c r="L1761" s="19"/>
      <c r="M1761" s="19"/>
      <c r="N1761" s="19"/>
      <c r="O1761" s="19"/>
      <c r="P1761" s="19"/>
      <c r="Q1761" s="19"/>
      <c r="R1761" s="19"/>
      <c r="S1761" s="19"/>
      <c r="T1761" s="19"/>
      <c r="U1761" s="19"/>
      <c r="V1761" s="19"/>
      <c r="W1761" s="19"/>
      <c r="X1761" s="19"/>
      <c r="Y1761" s="19"/>
      <c r="Z1761" s="19"/>
      <c r="AA1761" s="19"/>
      <c r="AB1761" s="19"/>
      <c r="AC1761" s="19"/>
    </row>
    <row r="1762" spans="2:29" x14ac:dyDescent="0.25">
      <c r="B1762" s="19"/>
      <c r="C1762" s="19"/>
      <c r="D1762" s="19"/>
      <c r="E1762" s="19"/>
      <c r="F1762" s="19"/>
      <c r="G1762" s="19"/>
      <c r="H1762" s="19"/>
      <c r="I1762" s="19"/>
      <c r="J1762" s="19"/>
      <c r="K1762" s="19"/>
      <c r="L1762" s="19"/>
      <c r="M1762" s="19"/>
      <c r="N1762" s="19"/>
      <c r="O1762" s="19"/>
      <c r="P1762" s="19"/>
      <c r="Q1762" s="19"/>
      <c r="R1762" s="19"/>
      <c r="S1762" s="19"/>
      <c r="T1762" s="19"/>
      <c r="U1762" s="19"/>
      <c r="V1762" s="19"/>
      <c r="W1762" s="19"/>
      <c r="X1762" s="19"/>
      <c r="Y1762" s="19"/>
      <c r="Z1762" s="19"/>
      <c r="AA1762" s="19"/>
      <c r="AB1762" s="19"/>
      <c r="AC1762" s="19"/>
    </row>
    <row r="1763" spans="2:29" x14ac:dyDescent="0.25">
      <c r="B1763" s="19"/>
      <c r="C1763" s="19"/>
      <c r="D1763" s="19"/>
      <c r="E1763" s="19"/>
      <c r="F1763" s="19"/>
      <c r="G1763" s="19"/>
      <c r="H1763" s="19"/>
      <c r="I1763" s="19"/>
      <c r="J1763" s="19"/>
      <c r="K1763" s="19"/>
      <c r="L1763" s="19"/>
      <c r="M1763" s="19"/>
      <c r="N1763" s="19"/>
      <c r="O1763" s="19"/>
      <c r="P1763" s="19"/>
      <c r="Q1763" s="19"/>
      <c r="R1763" s="19"/>
      <c r="S1763" s="19"/>
      <c r="T1763" s="19"/>
      <c r="U1763" s="19"/>
      <c r="V1763" s="19"/>
      <c r="W1763" s="19"/>
      <c r="X1763" s="19"/>
      <c r="Y1763" s="19"/>
      <c r="Z1763" s="19"/>
      <c r="AA1763" s="19"/>
      <c r="AB1763" s="19"/>
      <c r="AC1763" s="19"/>
    </row>
    <row r="1764" spans="2:29" x14ac:dyDescent="0.25">
      <c r="B1764" s="19"/>
      <c r="C1764" s="19"/>
      <c r="D1764" s="19"/>
      <c r="E1764" s="19"/>
      <c r="F1764" s="19"/>
      <c r="G1764" s="19"/>
      <c r="H1764" s="19"/>
      <c r="I1764" s="19"/>
      <c r="J1764" s="19"/>
      <c r="K1764" s="19"/>
      <c r="L1764" s="19"/>
      <c r="M1764" s="19"/>
      <c r="N1764" s="19"/>
      <c r="O1764" s="19"/>
      <c r="P1764" s="19"/>
      <c r="Q1764" s="19"/>
      <c r="R1764" s="19"/>
      <c r="S1764" s="19"/>
      <c r="T1764" s="19"/>
      <c r="U1764" s="19"/>
      <c r="V1764" s="19"/>
      <c r="W1764" s="19"/>
      <c r="X1764" s="19"/>
      <c r="Y1764" s="19"/>
      <c r="Z1764" s="19"/>
      <c r="AA1764" s="19"/>
      <c r="AB1764" s="19"/>
      <c r="AC1764" s="19"/>
    </row>
    <row r="1765" spans="2:29" x14ac:dyDescent="0.25">
      <c r="B1765" s="19"/>
      <c r="C1765" s="19"/>
      <c r="D1765" s="19"/>
      <c r="E1765" s="19"/>
      <c r="F1765" s="19"/>
      <c r="G1765" s="19"/>
      <c r="H1765" s="19"/>
      <c r="I1765" s="19"/>
      <c r="J1765" s="19"/>
      <c r="K1765" s="19"/>
      <c r="L1765" s="19"/>
      <c r="M1765" s="19"/>
      <c r="N1765" s="19"/>
      <c r="O1765" s="19"/>
      <c r="P1765" s="19"/>
      <c r="Q1765" s="19"/>
      <c r="R1765" s="19"/>
      <c r="S1765" s="19"/>
      <c r="T1765" s="19"/>
      <c r="U1765" s="19"/>
      <c r="V1765" s="19"/>
      <c r="W1765" s="19"/>
      <c r="X1765" s="19"/>
      <c r="Y1765" s="19"/>
      <c r="Z1765" s="19"/>
      <c r="AA1765" s="19"/>
      <c r="AB1765" s="19"/>
      <c r="AC1765" s="19"/>
    </row>
    <row r="1766" spans="2:29" x14ac:dyDescent="0.25">
      <c r="B1766" s="19"/>
      <c r="C1766" s="19"/>
      <c r="D1766" s="19"/>
      <c r="E1766" s="19"/>
      <c r="F1766" s="19"/>
      <c r="G1766" s="19"/>
      <c r="H1766" s="19"/>
      <c r="I1766" s="19"/>
      <c r="J1766" s="19"/>
      <c r="K1766" s="19"/>
      <c r="L1766" s="19"/>
      <c r="M1766" s="19"/>
      <c r="N1766" s="19"/>
      <c r="O1766" s="19"/>
      <c r="P1766" s="19"/>
      <c r="Q1766" s="19"/>
      <c r="R1766" s="19"/>
      <c r="S1766" s="19"/>
      <c r="T1766" s="19"/>
      <c r="U1766" s="19"/>
      <c r="V1766" s="19"/>
      <c r="W1766" s="19"/>
      <c r="X1766" s="19"/>
      <c r="Y1766" s="19"/>
      <c r="Z1766" s="19"/>
      <c r="AA1766" s="19"/>
      <c r="AB1766" s="19"/>
      <c r="AC1766" s="19"/>
    </row>
    <row r="1767" spans="2:29" x14ac:dyDescent="0.25">
      <c r="B1767" s="19"/>
      <c r="C1767" s="19"/>
      <c r="D1767" s="19"/>
      <c r="E1767" s="19"/>
      <c r="F1767" s="19"/>
      <c r="G1767" s="19"/>
      <c r="H1767" s="19"/>
      <c r="I1767" s="19"/>
      <c r="J1767" s="19"/>
      <c r="K1767" s="19"/>
      <c r="L1767" s="19"/>
      <c r="M1767" s="19"/>
      <c r="N1767" s="19"/>
      <c r="O1767" s="19"/>
      <c r="P1767" s="19"/>
      <c r="Q1767" s="19"/>
      <c r="R1767" s="19"/>
      <c r="S1767" s="19"/>
      <c r="T1767" s="19"/>
      <c r="U1767" s="19"/>
      <c r="V1767" s="19"/>
      <c r="W1767" s="19"/>
      <c r="X1767" s="19"/>
      <c r="Y1767" s="19"/>
      <c r="Z1767" s="19"/>
      <c r="AA1767" s="19"/>
      <c r="AB1767" s="19"/>
      <c r="AC1767" s="19"/>
    </row>
    <row r="1768" spans="2:29" x14ac:dyDescent="0.25">
      <c r="B1768" s="19"/>
      <c r="C1768" s="19"/>
      <c r="D1768" s="19"/>
      <c r="E1768" s="19"/>
      <c r="F1768" s="19"/>
      <c r="G1768" s="19"/>
      <c r="H1768" s="19"/>
      <c r="I1768" s="19"/>
      <c r="J1768" s="19"/>
      <c r="K1768" s="19"/>
      <c r="L1768" s="19"/>
      <c r="M1768" s="19"/>
      <c r="N1768" s="19"/>
      <c r="O1768" s="19"/>
      <c r="P1768" s="19"/>
      <c r="Q1768" s="19"/>
      <c r="R1768" s="19"/>
      <c r="S1768" s="19"/>
      <c r="T1768" s="19"/>
      <c r="U1768" s="19"/>
      <c r="V1768" s="19"/>
      <c r="W1768" s="19"/>
      <c r="X1768" s="19"/>
      <c r="Y1768" s="19"/>
      <c r="Z1768" s="19"/>
      <c r="AA1768" s="19"/>
      <c r="AB1768" s="19"/>
      <c r="AC1768" s="19"/>
    </row>
    <row r="1769" spans="2:29" x14ac:dyDescent="0.25">
      <c r="B1769" s="19"/>
      <c r="C1769" s="19"/>
      <c r="D1769" s="19"/>
      <c r="E1769" s="19"/>
      <c r="F1769" s="19"/>
      <c r="G1769" s="19"/>
      <c r="H1769" s="19"/>
      <c r="I1769" s="19"/>
      <c r="J1769" s="19"/>
      <c r="K1769" s="19"/>
      <c r="L1769" s="19"/>
      <c r="M1769" s="19"/>
      <c r="N1769" s="19"/>
      <c r="O1769" s="19"/>
      <c r="P1769" s="19"/>
      <c r="Q1769" s="19"/>
      <c r="R1769" s="19"/>
      <c r="S1769" s="19"/>
      <c r="T1769" s="19"/>
      <c r="U1769" s="19"/>
      <c r="V1769" s="19"/>
      <c r="W1769" s="19"/>
      <c r="X1769" s="19"/>
      <c r="Y1769" s="19"/>
      <c r="Z1769" s="19"/>
      <c r="AA1769" s="19"/>
      <c r="AB1769" s="19"/>
      <c r="AC1769" s="19"/>
    </row>
    <row r="1770" spans="2:29" x14ac:dyDescent="0.25">
      <c r="B1770" s="19"/>
      <c r="C1770" s="19"/>
      <c r="D1770" s="19"/>
      <c r="E1770" s="19"/>
      <c r="F1770" s="19"/>
      <c r="G1770" s="19"/>
      <c r="H1770" s="19"/>
      <c r="I1770" s="19"/>
      <c r="J1770" s="19"/>
      <c r="K1770" s="19"/>
      <c r="L1770" s="19"/>
      <c r="M1770" s="19"/>
      <c r="N1770" s="19"/>
      <c r="O1770" s="19"/>
      <c r="P1770" s="19"/>
      <c r="Q1770" s="19"/>
      <c r="R1770" s="19"/>
      <c r="S1770" s="19"/>
      <c r="T1770" s="19"/>
      <c r="U1770" s="19"/>
      <c r="V1770" s="19"/>
      <c r="W1770" s="19"/>
      <c r="X1770" s="19"/>
      <c r="Y1770" s="19"/>
      <c r="Z1770" s="19"/>
      <c r="AA1770" s="19"/>
      <c r="AB1770" s="19"/>
      <c r="AC1770" s="19"/>
    </row>
    <row r="1771" spans="2:29" x14ac:dyDescent="0.25">
      <c r="B1771" s="19"/>
      <c r="C1771" s="19"/>
      <c r="D1771" s="19"/>
      <c r="E1771" s="19"/>
      <c r="F1771" s="19"/>
      <c r="G1771" s="19"/>
      <c r="H1771" s="19"/>
      <c r="I1771" s="19"/>
      <c r="J1771" s="19"/>
      <c r="K1771" s="19"/>
      <c r="L1771" s="19"/>
      <c r="M1771" s="19"/>
      <c r="N1771" s="19"/>
      <c r="O1771" s="19"/>
      <c r="P1771" s="19"/>
      <c r="Q1771" s="19"/>
      <c r="R1771" s="19"/>
      <c r="S1771" s="19"/>
      <c r="T1771" s="19"/>
      <c r="U1771" s="19"/>
      <c r="V1771" s="19"/>
      <c r="W1771" s="19"/>
      <c r="X1771" s="19"/>
      <c r="Y1771" s="19"/>
      <c r="Z1771" s="19"/>
      <c r="AA1771" s="19"/>
      <c r="AB1771" s="19"/>
      <c r="AC1771" s="19"/>
    </row>
    <row r="1772" spans="2:29" x14ac:dyDescent="0.25">
      <c r="B1772" s="19"/>
      <c r="C1772" s="19"/>
      <c r="D1772" s="19"/>
      <c r="E1772" s="19"/>
      <c r="F1772" s="19"/>
      <c r="G1772" s="19"/>
      <c r="H1772" s="19"/>
      <c r="I1772" s="19"/>
      <c r="J1772" s="19"/>
      <c r="K1772" s="19"/>
      <c r="L1772" s="19"/>
      <c r="M1772" s="19"/>
      <c r="N1772" s="19"/>
      <c r="O1772" s="19"/>
      <c r="P1772" s="19"/>
      <c r="Q1772" s="19"/>
      <c r="R1772" s="19"/>
      <c r="S1772" s="19"/>
      <c r="T1772" s="19"/>
      <c r="U1772" s="19"/>
      <c r="V1772" s="19"/>
      <c r="W1772" s="19"/>
      <c r="X1772" s="19"/>
      <c r="Y1772" s="19"/>
      <c r="Z1772" s="19"/>
      <c r="AA1772" s="19"/>
      <c r="AB1772" s="19"/>
      <c r="AC1772" s="19"/>
    </row>
    <row r="1773" spans="2:29" x14ac:dyDescent="0.25">
      <c r="B1773" s="19"/>
      <c r="C1773" s="19"/>
      <c r="D1773" s="19"/>
      <c r="E1773" s="19"/>
      <c r="F1773" s="19"/>
      <c r="G1773" s="19"/>
      <c r="H1773" s="19"/>
      <c r="I1773" s="19"/>
      <c r="J1773" s="19"/>
      <c r="K1773" s="19"/>
      <c r="L1773" s="19"/>
      <c r="M1773" s="19"/>
      <c r="N1773" s="19"/>
      <c r="O1773" s="19"/>
      <c r="P1773" s="19"/>
      <c r="Q1773" s="19"/>
      <c r="R1773" s="19"/>
      <c r="S1773" s="19"/>
      <c r="T1773" s="19"/>
      <c r="U1773" s="19"/>
      <c r="V1773" s="19"/>
      <c r="W1773" s="19"/>
      <c r="X1773" s="19"/>
      <c r="Y1773" s="19"/>
      <c r="Z1773" s="19"/>
      <c r="AA1773" s="19"/>
      <c r="AB1773" s="19"/>
      <c r="AC1773" s="19"/>
    </row>
    <row r="1774" spans="2:29" x14ac:dyDescent="0.25">
      <c r="B1774" s="19"/>
      <c r="C1774" s="19"/>
      <c r="D1774" s="19"/>
      <c r="E1774" s="19"/>
      <c r="F1774" s="19"/>
      <c r="G1774" s="19"/>
      <c r="H1774" s="19"/>
      <c r="I1774" s="19"/>
      <c r="J1774" s="19"/>
      <c r="K1774" s="19"/>
      <c r="L1774" s="19"/>
      <c r="M1774" s="19"/>
      <c r="N1774" s="19"/>
      <c r="O1774" s="19"/>
      <c r="P1774" s="19"/>
      <c r="Q1774" s="19"/>
      <c r="R1774" s="19"/>
      <c r="S1774" s="19"/>
      <c r="T1774" s="19"/>
      <c r="U1774" s="19"/>
      <c r="V1774" s="19"/>
      <c r="W1774" s="19"/>
      <c r="X1774" s="19"/>
      <c r="Y1774" s="19"/>
      <c r="Z1774" s="19"/>
      <c r="AA1774" s="19"/>
      <c r="AB1774" s="19"/>
      <c r="AC1774" s="19"/>
    </row>
    <row r="1775" spans="2:29" x14ac:dyDescent="0.25">
      <c r="B1775" s="19"/>
      <c r="C1775" s="19"/>
      <c r="D1775" s="19"/>
      <c r="E1775" s="19"/>
      <c r="F1775" s="19"/>
      <c r="G1775" s="19"/>
      <c r="H1775" s="19"/>
      <c r="I1775" s="19"/>
      <c r="J1775" s="19"/>
      <c r="K1775" s="19"/>
      <c r="L1775" s="19"/>
      <c r="M1775" s="19"/>
      <c r="N1775" s="19"/>
      <c r="O1775" s="19"/>
      <c r="P1775" s="19"/>
      <c r="Q1775" s="19"/>
      <c r="R1775" s="19"/>
      <c r="S1775" s="19"/>
      <c r="T1775" s="19"/>
      <c r="U1775" s="19"/>
      <c r="V1775" s="19"/>
      <c r="W1775" s="19"/>
      <c r="X1775" s="19"/>
      <c r="Y1775" s="19"/>
      <c r="Z1775" s="19"/>
      <c r="AA1775" s="19"/>
      <c r="AB1775" s="19"/>
      <c r="AC1775" s="19"/>
    </row>
    <row r="1776" spans="2:29" x14ac:dyDescent="0.25">
      <c r="B1776" s="19"/>
      <c r="C1776" s="19"/>
      <c r="D1776" s="19"/>
      <c r="E1776" s="19"/>
      <c r="F1776" s="19"/>
      <c r="G1776" s="19"/>
      <c r="H1776" s="19"/>
      <c r="I1776" s="19"/>
      <c r="J1776" s="19"/>
      <c r="K1776" s="19"/>
      <c r="L1776" s="19"/>
      <c r="M1776" s="19"/>
      <c r="N1776" s="19"/>
      <c r="O1776" s="19"/>
      <c r="P1776" s="19"/>
      <c r="Q1776" s="19"/>
      <c r="R1776" s="19"/>
      <c r="S1776" s="19"/>
      <c r="T1776" s="19"/>
      <c r="U1776" s="19"/>
      <c r="V1776" s="19"/>
      <c r="W1776" s="19"/>
      <c r="X1776" s="19"/>
      <c r="Y1776" s="19"/>
      <c r="Z1776" s="19"/>
      <c r="AA1776" s="19"/>
      <c r="AB1776" s="19"/>
      <c r="AC1776" s="19"/>
    </row>
    <row r="1777" spans="2:29" x14ac:dyDescent="0.25">
      <c r="B1777" s="19"/>
      <c r="C1777" s="19"/>
      <c r="D1777" s="19"/>
      <c r="E1777" s="19"/>
      <c r="F1777" s="19"/>
      <c r="G1777" s="19"/>
      <c r="H1777" s="19"/>
      <c r="I1777" s="19"/>
      <c r="J1777" s="19"/>
      <c r="K1777" s="19"/>
      <c r="L1777" s="19"/>
      <c r="M1777" s="19"/>
      <c r="N1777" s="19"/>
      <c r="O1777" s="19"/>
      <c r="P1777" s="19"/>
      <c r="Q1777" s="19"/>
      <c r="R1777" s="19"/>
      <c r="S1777" s="19"/>
      <c r="T1777" s="19"/>
      <c r="U1777" s="19"/>
      <c r="V1777" s="19"/>
      <c r="W1777" s="19"/>
      <c r="X1777" s="19"/>
      <c r="Y1777" s="19"/>
      <c r="Z1777" s="19"/>
      <c r="AA1777" s="19"/>
      <c r="AB1777" s="19"/>
      <c r="AC1777" s="19"/>
    </row>
    <row r="1778" spans="2:29" x14ac:dyDescent="0.25">
      <c r="B1778" s="19"/>
      <c r="C1778" s="19"/>
      <c r="D1778" s="19"/>
      <c r="E1778" s="19"/>
      <c r="F1778" s="19"/>
      <c r="G1778" s="19"/>
      <c r="H1778" s="19"/>
      <c r="I1778" s="19"/>
      <c r="J1778" s="19"/>
      <c r="K1778" s="19"/>
      <c r="L1778" s="19"/>
      <c r="M1778" s="19"/>
      <c r="N1778" s="19"/>
      <c r="O1778" s="19"/>
      <c r="P1778" s="19"/>
      <c r="Q1778" s="19"/>
      <c r="R1778" s="19"/>
      <c r="S1778" s="19"/>
      <c r="T1778" s="19"/>
      <c r="U1778" s="19"/>
      <c r="V1778" s="19"/>
      <c r="W1778" s="19"/>
      <c r="X1778" s="19"/>
      <c r="Y1778" s="19"/>
      <c r="Z1778" s="19"/>
      <c r="AA1778" s="19"/>
      <c r="AB1778" s="19"/>
      <c r="AC1778" s="19"/>
    </row>
    <row r="1779" spans="2:29" x14ac:dyDescent="0.25">
      <c r="B1779" s="19"/>
      <c r="C1779" s="19"/>
      <c r="D1779" s="19"/>
      <c r="E1779" s="19"/>
      <c r="F1779" s="19"/>
      <c r="G1779" s="19"/>
      <c r="H1779" s="19"/>
      <c r="I1779" s="19"/>
      <c r="J1779" s="19"/>
      <c r="K1779" s="19"/>
      <c r="L1779" s="19"/>
      <c r="M1779" s="19"/>
      <c r="N1779" s="19"/>
      <c r="O1779" s="19"/>
      <c r="P1779" s="19"/>
      <c r="Q1779" s="19"/>
      <c r="R1779" s="19"/>
      <c r="S1779" s="19"/>
      <c r="T1779" s="19"/>
      <c r="U1779" s="19"/>
      <c r="V1779" s="19"/>
      <c r="W1779" s="19"/>
      <c r="X1779" s="19"/>
      <c r="Y1779" s="19"/>
      <c r="Z1779" s="19"/>
      <c r="AA1779" s="19"/>
      <c r="AB1779" s="19"/>
      <c r="AC1779" s="19"/>
    </row>
    <row r="1780" spans="2:29" x14ac:dyDescent="0.25">
      <c r="B1780" s="19"/>
      <c r="C1780" s="19"/>
      <c r="D1780" s="19"/>
      <c r="E1780" s="19"/>
      <c r="F1780" s="19"/>
      <c r="G1780" s="19"/>
      <c r="H1780" s="19"/>
      <c r="I1780" s="19"/>
      <c r="J1780" s="19"/>
      <c r="K1780" s="19"/>
      <c r="L1780" s="19"/>
      <c r="M1780" s="19"/>
      <c r="N1780" s="19"/>
      <c r="O1780" s="19"/>
      <c r="P1780" s="19"/>
      <c r="Q1780" s="19"/>
      <c r="R1780" s="19"/>
      <c r="S1780" s="19"/>
      <c r="T1780" s="19"/>
      <c r="U1780" s="19"/>
      <c r="V1780" s="19"/>
      <c r="W1780" s="19"/>
      <c r="X1780" s="19"/>
      <c r="Y1780" s="19"/>
      <c r="Z1780" s="19"/>
      <c r="AA1780" s="19"/>
      <c r="AB1780" s="19"/>
      <c r="AC1780" s="19"/>
    </row>
    <row r="1781" spans="2:29" x14ac:dyDescent="0.25">
      <c r="B1781" s="19"/>
      <c r="C1781" s="19"/>
      <c r="D1781" s="19"/>
      <c r="E1781" s="19"/>
      <c r="F1781" s="19"/>
      <c r="G1781" s="19"/>
      <c r="H1781" s="19"/>
      <c r="I1781" s="19"/>
      <c r="J1781" s="19"/>
      <c r="K1781" s="19"/>
      <c r="L1781" s="19"/>
      <c r="M1781" s="19"/>
      <c r="N1781" s="19"/>
      <c r="O1781" s="19"/>
      <c r="P1781" s="19"/>
      <c r="Q1781" s="19"/>
      <c r="R1781" s="19"/>
      <c r="S1781" s="19"/>
      <c r="T1781" s="19"/>
      <c r="U1781" s="19"/>
      <c r="V1781" s="19"/>
      <c r="W1781" s="19"/>
      <c r="X1781" s="19"/>
      <c r="Y1781" s="19"/>
      <c r="Z1781" s="19"/>
      <c r="AA1781" s="19"/>
      <c r="AB1781" s="19"/>
      <c r="AC1781" s="19"/>
    </row>
    <row r="1782" spans="2:29" x14ac:dyDescent="0.25">
      <c r="B1782" s="19"/>
      <c r="C1782" s="19"/>
      <c r="D1782" s="19"/>
      <c r="E1782" s="19"/>
      <c r="F1782" s="19"/>
      <c r="G1782" s="19"/>
      <c r="H1782" s="19"/>
      <c r="I1782" s="19"/>
      <c r="J1782" s="19"/>
      <c r="K1782" s="19"/>
      <c r="L1782" s="19"/>
      <c r="M1782" s="19"/>
      <c r="N1782" s="19"/>
      <c r="O1782" s="19"/>
      <c r="P1782" s="19"/>
      <c r="Q1782" s="19"/>
      <c r="R1782" s="19"/>
      <c r="S1782" s="19"/>
      <c r="T1782" s="19"/>
      <c r="U1782" s="19"/>
      <c r="V1782" s="19"/>
      <c r="W1782" s="19"/>
      <c r="X1782" s="19"/>
      <c r="Y1782" s="19"/>
      <c r="Z1782" s="19"/>
      <c r="AA1782" s="19"/>
      <c r="AB1782" s="19"/>
      <c r="AC1782" s="19"/>
    </row>
    <row r="1783" spans="2:29" x14ac:dyDescent="0.25">
      <c r="B1783" s="19"/>
      <c r="C1783" s="19"/>
      <c r="D1783" s="19"/>
      <c r="E1783" s="19"/>
      <c r="F1783" s="19"/>
      <c r="G1783" s="19"/>
      <c r="H1783" s="19"/>
      <c r="I1783" s="19"/>
      <c r="J1783" s="19"/>
      <c r="K1783" s="19"/>
      <c r="L1783" s="19"/>
      <c r="M1783" s="19"/>
      <c r="N1783" s="19"/>
      <c r="O1783" s="19"/>
      <c r="P1783" s="19"/>
      <c r="Q1783" s="19"/>
      <c r="R1783" s="19"/>
      <c r="S1783" s="19"/>
      <c r="T1783" s="19"/>
      <c r="U1783" s="19"/>
      <c r="V1783" s="19"/>
      <c r="W1783" s="19"/>
      <c r="X1783" s="19"/>
      <c r="Y1783" s="19"/>
      <c r="Z1783" s="19"/>
      <c r="AA1783" s="19"/>
      <c r="AB1783" s="19"/>
      <c r="AC1783" s="19"/>
    </row>
    <row r="1784" spans="2:29" x14ac:dyDescent="0.25">
      <c r="B1784" s="19"/>
      <c r="C1784" s="19"/>
      <c r="D1784" s="19"/>
      <c r="E1784" s="19"/>
      <c r="F1784" s="19"/>
      <c r="G1784" s="19"/>
      <c r="H1784" s="19"/>
      <c r="I1784" s="19"/>
      <c r="J1784" s="19"/>
      <c r="K1784" s="19"/>
      <c r="L1784" s="19"/>
      <c r="M1784" s="19"/>
      <c r="N1784" s="19"/>
      <c r="O1784" s="19"/>
      <c r="P1784" s="19"/>
      <c r="Q1784" s="19"/>
      <c r="R1784" s="19"/>
      <c r="S1784" s="19"/>
      <c r="T1784" s="19"/>
      <c r="U1784" s="19"/>
      <c r="V1784" s="19"/>
      <c r="W1784" s="19"/>
      <c r="X1784" s="19"/>
      <c r="Y1784" s="19"/>
      <c r="Z1784" s="19"/>
      <c r="AA1784" s="19"/>
      <c r="AB1784" s="19"/>
      <c r="AC1784" s="19"/>
    </row>
    <row r="1785" spans="2:29" x14ac:dyDescent="0.25">
      <c r="B1785" s="19"/>
      <c r="C1785" s="19"/>
      <c r="D1785" s="19"/>
      <c r="E1785" s="19"/>
      <c r="F1785" s="19"/>
      <c r="G1785" s="19"/>
      <c r="H1785" s="19"/>
      <c r="I1785" s="19"/>
      <c r="J1785" s="19"/>
      <c r="K1785" s="19"/>
      <c r="L1785" s="19"/>
      <c r="M1785" s="19"/>
      <c r="N1785" s="19"/>
      <c r="O1785" s="19"/>
      <c r="P1785" s="19"/>
      <c r="Q1785" s="19"/>
      <c r="R1785" s="19"/>
      <c r="S1785" s="19"/>
      <c r="T1785" s="19"/>
      <c r="U1785" s="19"/>
      <c r="V1785" s="19"/>
      <c r="W1785" s="19"/>
      <c r="X1785" s="19"/>
      <c r="Y1785" s="19"/>
      <c r="Z1785" s="19"/>
      <c r="AA1785" s="19"/>
      <c r="AB1785" s="19"/>
      <c r="AC1785" s="19"/>
    </row>
    <row r="1786" spans="2:29" x14ac:dyDescent="0.25">
      <c r="B1786" s="19"/>
      <c r="C1786" s="19"/>
      <c r="D1786" s="19"/>
      <c r="E1786" s="19"/>
      <c r="F1786" s="19"/>
      <c r="G1786" s="19"/>
      <c r="H1786" s="19"/>
      <c r="I1786" s="19"/>
      <c r="J1786" s="19"/>
      <c r="K1786" s="19"/>
      <c r="L1786" s="19"/>
      <c r="M1786" s="19"/>
      <c r="N1786" s="19"/>
      <c r="O1786" s="19"/>
      <c r="P1786" s="19"/>
      <c r="Q1786" s="19"/>
      <c r="R1786" s="19"/>
      <c r="S1786" s="19"/>
      <c r="T1786" s="19"/>
      <c r="U1786" s="19"/>
      <c r="V1786" s="19"/>
      <c r="W1786" s="19"/>
      <c r="X1786" s="19"/>
      <c r="Y1786" s="19"/>
      <c r="Z1786" s="19"/>
      <c r="AA1786" s="19"/>
      <c r="AB1786" s="19"/>
      <c r="AC1786" s="19"/>
    </row>
    <row r="1787" spans="2:29" x14ac:dyDescent="0.25">
      <c r="B1787" s="19"/>
      <c r="C1787" s="19"/>
      <c r="D1787" s="19"/>
      <c r="E1787" s="19"/>
      <c r="F1787" s="19"/>
      <c r="G1787" s="19"/>
      <c r="H1787" s="19"/>
      <c r="I1787" s="19"/>
      <c r="J1787" s="19"/>
      <c r="K1787" s="19"/>
      <c r="L1787" s="19"/>
      <c r="M1787" s="19"/>
      <c r="N1787" s="19"/>
      <c r="O1787" s="19"/>
      <c r="P1787" s="19"/>
      <c r="Q1787" s="19"/>
      <c r="R1787" s="19"/>
      <c r="S1787" s="19"/>
      <c r="T1787" s="19"/>
      <c r="U1787" s="19"/>
      <c r="V1787" s="19"/>
      <c r="W1787" s="19"/>
      <c r="X1787" s="19"/>
      <c r="Y1787" s="19"/>
      <c r="Z1787" s="19"/>
      <c r="AA1787" s="19"/>
      <c r="AB1787" s="19"/>
      <c r="AC1787" s="19"/>
    </row>
    <row r="1788" spans="2:29" x14ac:dyDescent="0.25">
      <c r="B1788" s="19"/>
      <c r="C1788" s="19"/>
      <c r="D1788" s="19"/>
      <c r="E1788" s="19"/>
      <c r="F1788" s="19"/>
      <c r="G1788" s="19"/>
      <c r="H1788" s="19"/>
      <c r="I1788" s="19"/>
      <c r="J1788" s="19"/>
      <c r="K1788" s="19"/>
      <c r="L1788" s="19"/>
      <c r="M1788" s="19"/>
      <c r="N1788" s="19"/>
      <c r="O1788" s="19"/>
      <c r="P1788" s="19"/>
      <c r="Q1788" s="19"/>
      <c r="R1788" s="19"/>
      <c r="S1788" s="19"/>
      <c r="T1788" s="19"/>
      <c r="U1788" s="19"/>
      <c r="V1788" s="19"/>
      <c r="W1788" s="19"/>
      <c r="X1788" s="19"/>
      <c r="Y1788" s="19"/>
      <c r="Z1788" s="19"/>
      <c r="AA1788" s="19"/>
      <c r="AB1788" s="19"/>
      <c r="AC1788" s="19"/>
    </row>
    <row r="1789" spans="2:29" x14ac:dyDescent="0.25">
      <c r="B1789" s="19"/>
      <c r="C1789" s="19"/>
      <c r="D1789" s="19"/>
      <c r="E1789" s="19"/>
      <c r="F1789" s="19"/>
      <c r="G1789" s="19"/>
      <c r="H1789" s="19"/>
      <c r="I1789" s="19"/>
      <c r="J1789" s="19"/>
      <c r="K1789" s="19"/>
      <c r="L1789" s="19"/>
      <c r="M1789" s="19"/>
      <c r="N1789" s="19"/>
      <c r="O1789" s="19"/>
      <c r="P1789" s="19"/>
      <c r="Q1789" s="19"/>
      <c r="R1789" s="19"/>
      <c r="S1789" s="19"/>
      <c r="T1789" s="19"/>
      <c r="U1789" s="19"/>
      <c r="V1789" s="19"/>
      <c r="W1789" s="19"/>
      <c r="X1789" s="19"/>
      <c r="Y1789" s="19"/>
      <c r="Z1789" s="19"/>
      <c r="AA1789" s="19"/>
      <c r="AB1789" s="19"/>
      <c r="AC1789" s="19"/>
    </row>
    <row r="1790" spans="2:29" x14ac:dyDescent="0.25">
      <c r="B1790" s="19"/>
      <c r="C1790" s="19"/>
      <c r="D1790" s="19"/>
      <c r="E1790" s="19"/>
      <c r="F1790" s="19"/>
      <c r="G1790" s="19"/>
      <c r="H1790" s="19"/>
      <c r="I1790" s="19"/>
      <c r="J1790" s="19"/>
      <c r="K1790" s="19"/>
      <c r="L1790" s="19"/>
      <c r="M1790" s="19"/>
      <c r="N1790" s="19"/>
      <c r="O1790" s="19"/>
      <c r="P1790" s="19"/>
      <c r="Q1790" s="19"/>
      <c r="R1790" s="19"/>
      <c r="S1790" s="19"/>
      <c r="T1790" s="19"/>
      <c r="U1790" s="19"/>
      <c r="V1790" s="19"/>
      <c r="W1790" s="19"/>
      <c r="X1790" s="19"/>
      <c r="Y1790" s="19"/>
      <c r="Z1790" s="19"/>
      <c r="AA1790" s="19"/>
      <c r="AB1790" s="19"/>
      <c r="AC1790" s="19"/>
    </row>
    <row r="1791" spans="2:29" x14ac:dyDescent="0.25">
      <c r="B1791" s="19"/>
      <c r="C1791" s="19"/>
      <c r="D1791" s="19"/>
      <c r="E1791" s="19"/>
      <c r="F1791" s="19"/>
      <c r="G1791" s="19"/>
      <c r="H1791" s="19"/>
      <c r="I1791" s="19"/>
      <c r="J1791" s="19"/>
      <c r="K1791" s="19"/>
      <c r="L1791" s="19"/>
      <c r="M1791" s="19"/>
      <c r="N1791" s="19"/>
      <c r="O1791" s="19"/>
      <c r="P1791" s="19"/>
      <c r="Q1791" s="19"/>
      <c r="R1791" s="19"/>
      <c r="S1791" s="19"/>
      <c r="T1791" s="19"/>
      <c r="U1791" s="19"/>
      <c r="V1791" s="19"/>
      <c r="W1791" s="19"/>
      <c r="X1791" s="19"/>
      <c r="Y1791" s="19"/>
      <c r="Z1791" s="19"/>
      <c r="AA1791" s="19"/>
      <c r="AB1791" s="19"/>
      <c r="AC1791" s="19"/>
    </row>
    <row r="1792" spans="2:29" x14ac:dyDescent="0.25">
      <c r="B1792" s="19"/>
      <c r="C1792" s="19"/>
      <c r="D1792" s="19"/>
      <c r="E1792" s="19"/>
      <c r="F1792" s="19"/>
      <c r="G1792" s="19"/>
      <c r="H1792" s="19"/>
      <c r="I1792" s="19"/>
      <c r="J1792" s="19"/>
      <c r="K1792" s="19"/>
      <c r="L1792" s="19"/>
      <c r="M1792" s="19"/>
      <c r="N1792" s="19"/>
      <c r="O1792" s="19"/>
      <c r="P1792" s="19"/>
      <c r="Q1792" s="19"/>
      <c r="R1792" s="19"/>
      <c r="S1792" s="19"/>
      <c r="T1792" s="19"/>
      <c r="U1792" s="19"/>
      <c r="V1792" s="19"/>
      <c r="W1792" s="19"/>
      <c r="X1792" s="19"/>
      <c r="Y1792" s="19"/>
      <c r="Z1792" s="19"/>
      <c r="AA1792" s="19"/>
      <c r="AB1792" s="19"/>
      <c r="AC1792" s="19"/>
    </row>
    <row r="1793" spans="2:29" x14ac:dyDescent="0.25">
      <c r="B1793" s="19"/>
      <c r="C1793" s="19"/>
      <c r="D1793" s="19"/>
      <c r="E1793" s="19"/>
      <c r="F1793" s="19"/>
      <c r="G1793" s="19"/>
      <c r="H1793" s="19"/>
      <c r="I1793" s="19"/>
      <c r="J1793" s="19"/>
      <c r="K1793" s="19"/>
      <c r="L1793" s="19"/>
      <c r="M1793" s="19"/>
      <c r="N1793" s="19"/>
      <c r="O1793" s="19"/>
      <c r="P1793" s="19"/>
      <c r="Q1793" s="19"/>
      <c r="R1793" s="19"/>
      <c r="S1793" s="19"/>
      <c r="T1793" s="19"/>
      <c r="U1793" s="19"/>
      <c r="V1793" s="19"/>
      <c r="W1793" s="19"/>
      <c r="X1793" s="19"/>
      <c r="Y1793" s="19"/>
      <c r="Z1793" s="19"/>
      <c r="AA1793" s="19"/>
      <c r="AB1793" s="19"/>
      <c r="AC1793" s="19"/>
    </row>
    <row r="1794" spans="2:29" x14ac:dyDescent="0.25">
      <c r="B1794" s="19"/>
      <c r="C1794" s="19"/>
      <c r="D1794" s="19"/>
      <c r="E1794" s="19"/>
      <c r="F1794" s="19"/>
      <c r="G1794" s="19"/>
      <c r="H1794" s="19"/>
      <c r="I1794" s="19"/>
      <c r="J1794" s="19"/>
      <c r="K1794" s="19"/>
      <c r="L1794" s="19"/>
      <c r="M1794" s="19"/>
      <c r="N1794" s="19"/>
      <c r="O1794" s="19"/>
      <c r="P1794" s="19"/>
      <c r="Q1794" s="19"/>
      <c r="R1794" s="19"/>
      <c r="S1794" s="19"/>
      <c r="T1794" s="19"/>
      <c r="U1794" s="19"/>
      <c r="V1794" s="19"/>
      <c r="W1794" s="19"/>
      <c r="X1794" s="19"/>
      <c r="Y1794" s="19"/>
      <c r="Z1794" s="19"/>
      <c r="AA1794" s="19"/>
      <c r="AB1794" s="19"/>
      <c r="AC1794" s="19"/>
    </row>
    <row r="1795" spans="2:29" x14ac:dyDescent="0.25">
      <c r="B1795" s="19"/>
      <c r="C1795" s="19"/>
      <c r="D1795" s="19"/>
      <c r="E1795" s="19"/>
      <c r="F1795" s="19"/>
      <c r="G1795" s="19"/>
      <c r="H1795" s="19"/>
      <c r="I1795" s="19"/>
      <c r="J1795" s="19"/>
      <c r="K1795" s="19"/>
      <c r="L1795" s="19"/>
      <c r="M1795" s="19"/>
      <c r="N1795" s="19"/>
      <c r="O1795" s="19"/>
      <c r="P1795" s="19"/>
      <c r="Q1795" s="19"/>
      <c r="R1795" s="19"/>
      <c r="S1795" s="19"/>
      <c r="T1795" s="19"/>
      <c r="U1795" s="19"/>
      <c r="V1795" s="19"/>
      <c r="W1795" s="19"/>
      <c r="X1795" s="19"/>
      <c r="Y1795" s="19"/>
      <c r="Z1795" s="19"/>
      <c r="AA1795" s="19"/>
      <c r="AB1795" s="19"/>
      <c r="AC1795" s="19"/>
    </row>
    <row r="1796" spans="2:29" x14ac:dyDescent="0.25">
      <c r="B1796" s="19"/>
      <c r="C1796" s="19"/>
      <c r="D1796" s="19"/>
      <c r="E1796" s="19"/>
      <c r="F1796" s="19"/>
      <c r="G1796" s="19"/>
      <c r="H1796" s="19"/>
      <c r="I1796" s="19"/>
      <c r="J1796" s="19"/>
      <c r="K1796" s="19"/>
      <c r="L1796" s="19"/>
      <c r="M1796" s="19"/>
      <c r="N1796" s="19"/>
      <c r="O1796" s="19"/>
      <c r="P1796" s="19"/>
      <c r="Q1796" s="19"/>
      <c r="R1796" s="19"/>
      <c r="S1796" s="19"/>
      <c r="T1796" s="19"/>
      <c r="U1796" s="19"/>
      <c r="V1796" s="19"/>
      <c r="W1796" s="19"/>
      <c r="X1796" s="19"/>
      <c r="Y1796" s="19"/>
      <c r="Z1796" s="19"/>
      <c r="AA1796" s="19"/>
      <c r="AB1796" s="19"/>
      <c r="AC1796" s="19"/>
    </row>
    <row r="1797" spans="2:29" x14ac:dyDescent="0.25">
      <c r="B1797" s="19"/>
      <c r="C1797" s="19"/>
      <c r="D1797" s="19"/>
      <c r="E1797" s="19"/>
      <c r="F1797" s="19"/>
      <c r="G1797" s="19"/>
      <c r="H1797" s="19"/>
      <c r="I1797" s="19"/>
      <c r="J1797" s="19"/>
      <c r="K1797" s="19"/>
      <c r="L1797" s="19"/>
      <c r="M1797" s="19"/>
      <c r="N1797" s="19"/>
      <c r="O1797" s="19"/>
      <c r="P1797" s="19"/>
      <c r="Q1797" s="19"/>
      <c r="R1797" s="19"/>
      <c r="S1797" s="19"/>
      <c r="T1797" s="19"/>
      <c r="U1797" s="19"/>
      <c r="V1797" s="19"/>
      <c r="W1797" s="19"/>
      <c r="X1797" s="19"/>
      <c r="Y1797" s="19"/>
      <c r="Z1797" s="19"/>
      <c r="AA1797" s="19"/>
      <c r="AB1797" s="19"/>
      <c r="AC1797" s="19"/>
    </row>
    <row r="1798" spans="2:29" x14ac:dyDescent="0.25">
      <c r="B1798" s="19"/>
      <c r="C1798" s="19"/>
      <c r="D1798" s="19"/>
      <c r="E1798" s="19"/>
      <c r="F1798" s="19"/>
      <c r="G1798" s="19"/>
      <c r="H1798" s="19"/>
      <c r="I1798" s="19"/>
      <c r="J1798" s="19"/>
      <c r="K1798" s="19"/>
      <c r="L1798" s="19"/>
      <c r="M1798" s="19"/>
      <c r="N1798" s="19"/>
      <c r="O1798" s="19"/>
      <c r="P1798" s="19"/>
      <c r="Q1798" s="19"/>
      <c r="R1798" s="19"/>
      <c r="S1798" s="19"/>
      <c r="T1798" s="19"/>
      <c r="U1798" s="19"/>
      <c r="V1798" s="19"/>
      <c r="W1798" s="19"/>
      <c r="X1798" s="19"/>
      <c r="Y1798" s="19"/>
      <c r="Z1798" s="19"/>
      <c r="AA1798" s="19"/>
      <c r="AB1798" s="19"/>
      <c r="AC1798" s="19"/>
    </row>
    <row r="1799" spans="2:29" x14ac:dyDescent="0.25">
      <c r="B1799" s="19"/>
      <c r="C1799" s="19"/>
      <c r="D1799" s="19"/>
      <c r="E1799" s="19"/>
      <c r="F1799" s="19"/>
      <c r="G1799" s="19"/>
      <c r="H1799" s="19"/>
      <c r="I1799" s="19"/>
      <c r="J1799" s="19"/>
      <c r="K1799" s="19"/>
      <c r="L1799" s="19"/>
      <c r="M1799" s="19"/>
      <c r="N1799" s="19"/>
      <c r="O1799" s="19"/>
      <c r="P1799" s="19"/>
      <c r="Q1799" s="19"/>
      <c r="R1799" s="19"/>
      <c r="S1799" s="19"/>
      <c r="T1799" s="19"/>
      <c r="U1799" s="19"/>
      <c r="V1799" s="19"/>
      <c r="W1799" s="19"/>
      <c r="X1799" s="19"/>
      <c r="Y1799" s="19"/>
      <c r="Z1799" s="19"/>
      <c r="AA1799" s="19"/>
      <c r="AB1799" s="19"/>
      <c r="AC1799" s="19"/>
    </row>
    <row r="1800" spans="2:29" x14ac:dyDescent="0.25">
      <c r="B1800" s="19"/>
      <c r="C1800" s="19"/>
      <c r="D1800" s="19"/>
      <c r="E1800" s="19"/>
      <c r="F1800" s="19"/>
      <c r="G1800" s="19"/>
      <c r="H1800" s="19"/>
      <c r="I1800" s="19"/>
      <c r="J1800" s="19"/>
      <c r="K1800" s="19"/>
      <c r="L1800" s="19"/>
      <c r="M1800" s="19"/>
      <c r="N1800" s="19"/>
      <c r="O1800" s="19"/>
      <c r="P1800" s="19"/>
      <c r="Q1800" s="19"/>
      <c r="R1800" s="19"/>
      <c r="S1800" s="19"/>
      <c r="T1800" s="19"/>
      <c r="U1800" s="19"/>
      <c r="V1800" s="19"/>
      <c r="W1800" s="19"/>
      <c r="X1800" s="19"/>
      <c r="Y1800" s="19"/>
      <c r="Z1800" s="19"/>
      <c r="AA1800" s="19"/>
      <c r="AB1800" s="19"/>
      <c r="AC1800" s="19"/>
    </row>
    <row r="1801" spans="2:29" x14ac:dyDescent="0.25">
      <c r="B1801" s="19"/>
      <c r="C1801" s="19"/>
      <c r="D1801" s="19"/>
      <c r="E1801" s="19"/>
      <c r="F1801" s="19"/>
      <c r="G1801" s="19"/>
      <c r="H1801" s="19"/>
      <c r="I1801" s="19"/>
      <c r="J1801" s="19"/>
      <c r="K1801" s="19"/>
      <c r="L1801" s="19"/>
      <c r="M1801" s="19"/>
      <c r="N1801" s="19"/>
      <c r="O1801" s="19"/>
      <c r="P1801" s="19"/>
      <c r="Q1801" s="19"/>
      <c r="R1801" s="19"/>
      <c r="S1801" s="19"/>
      <c r="T1801" s="19"/>
      <c r="U1801" s="19"/>
      <c r="V1801" s="19"/>
      <c r="W1801" s="19"/>
      <c r="X1801" s="19"/>
      <c r="Y1801" s="19"/>
      <c r="Z1801" s="19"/>
      <c r="AA1801" s="19"/>
      <c r="AB1801" s="19"/>
      <c r="AC1801" s="19"/>
    </row>
    <row r="1802" spans="2:29" x14ac:dyDescent="0.25">
      <c r="B1802" s="19"/>
      <c r="C1802" s="19"/>
      <c r="D1802" s="19"/>
      <c r="E1802" s="19"/>
      <c r="F1802" s="19"/>
      <c r="G1802" s="19"/>
      <c r="H1802" s="19"/>
      <c r="I1802" s="19"/>
      <c r="J1802" s="19"/>
      <c r="K1802" s="19"/>
      <c r="L1802" s="19"/>
      <c r="M1802" s="19"/>
      <c r="N1802" s="19"/>
      <c r="O1802" s="19"/>
      <c r="P1802" s="19"/>
      <c r="Q1802" s="19"/>
      <c r="R1802" s="19"/>
      <c r="S1802" s="19"/>
      <c r="T1802" s="19"/>
      <c r="U1802" s="19"/>
      <c r="V1802" s="19"/>
      <c r="W1802" s="19"/>
      <c r="X1802" s="19"/>
      <c r="Y1802" s="19"/>
      <c r="Z1802" s="19"/>
      <c r="AA1802" s="19"/>
      <c r="AB1802" s="19"/>
      <c r="AC1802" s="19"/>
    </row>
    <row r="1803" spans="2:29" x14ac:dyDescent="0.25">
      <c r="B1803" s="19"/>
      <c r="C1803" s="19"/>
      <c r="D1803" s="19"/>
      <c r="E1803" s="19"/>
      <c r="F1803" s="19"/>
      <c r="G1803" s="19"/>
      <c r="H1803" s="19"/>
      <c r="I1803" s="19"/>
      <c r="J1803" s="19"/>
      <c r="K1803" s="19"/>
      <c r="L1803" s="19"/>
      <c r="M1803" s="19"/>
      <c r="N1803" s="19"/>
      <c r="O1803" s="19"/>
      <c r="P1803" s="19"/>
      <c r="Q1803" s="19"/>
      <c r="R1803" s="19"/>
      <c r="S1803" s="19"/>
      <c r="T1803" s="19"/>
      <c r="U1803" s="19"/>
      <c r="V1803" s="19"/>
      <c r="W1803" s="19"/>
      <c r="X1803" s="19"/>
      <c r="Y1803" s="19"/>
      <c r="Z1803" s="19"/>
      <c r="AA1803" s="19"/>
      <c r="AB1803" s="19"/>
      <c r="AC1803" s="19"/>
    </row>
    <row r="1804" spans="2:29" x14ac:dyDescent="0.25">
      <c r="B1804" s="19"/>
      <c r="C1804" s="19"/>
      <c r="D1804" s="19"/>
      <c r="E1804" s="19"/>
      <c r="F1804" s="19"/>
      <c r="G1804" s="19"/>
      <c r="H1804" s="19"/>
      <c r="I1804" s="19"/>
      <c r="J1804" s="19"/>
      <c r="K1804" s="19"/>
      <c r="L1804" s="19"/>
      <c r="M1804" s="19"/>
      <c r="N1804" s="19"/>
      <c r="O1804" s="19"/>
      <c r="P1804" s="19"/>
      <c r="Q1804" s="19"/>
      <c r="R1804" s="19"/>
      <c r="S1804" s="19"/>
      <c r="T1804" s="19"/>
      <c r="U1804" s="19"/>
      <c r="V1804" s="19"/>
      <c r="W1804" s="19"/>
      <c r="X1804" s="19"/>
      <c r="Y1804" s="19"/>
      <c r="Z1804" s="19"/>
      <c r="AA1804" s="19"/>
      <c r="AB1804" s="19"/>
      <c r="AC1804" s="19"/>
    </row>
    <row r="1805" spans="2:29" x14ac:dyDescent="0.25">
      <c r="B1805" s="19"/>
      <c r="C1805" s="19"/>
      <c r="D1805" s="19"/>
      <c r="E1805" s="19"/>
      <c r="F1805" s="19"/>
      <c r="G1805" s="19"/>
      <c r="H1805" s="19"/>
      <c r="I1805" s="19"/>
      <c r="J1805" s="19"/>
      <c r="K1805" s="19"/>
      <c r="L1805" s="19"/>
      <c r="M1805" s="19"/>
      <c r="N1805" s="19"/>
      <c r="O1805" s="19"/>
      <c r="P1805" s="19"/>
      <c r="Q1805" s="19"/>
      <c r="R1805" s="19"/>
      <c r="S1805" s="19"/>
      <c r="T1805" s="19"/>
      <c r="U1805" s="19"/>
      <c r="V1805" s="19"/>
      <c r="W1805" s="19"/>
      <c r="X1805" s="19"/>
      <c r="Y1805" s="19"/>
      <c r="Z1805" s="19"/>
      <c r="AA1805" s="19"/>
      <c r="AB1805" s="19"/>
      <c r="AC1805" s="19"/>
    </row>
    <row r="1806" spans="2:29" x14ac:dyDescent="0.25">
      <c r="B1806" s="19"/>
      <c r="C1806" s="19"/>
      <c r="D1806" s="19"/>
      <c r="E1806" s="19"/>
      <c r="F1806" s="19"/>
      <c r="G1806" s="19"/>
      <c r="H1806" s="19"/>
      <c r="I1806" s="19"/>
      <c r="J1806" s="19"/>
      <c r="K1806" s="19"/>
      <c r="L1806" s="19"/>
      <c r="M1806" s="19"/>
      <c r="N1806" s="19"/>
      <c r="O1806" s="19"/>
      <c r="P1806" s="19"/>
      <c r="Q1806" s="19"/>
      <c r="R1806" s="19"/>
      <c r="S1806" s="19"/>
      <c r="T1806" s="19"/>
      <c r="U1806" s="19"/>
      <c r="V1806" s="19"/>
      <c r="W1806" s="19"/>
      <c r="X1806" s="19"/>
      <c r="Y1806" s="19"/>
      <c r="Z1806" s="19"/>
      <c r="AA1806" s="19"/>
      <c r="AB1806" s="19"/>
      <c r="AC1806" s="19"/>
    </row>
    <row r="1807" spans="2:29" x14ac:dyDescent="0.25">
      <c r="B1807" s="19"/>
      <c r="C1807" s="19"/>
      <c r="D1807" s="19"/>
      <c r="E1807" s="19"/>
      <c r="F1807" s="19"/>
      <c r="G1807" s="19"/>
      <c r="H1807" s="19"/>
      <c r="I1807" s="19"/>
      <c r="J1807" s="19"/>
      <c r="K1807" s="19"/>
      <c r="L1807" s="19"/>
      <c r="M1807" s="19"/>
      <c r="N1807" s="19"/>
      <c r="O1807" s="19"/>
      <c r="P1807" s="19"/>
      <c r="Q1807" s="19"/>
      <c r="R1807" s="19"/>
      <c r="S1807" s="19"/>
      <c r="T1807" s="19"/>
      <c r="U1807" s="19"/>
      <c r="V1807" s="19"/>
      <c r="W1807" s="19"/>
      <c r="X1807" s="19"/>
      <c r="Y1807" s="19"/>
      <c r="Z1807" s="19"/>
      <c r="AA1807" s="19"/>
      <c r="AB1807" s="19"/>
      <c r="AC1807" s="19"/>
    </row>
    <row r="1808" spans="2:29" x14ac:dyDescent="0.25">
      <c r="B1808" s="19"/>
      <c r="C1808" s="19"/>
      <c r="D1808" s="19"/>
      <c r="E1808" s="19"/>
      <c r="F1808" s="19"/>
      <c r="G1808" s="19"/>
      <c r="H1808" s="19"/>
      <c r="I1808" s="19"/>
      <c r="J1808" s="19"/>
      <c r="K1808" s="19"/>
      <c r="L1808" s="19"/>
      <c r="M1808" s="19"/>
      <c r="N1808" s="19"/>
      <c r="O1808" s="19"/>
      <c r="P1808" s="19"/>
      <c r="Q1808" s="19"/>
      <c r="R1808" s="19"/>
      <c r="S1808" s="19"/>
      <c r="T1808" s="19"/>
      <c r="U1808" s="19"/>
      <c r="V1808" s="19"/>
      <c r="W1808" s="19"/>
      <c r="X1808" s="19"/>
      <c r="Y1808" s="19"/>
      <c r="Z1808" s="19"/>
      <c r="AA1808" s="19"/>
      <c r="AB1808" s="19"/>
      <c r="AC1808" s="19"/>
    </row>
    <row r="1809" spans="2:29" x14ac:dyDescent="0.25">
      <c r="B1809" s="19"/>
      <c r="C1809" s="19"/>
      <c r="D1809" s="19"/>
      <c r="E1809" s="19"/>
      <c r="F1809" s="19"/>
      <c r="G1809" s="19"/>
      <c r="H1809" s="19"/>
      <c r="I1809" s="19"/>
      <c r="J1809" s="19"/>
      <c r="K1809" s="19"/>
      <c r="L1809" s="19"/>
      <c r="M1809" s="19"/>
      <c r="N1809" s="19"/>
      <c r="O1809" s="19"/>
      <c r="P1809" s="19"/>
      <c r="Q1809" s="19"/>
      <c r="R1809" s="19"/>
      <c r="S1809" s="19"/>
      <c r="T1809" s="19"/>
      <c r="U1809" s="19"/>
      <c r="V1809" s="19"/>
      <c r="W1809" s="19"/>
      <c r="X1809" s="19"/>
      <c r="Y1809" s="19"/>
      <c r="Z1809" s="19"/>
      <c r="AA1809" s="19"/>
      <c r="AB1809" s="19"/>
      <c r="AC1809" s="19"/>
    </row>
    <row r="1810" spans="2:29" x14ac:dyDescent="0.25">
      <c r="B1810" s="19"/>
      <c r="C1810" s="19"/>
      <c r="D1810" s="19"/>
      <c r="E1810" s="19"/>
      <c r="F1810" s="19"/>
      <c r="G1810" s="19"/>
      <c r="H1810" s="19"/>
      <c r="I1810" s="19"/>
      <c r="J1810" s="19"/>
      <c r="K1810" s="19"/>
      <c r="L1810" s="19"/>
      <c r="M1810" s="19"/>
      <c r="N1810" s="19"/>
      <c r="O1810" s="19"/>
      <c r="P1810" s="19"/>
      <c r="Q1810" s="19"/>
      <c r="R1810" s="19"/>
      <c r="S1810" s="19"/>
      <c r="T1810" s="19"/>
      <c r="U1810" s="19"/>
      <c r="V1810" s="19"/>
      <c r="W1810" s="19"/>
      <c r="X1810" s="19"/>
      <c r="Y1810" s="19"/>
      <c r="Z1810" s="19"/>
      <c r="AA1810" s="19"/>
      <c r="AB1810" s="19"/>
      <c r="AC1810" s="19"/>
    </row>
    <row r="1811" spans="2:29" x14ac:dyDescent="0.25">
      <c r="B1811" s="19"/>
      <c r="C1811" s="19"/>
      <c r="D1811" s="19"/>
      <c r="E1811" s="19"/>
      <c r="F1811" s="19"/>
      <c r="G1811" s="19"/>
      <c r="H1811" s="19"/>
      <c r="I1811" s="19"/>
      <c r="J1811" s="19"/>
      <c r="K1811" s="19"/>
      <c r="L1811" s="19"/>
      <c r="M1811" s="19"/>
      <c r="N1811" s="19"/>
      <c r="O1811" s="19"/>
      <c r="P1811" s="19"/>
      <c r="Q1811" s="19"/>
      <c r="R1811" s="19"/>
      <c r="S1811" s="19"/>
      <c r="T1811" s="19"/>
      <c r="U1811" s="19"/>
      <c r="V1811" s="19"/>
      <c r="W1811" s="19"/>
      <c r="X1811" s="19"/>
      <c r="Y1811" s="19"/>
      <c r="Z1811" s="19"/>
      <c r="AA1811" s="19"/>
      <c r="AB1811" s="19"/>
      <c r="AC1811" s="19"/>
    </row>
    <row r="1812" spans="2:29" x14ac:dyDescent="0.25">
      <c r="B1812" s="19"/>
      <c r="C1812" s="19"/>
      <c r="D1812" s="19"/>
      <c r="E1812" s="19"/>
      <c r="F1812" s="19"/>
      <c r="G1812" s="19"/>
      <c r="H1812" s="19"/>
      <c r="I1812" s="19"/>
      <c r="J1812" s="19"/>
      <c r="K1812" s="19"/>
      <c r="L1812" s="19"/>
      <c r="M1812" s="19"/>
      <c r="N1812" s="19"/>
      <c r="O1812" s="19"/>
      <c r="P1812" s="19"/>
      <c r="Q1812" s="19"/>
      <c r="R1812" s="19"/>
      <c r="S1812" s="19"/>
      <c r="T1812" s="19"/>
      <c r="U1812" s="19"/>
      <c r="V1812" s="19"/>
      <c r="W1812" s="19"/>
      <c r="X1812" s="19"/>
      <c r="Y1812" s="19"/>
      <c r="Z1812" s="19"/>
      <c r="AA1812" s="19"/>
      <c r="AB1812" s="19"/>
      <c r="AC1812" s="19"/>
    </row>
    <row r="1813" spans="2:29" x14ac:dyDescent="0.25">
      <c r="B1813" s="19"/>
      <c r="C1813" s="19"/>
      <c r="D1813" s="19"/>
      <c r="E1813" s="19"/>
      <c r="F1813" s="19"/>
      <c r="G1813" s="19"/>
      <c r="H1813" s="19"/>
      <c r="I1813" s="19"/>
      <c r="J1813" s="19"/>
      <c r="K1813" s="19"/>
      <c r="L1813" s="19"/>
      <c r="M1813" s="19"/>
      <c r="N1813" s="19"/>
      <c r="O1813" s="19"/>
      <c r="P1813" s="19"/>
      <c r="Q1813" s="19"/>
      <c r="R1813" s="19"/>
      <c r="S1813" s="19"/>
      <c r="T1813" s="19"/>
      <c r="U1813" s="19"/>
      <c r="V1813" s="19"/>
      <c r="W1813" s="19"/>
      <c r="X1813" s="19"/>
      <c r="Y1813" s="19"/>
      <c r="Z1813" s="19"/>
      <c r="AA1813" s="19"/>
      <c r="AB1813" s="19"/>
      <c r="AC1813" s="19"/>
    </row>
    <row r="1814" spans="2:29" x14ac:dyDescent="0.25">
      <c r="B1814" s="19"/>
      <c r="C1814" s="19"/>
      <c r="D1814" s="19"/>
      <c r="E1814" s="19"/>
      <c r="F1814" s="19"/>
      <c r="G1814" s="19"/>
      <c r="H1814" s="19"/>
      <c r="I1814" s="19"/>
      <c r="J1814" s="19"/>
      <c r="K1814" s="19"/>
      <c r="L1814" s="19"/>
      <c r="M1814" s="19"/>
      <c r="N1814" s="19"/>
      <c r="O1814" s="19"/>
      <c r="P1814" s="19"/>
      <c r="Q1814" s="19"/>
      <c r="R1814" s="19"/>
      <c r="S1814" s="19"/>
      <c r="T1814" s="19"/>
      <c r="U1814" s="19"/>
      <c r="V1814" s="19"/>
      <c r="W1814" s="19"/>
      <c r="X1814" s="19"/>
      <c r="Y1814" s="19"/>
      <c r="Z1814" s="19"/>
      <c r="AA1814" s="19"/>
      <c r="AB1814" s="19"/>
      <c r="AC1814" s="19"/>
    </row>
    <row r="1815" spans="2:29" x14ac:dyDescent="0.25">
      <c r="B1815" s="19"/>
      <c r="C1815" s="19"/>
      <c r="D1815" s="19"/>
      <c r="E1815" s="19"/>
      <c r="F1815" s="19"/>
      <c r="G1815" s="19"/>
      <c r="H1815" s="19"/>
      <c r="I1815" s="19"/>
      <c r="J1815" s="19"/>
      <c r="K1815" s="19"/>
      <c r="L1815" s="19"/>
      <c r="M1815" s="19"/>
      <c r="N1815" s="19"/>
      <c r="O1815" s="19"/>
      <c r="P1815" s="19"/>
      <c r="Q1815" s="19"/>
      <c r="R1815" s="19"/>
      <c r="S1815" s="19"/>
      <c r="T1815" s="19"/>
      <c r="U1815" s="19"/>
      <c r="V1815" s="19"/>
      <c r="W1815" s="19"/>
      <c r="X1815" s="19"/>
      <c r="Y1815" s="19"/>
      <c r="Z1815" s="19"/>
      <c r="AA1815" s="19"/>
      <c r="AB1815" s="19"/>
      <c r="AC1815" s="19"/>
    </row>
    <row r="1816" spans="2:29" x14ac:dyDescent="0.25">
      <c r="B1816" s="19"/>
      <c r="C1816" s="19"/>
      <c r="D1816" s="19"/>
      <c r="E1816" s="19"/>
      <c r="F1816" s="19"/>
      <c r="G1816" s="19"/>
      <c r="H1816" s="19"/>
      <c r="I1816" s="19"/>
      <c r="J1816" s="19"/>
      <c r="K1816" s="19"/>
      <c r="L1816" s="19"/>
      <c r="M1816" s="19"/>
      <c r="N1816" s="19"/>
      <c r="O1816" s="19"/>
      <c r="P1816" s="19"/>
      <c r="Q1816" s="19"/>
      <c r="R1816" s="19"/>
      <c r="S1816" s="19"/>
      <c r="T1816" s="19"/>
      <c r="U1816" s="19"/>
      <c r="V1816" s="19"/>
      <c r="W1816" s="19"/>
      <c r="X1816" s="19"/>
      <c r="Y1816" s="19"/>
      <c r="Z1816" s="19"/>
      <c r="AA1816" s="19"/>
      <c r="AB1816" s="19"/>
      <c r="AC1816" s="19"/>
    </row>
    <row r="1817" spans="2:29" x14ac:dyDescent="0.25">
      <c r="B1817" s="19"/>
      <c r="C1817" s="19"/>
      <c r="D1817" s="19"/>
      <c r="E1817" s="19"/>
      <c r="F1817" s="19"/>
      <c r="G1817" s="19"/>
      <c r="H1817" s="19"/>
      <c r="I1817" s="19"/>
      <c r="J1817" s="19"/>
      <c r="K1817" s="19"/>
      <c r="L1817" s="19"/>
      <c r="M1817" s="19"/>
      <c r="N1817" s="19"/>
      <c r="O1817" s="19"/>
      <c r="P1817" s="19"/>
      <c r="Q1817" s="19"/>
      <c r="R1817" s="19"/>
      <c r="S1817" s="19"/>
      <c r="T1817" s="19"/>
      <c r="U1817" s="19"/>
      <c r="V1817" s="19"/>
      <c r="W1817" s="19"/>
      <c r="X1817" s="19"/>
      <c r="Y1817" s="19"/>
      <c r="Z1817" s="19"/>
      <c r="AA1817" s="19"/>
      <c r="AB1817" s="19"/>
      <c r="AC1817" s="19"/>
    </row>
    <row r="1818" spans="2:29" x14ac:dyDescent="0.25">
      <c r="B1818" s="19"/>
      <c r="C1818" s="19"/>
      <c r="D1818" s="19"/>
      <c r="E1818" s="19"/>
      <c r="F1818" s="19"/>
      <c r="G1818" s="19"/>
      <c r="H1818" s="19"/>
      <c r="I1818" s="19"/>
      <c r="J1818" s="19"/>
      <c r="K1818" s="19"/>
      <c r="L1818" s="19"/>
      <c r="M1818" s="19"/>
      <c r="N1818" s="19"/>
      <c r="O1818" s="19"/>
      <c r="P1818" s="19"/>
      <c r="Q1818" s="19"/>
      <c r="R1818" s="19"/>
      <c r="S1818" s="19"/>
      <c r="T1818" s="19"/>
      <c r="U1818" s="19"/>
      <c r="V1818" s="19"/>
      <c r="W1818" s="19"/>
      <c r="X1818" s="19"/>
      <c r="Y1818" s="19"/>
      <c r="Z1818" s="19"/>
      <c r="AA1818" s="19"/>
      <c r="AB1818" s="19"/>
      <c r="AC1818" s="19"/>
    </row>
    <row r="1819" spans="2:29" x14ac:dyDescent="0.25">
      <c r="B1819" s="19"/>
      <c r="C1819" s="19"/>
      <c r="D1819" s="19"/>
      <c r="E1819" s="19"/>
      <c r="F1819" s="19"/>
      <c r="G1819" s="19"/>
      <c r="H1819" s="19"/>
      <c r="I1819" s="19"/>
      <c r="J1819" s="19"/>
      <c r="K1819" s="19"/>
      <c r="L1819" s="19"/>
      <c r="M1819" s="19"/>
      <c r="N1819" s="19"/>
      <c r="O1819" s="19"/>
      <c r="P1819" s="19"/>
      <c r="Q1819" s="19"/>
      <c r="R1819" s="19"/>
      <c r="S1819" s="19"/>
      <c r="T1819" s="19"/>
      <c r="U1819" s="19"/>
      <c r="V1819" s="19"/>
      <c r="W1819" s="19"/>
      <c r="X1819" s="19"/>
      <c r="Y1819" s="19"/>
      <c r="Z1819" s="19"/>
      <c r="AA1819" s="19"/>
      <c r="AB1819" s="19"/>
      <c r="AC1819" s="19"/>
    </row>
    <row r="1820" spans="2:29" x14ac:dyDescent="0.25">
      <c r="B1820" s="19"/>
      <c r="C1820" s="19"/>
      <c r="D1820" s="19"/>
      <c r="E1820" s="19"/>
      <c r="F1820" s="19"/>
      <c r="G1820" s="19"/>
      <c r="H1820" s="19"/>
      <c r="I1820" s="19"/>
      <c r="J1820" s="19"/>
      <c r="K1820" s="19"/>
      <c r="L1820" s="19"/>
      <c r="M1820" s="19"/>
      <c r="N1820" s="19"/>
      <c r="O1820" s="19"/>
      <c r="P1820" s="19"/>
      <c r="Q1820" s="19"/>
      <c r="R1820" s="19"/>
      <c r="S1820" s="19"/>
      <c r="T1820" s="19"/>
      <c r="U1820" s="19"/>
      <c r="V1820" s="19"/>
      <c r="W1820" s="19"/>
      <c r="X1820" s="19"/>
      <c r="Y1820" s="19"/>
      <c r="Z1820" s="19"/>
      <c r="AA1820" s="19"/>
      <c r="AB1820" s="19"/>
      <c r="AC1820" s="19"/>
    </row>
    <row r="1821" spans="2:29" x14ac:dyDescent="0.25">
      <c r="B1821" s="19"/>
      <c r="C1821" s="19"/>
      <c r="D1821" s="19"/>
      <c r="E1821" s="19"/>
      <c r="F1821" s="19"/>
      <c r="G1821" s="19"/>
      <c r="H1821" s="19"/>
      <c r="I1821" s="19"/>
      <c r="J1821" s="19"/>
      <c r="K1821" s="19"/>
      <c r="L1821" s="19"/>
      <c r="M1821" s="19"/>
      <c r="N1821" s="19"/>
      <c r="O1821" s="19"/>
      <c r="P1821" s="19"/>
      <c r="Q1821" s="19"/>
      <c r="R1821" s="19"/>
      <c r="S1821" s="19"/>
      <c r="T1821" s="19"/>
      <c r="U1821" s="19"/>
      <c r="V1821" s="19"/>
      <c r="W1821" s="19"/>
      <c r="X1821" s="19"/>
      <c r="Y1821" s="19"/>
      <c r="Z1821" s="19"/>
      <c r="AA1821" s="19"/>
      <c r="AB1821" s="19"/>
      <c r="AC1821" s="19"/>
    </row>
    <row r="1822" spans="2:29" x14ac:dyDescent="0.25">
      <c r="B1822" s="19"/>
      <c r="C1822" s="19"/>
      <c r="D1822" s="19"/>
      <c r="E1822" s="19"/>
      <c r="F1822" s="19"/>
      <c r="G1822" s="19"/>
      <c r="H1822" s="19"/>
      <c r="I1822" s="19"/>
      <c r="J1822" s="19"/>
      <c r="K1822" s="19"/>
      <c r="L1822" s="19"/>
      <c r="M1822" s="19"/>
      <c r="N1822" s="19"/>
      <c r="O1822" s="19"/>
      <c r="P1822" s="19"/>
      <c r="Q1822" s="19"/>
      <c r="R1822" s="19"/>
      <c r="S1822" s="19"/>
      <c r="T1822" s="19"/>
      <c r="U1822" s="19"/>
      <c r="V1822" s="19"/>
      <c r="W1822" s="19"/>
      <c r="X1822" s="19"/>
      <c r="Y1822" s="19"/>
      <c r="Z1822" s="19"/>
      <c r="AA1822" s="19"/>
      <c r="AB1822" s="19"/>
      <c r="AC1822" s="19"/>
    </row>
    <row r="1823" spans="2:29" x14ac:dyDescent="0.25">
      <c r="B1823" s="19"/>
      <c r="C1823" s="19"/>
      <c r="D1823" s="19"/>
      <c r="E1823" s="19"/>
      <c r="F1823" s="19"/>
      <c r="G1823" s="19"/>
      <c r="H1823" s="19"/>
      <c r="I1823" s="19"/>
      <c r="J1823" s="19"/>
      <c r="K1823" s="19"/>
      <c r="L1823" s="19"/>
      <c r="M1823" s="19"/>
      <c r="N1823" s="19"/>
      <c r="O1823" s="19"/>
      <c r="P1823" s="19"/>
      <c r="Q1823" s="19"/>
      <c r="R1823" s="19"/>
      <c r="S1823" s="19"/>
      <c r="T1823" s="19"/>
      <c r="U1823" s="19"/>
      <c r="V1823" s="19"/>
      <c r="W1823" s="19"/>
      <c r="X1823" s="19"/>
      <c r="Y1823" s="19"/>
      <c r="Z1823" s="19"/>
      <c r="AA1823" s="19"/>
      <c r="AB1823" s="19"/>
      <c r="AC1823" s="19"/>
    </row>
    <row r="1824" spans="2:29" x14ac:dyDescent="0.25">
      <c r="B1824" s="19"/>
      <c r="C1824" s="19"/>
      <c r="D1824" s="19"/>
      <c r="E1824" s="19"/>
      <c r="F1824" s="19"/>
      <c r="G1824" s="19"/>
      <c r="H1824" s="19"/>
      <c r="I1824" s="19"/>
      <c r="J1824" s="19"/>
      <c r="K1824" s="19"/>
      <c r="L1824" s="19"/>
      <c r="M1824" s="19"/>
      <c r="N1824" s="19"/>
      <c r="O1824" s="19"/>
      <c r="P1824" s="19"/>
      <c r="Q1824" s="19"/>
      <c r="R1824" s="19"/>
      <c r="S1824" s="19"/>
      <c r="T1824" s="19"/>
      <c r="U1824" s="19"/>
      <c r="V1824" s="19"/>
      <c r="W1824" s="19"/>
      <c r="X1824" s="19"/>
      <c r="Y1824" s="19"/>
      <c r="Z1824" s="19"/>
      <c r="AA1824" s="19"/>
      <c r="AB1824" s="19"/>
      <c r="AC1824" s="19"/>
    </row>
    <row r="1825" spans="2:29" x14ac:dyDescent="0.25">
      <c r="B1825" s="19"/>
      <c r="C1825" s="19"/>
      <c r="D1825" s="19"/>
      <c r="E1825" s="19"/>
      <c r="F1825" s="19"/>
      <c r="G1825" s="19"/>
      <c r="H1825" s="19"/>
      <c r="I1825" s="19"/>
      <c r="J1825" s="19"/>
      <c r="K1825" s="19"/>
      <c r="L1825" s="19"/>
      <c r="M1825" s="19"/>
      <c r="N1825" s="19"/>
      <c r="O1825" s="19"/>
      <c r="P1825" s="19"/>
      <c r="Q1825" s="19"/>
      <c r="R1825" s="19"/>
      <c r="S1825" s="19"/>
      <c r="T1825" s="19"/>
      <c r="U1825" s="19"/>
      <c r="V1825" s="19"/>
      <c r="W1825" s="19"/>
      <c r="X1825" s="19"/>
      <c r="Y1825" s="19"/>
      <c r="Z1825" s="19"/>
      <c r="AA1825" s="19"/>
      <c r="AB1825" s="19"/>
      <c r="AC1825" s="19"/>
    </row>
    <row r="1826" spans="2:29" x14ac:dyDescent="0.25">
      <c r="B1826" s="19"/>
      <c r="C1826" s="19"/>
      <c r="D1826" s="19"/>
      <c r="E1826" s="19"/>
      <c r="F1826" s="19"/>
      <c r="G1826" s="19"/>
      <c r="H1826" s="19"/>
      <c r="I1826" s="19"/>
      <c r="J1826" s="19"/>
      <c r="K1826" s="19"/>
      <c r="L1826" s="19"/>
      <c r="M1826" s="19"/>
      <c r="N1826" s="19"/>
      <c r="O1826" s="19"/>
      <c r="P1826" s="19"/>
      <c r="Q1826" s="19"/>
      <c r="R1826" s="19"/>
      <c r="S1826" s="19"/>
      <c r="T1826" s="19"/>
      <c r="U1826" s="19"/>
      <c r="V1826" s="19"/>
      <c r="W1826" s="19"/>
      <c r="X1826" s="19"/>
      <c r="Y1826" s="19"/>
      <c r="Z1826" s="19"/>
      <c r="AA1826" s="19"/>
      <c r="AB1826" s="19"/>
      <c r="AC1826" s="19"/>
    </row>
    <row r="1827" spans="2:29" x14ac:dyDescent="0.25">
      <c r="B1827" s="19"/>
      <c r="C1827" s="19"/>
      <c r="D1827" s="19"/>
      <c r="E1827" s="19"/>
      <c r="F1827" s="19"/>
      <c r="G1827" s="19"/>
      <c r="H1827" s="19"/>
      <c r="I1827" s="19"/>
      <c r="J1827" s="19"/>
      <c r="K1827" s="19"/>
      <c r="L1827" s="19"/>
      <c r="M1827" s="19"/>
      <c r="N1827" s="19"/>
      <c r="O1827" s="19"/>
      <c r="P1827" s="19"/>
      <c r="Q1827" s="19"/>
      <c r="R1827" s="19"/>
      <c r="S1827" s="19"/>
      <c r="T1827" s="19"/>
      <c r="U1827" s="19"/>
      <c r="V1827" s="19"/>
      <c r="W1827" s="19"/>
      <c r="X1827" s="19"/>
      <c r="Y1827" s="19"/>
      <c r="Z1827" s="19"/>
      <c r="AA1827" s="19"/>
      <c r="AB1827" s="19"/>
      <c r="AC1827" s="19"/>
    </row>
    <row r="1828" spans="2:29" x14ac:dyDescent="0.25">
      <c r="B1828" s="19"/>
      <c r="C1828" s="19"/>
      <c r="D1828" s="19"/>
      <c r="E1828" s="19"/>
      <c r="F1828" s="19"/>
      <c r="G1828" s="19"/>
      <c r="H1828" s="19"/>
      <c r="I1828" s="19"/>
      <c r="J1828" s="19"/>
      <c r="K1828" s="19"/>
      <c r="L1828" s="19"/>
      <c r="M1828" s="19"/>
      <c r="N1828" s="19"/>
      <c r="O1828" s="19"/>
      <c r="P1828" s="19"/>
      <c r="Q1828" s="19"/>
      <c r="R1828" s="19"/>
      <c r="S1828" s="19"/>
      <c r="T1828" s="19"/>
      <c r="U1828" s="19"/>
      <c r="V1828" s="19"/>
      <c r="W1828" s="19"/>
      <c r="X1828" s="19"/>
      <c r="Y1828" s="19"/>
      <c r="Z1828" s="19"/>
      <c r="AA1828" s="19"/>
      <c r="AB1828" s="19"/>
      <c r="AC1828" s="19"/>
    </row>
    <row r="1829" spans="2:29" x14ac:dyDescent="0.25">
      <c r="B1829" s="19"/>
      <c r="C1829" s="19"/>
      <c r="D1829" s="19"/>
      <c r="E1829" s="19"/>
      <c r="F1829" s="19"/>
      <c r="G1829" s="19"/>
      <c r="H1829" s="19"/>
      <c r="I1829" s="19"/>
      <c r="J1829" s="19"/>
      <c r="K1829" s="19"/>
      <c r="L1829" s="19"/>
      <c r="M1829" s="19"/>
      <c r="N1829" s="19"/>
      <c r="O1829" s="19"/>
      <c r="P1829" s="19"/>
      <c r="Q1829" s="19"/>
      <c r="R1829" s="19"/>
      <c r="S1829" s="19"/>
      <c r="T1829" s="19"/>
      <c r="U1829" s="19"/>
      <c r="V1829" s="19"/>
      <c r="W1829" s="19"/>
      <c r="X1829" s="19"/>
      <c r="Y1829" s="19"/>
      <c r="Z1829" s="19"/>
      <c r="AA1829" s="19"/>
      <c r="AB1829" s="19"/>
      <c r="AC1829" s="19"/>
    </row>
    <row r="1830" spans="2:29" x14ac:dyDescent="0.25">
      <c r="B1830" s="19"/>
      <c r="C1830" s="19"/>
      <c r="D1830" s="19"/>
      <c r="E1830" s="19"/>
      <c r="F1830" s="19"/>
      <c r="G1830" s="19"/>
      <c r="H1830" s="19"/>
      <c r="I1830" s="19"/>
      <c r="J1830" s="19"/>
      <c r="K1830" s="19"/>
      <c r="L1830" s="19"/>
      <c r="M1830" s="19"/>
      <c r="N1830" s="19"/>
      <c r="O1830" s="19"/>
      <c r="P1830" s="19"/>
      <c r="Q1830" s="19"/>
      <c r="R1830" s="19"/>
      <c r="S1830" s="19"/>
      <c r="T1830" s="19"/>
      <c r="U1830" s="19"/>
      <c r="V1830" s="19"/>
      <c r="W1830" s="19"/>
      <c r="X1830" s="19"/>
      <c r="Y1830" s="19"/>
      <c r="Z1830" s="19"/>
      <c r="AA1830" s="19"/>
      <c r="AB1830" s="19"/>
      <c r="AC1830" s="19"/>
    </row>
    <row r="1831" spans="2:29" x14ac:dyDescent="0.25">
      <c r="B1831" s="19"/>
      <c r="C1831" s="19"/>
      <c r="D1831" s="19"/>
      <c r="E1831" s="19"/>
      <c r="F1831" s="19"/>
      <c r="G1831" s="19"/>
      <c r="H1831" s="19"/>
      <c r="I1831" s="19"/>
      <c r="J1831" s="19"/>
      <c r="K1831" s="19"/>
      <c r="L1831" s="19"/>
      <c r="M1831" s="19"/>
      <c r="N1831" s="19"/>
      <c r="O1831" s="19"/>
      <c r="P1831" s="19"/>
      <c r="Q1831" s="19"/>
      <c r="R1831" s="19"/>
      <c r="S1831" s="19"/>
      <c r="T1831" s="19"/>
      <c r="U1831" s="19"/>
      <c r="V1831" s="19"/>
      <c r="W1831" s="19"/>
      <c r="X1831" s="19"/>
      <c r="Y1831" s="19"/>
      <c r="Z1831" s="19"/>
      <c r="AA1831" s="19"/>
      <c r="AB1831" s="19"/>
      <c r="AC1831" s="19"/>
    </row>
    <row r="1832" spans="2:29" x14ac:dyDescent="0.25">
      <c r="B1832" s="19"/>
      <c r="C1832" s="19"/>
      <c r="D1832" s="19"/>
      <c r="E1832" s="19"/>
      <c r="F1832" s="19"/>
      <c r="G1832" s="19"/>
      <c r="H1832" s="19"/>
      <c r="I1832" s="19"/>
      <c r="J1832" s="19"/>
      <c r="K1832" s="19"/>
      <c r="L1832" s="19"/>
      <c r="M1832" s="19"/>
      <c r="N1832" s="19"/>
      <c r="O1832" s="19"/>
      <c r="P1832" s="19"/>
      <c r="Q1832" s="19"/>
      <c r="R1832" s="19"/>
      <c r="S1832" s="19"/>
      <c r="T1832" s="19"/>
      <c r="U1832" s="19"/>
      <c r="V1832" s="19"/>
      <c r="W1832" s="19"/>
      <c r="X1832" s="19"/>
      <c r="Y1832" s="19"/>
      <c r="Z1832" s="19"/>
      <c r="AA1832" s="19"/>
      <c r="AB1832" s="19"/>
      <c r="AC1832" s="19"/>
    </row>
    <row r="1833" spans="2:29" x14ac:dyDescent="0.25">
      <c r="B1833" s="19"/>
      <c r="C1833" s="19"/>
      <c r="D1833" s="19"/>
      <c r="E1833" s="19"/>
      <c r="F1833" s="19"/>
      <c r="G1833" s="19"/>
      <c r="H1833" s="19"/>
      <c r="I1833" s="19"/>
      <c r="J1833" s="19"/>
      <c r="K1833" s="19"/>
      <c r="L1833" s="19"/>
      <c r="M1833" s="19"/>
      <c r="N1833" s="19"/>
      <c r="O1833" s="19"/>
      <c r="P1833" s="19"/>
      <c r="Q1833" s="19"/>
      <c r="R1833" s="19"/>
      <c r="S1833" s="19"/>
      <c r="T1833" s="19"/>
      <c r="U1833" s="19"/>
      <c r="V1833" s="19"/>
      <c r="W1833" s="19"/>
      <c r="X1833" s="19"/>
      <c r="Y1833" s="19"/>
      <c r="Z1833" s="19"/>
      <c r="AA1833" s="19"/>
      <c r="AB1833" s="19"/>
      <c r="AC1833" s="19"/>
    </row>
    <row r="1834" spans="2:29" x14ac:dyDescent="0.25">
      <c r="B1834" s="19"/>
      <c r="C1834" s="19"/>
      <c r="D1834" s="19"/>
      <c r="E1834" s="19"/>
      <c r="F1834" s="19"/>
      <c r="G1834" s="19"/>
      <c r="H1834" s="19"/>
      <c r="I1834" s="19"/>
      <c r="J1834" s="19"/>
      <c r="K1834" s="19"/>
      <c r="L1834" s="19"/>
      <c r="M1834" s="19"/>
      <c r="N1834" s="19"/>
      <c r="O1834" s="19"/>
      <c r="P1834" s="19"/>
      <c r="Q1834" s="19"/>
      <c r="R1834" s="19"/>
      <c r="S1834" s="19"/>
      <c r="T1834" s="19"/>
      <c r="U1834" s="19"/>
      <c r="V1834" s="19"/>
      <c r="W1834" s="19"/>
      <c r="X1834" s="19"/>
      <c r="Y1834" s="19"/>
      <c r="Z1834" s="19"/>
      <c r="AA1834" s="19"/>
      <c r="AB1834" s="19"/>
      <c r="AC1834" s="19"/>
    </row>
    <row r="1835" spans="2:29" x14ac:dyDescent="0.25">
      <c r="B1835" s="19"/>
      <c r="C1835" s="19"/>
      <c r="D1835" s="19"/>
      <c r="E1835" s="19"/>
      <c r="F1835" s="19"/>
      <c r="G1835" s="19"/>
      <c r="H1835" s="19"/>
      <c r="I1835" s="19"/>
      <c r="J1835" s="19"/>
      <c r="K1835" s="19"/>
      <c r="L1835" s="19"/>
      <c r="M1835" s="19"/>
      <c r="N1835" s="19"/>
      <c r="O1835" s="19"/>
      <c r="P1835" s="19"/>
      <c r="Q1835" s="19"/>
      <c r="R1835" s="19"/>
      <c r="S1835" s="19"/>
      <c r="T1835" s="19"/>
      <c r="U1835" s="19"/>
      <c r="V1835" s="19"/>
      <c r="W1835" s="19"/>
      <c r="X1835" s="19"/>
      <c r="Y1835" s="19"/>
      <c r="Z1835" s="19"/>
      <c r="AA1835" s="19"/>
      <c r="AB1835" s="19"/>
      <c r="AC1835" s="19"/>
    </row>
    <row r="1836" spans="2:29" x14ac:dyDescent="0.25">
      <c r="B1836" s="19"/>
      <c r="C1836" s="19"/>
      <c r="D1836" s="19"/>
      <c r="E1836" s="19"/>
      <c r="F1836" s="19"/>
      <c r="G1836" s="19"/>
      <c r="H1836" s="19"/>
      <c r="I1836" s="19"/>
      <c r="J1836" s="19"/>
      <c r="K1836" s="19"/>
      <c r="L1836" s="19"/>
      <c r="M1836" s="19"/>
      <c r="N1836" s="19"/>
      <c r="O1836" s="19"/>
      <c r="P1836" s="19"/>
      <c r="Q1836" s="19"/>
      <c r="R1836" s="19"/>
      <c r="S1836" s="19"/>
      <c r="T1836" s="19"/>
      <c r="U1836" s="19"/>
      <c r="V1836" s="19"/>
      <c r="W1836" s="19"/>
      <c r="X1836" s="19"/>
      <c r="Y1836" s="19"/>
      <c r="Z1836" s="19"/>
      <c r="AA1836" s="19"/>
      <c r="AB1836" s="19"/>
      <c r="AC1836" s="19"/>
    </row>
    <row r="1837" spans="2:29" x14ac:dyDescent="0.25">
      <c r="B1837" s="19"/>
      <c r="C1837" s="19"/>
      <c r="D1837" s="19"/>
      <c r="E1837" s="19"/>
      <c r="F1837" s="19"/>
      <c r="G1837" s="19"/>
      <c r="H1837" s="19"/>
      <c r="I1837" s="19"/>
      <c r="J1837" s="19"/>
      <c r="K1837" s="19"/>
      <c r="L1837" s="19"/>
      <c r="M1837" s="19"/>
      <c r="N1837" s="19"/>
      <c r="O1837" s="19"/>
      <c r="P1837" s="19"/>
      <c r="Q1837" s="19"/>
      <c r="R1837" s="19"/>
      <c r="S1837" s="19"/>
      <c r="T1837" s="19"/>
      <c r="U1837" s="19"/>
      <c r="V1837" s="19"/>
      <c r="W1837" s="19"/>
      <c r="X1837" s="19"/>
      <c r="Y1837" s="19"/>
      <c r="Z1837" s="19"/>
      <c r="AA1837" s="19"/>
      <c r="AB1837" s="19"/>
      <c r="AC1837" s="19"/>
    </row>
    <row r="1838" spans="2:29" x14ac:dyDescent="0.25">
      <c r="B1838" s="19"/>
      <c r="C1838" s="19"/>
      <c r="D1838" s="19"/>
      <c r="E1838" s="19"/>
      <c r="F1838" s="19"/>
      <c r="G1838" s="19"/>
      <c r="H1838" s="19"/>
      <c r="I1838" s="19"/>
      <c r="J1838" s="19"/>
      <c r="K1838" s="19"/>
      <c r="L1838" s="19"/>
      <c r="M1838" s="19"/>
      <c r="N1838" s="19"/>
      <c r="O1838" s="19"/>
      <c r="P1838" s="19"/>
      <c r="Q1838" s="19"/>
      <c r="R1838" s="19"/>
      <c r="S1838" s="19"/>
      <c r="T1838" s="19"/>
      <c r="U1838" s="19"/>
      <c r="V1838" s="19"/>
      <c r="W1838" s="19"/>
      <c r="X1838" s="19"/>
      <c r="Y1838" s="19"/>
      <c r="Z1838" s="19"/>
      <c r="AA1838" s="19"/>
      <c r="AB1838" s="19"/>
      <c r="AC1838" s="19"/>
    </row>
    <row r="1839" spans="2:29" x14ac:dyDescent="0.25">
      <c r="B1839" s="19"/>
      <c r="C1839" s="19"/>
      <c r="D1839" s="19"/>
      <c r="E1839" s="19"/>
      <c r="F1839" s="19"/>
      <c r="G1839" s="19"/>
      <c r="H1839" s="19"/>
      <c r="I1839" s="19"/>
      <c r="J1839" s="19"/>
      <c r="K1839" s="19"/>
      <c r="L1839" s="19"/>
      <c r="M1839" s="19"/>
      <c r="N1839" s="19"/>
      <c r="O1839" s="19"/>
      <c r="P1839" s="19"/>
      <c r="Q1839" s="19"/>
      <c r="R1839" s="19"/>
      <c r="S1839" s="19"/>
      <c r="T1839" s="19"/>
      <c r="U1839" s="19"/>
      <c r="V1839" s="19"/>
      <c r="W1839" s="19"/>
      <c r="X1839" s="19"/>
      <c r="Y1839" s="19"/>
      <c r="Z1839" s="19"/>
      <c r="AA1839" s="19"/>
      <c r="AB1839" s="19"/>
      <c r="AC1839" s="19"/>
    </row>
    <row r="1840" spans="2:29" x14ac:dyDescent="0.25">
      <c r="B1840" s="19"/>
      <c r="C1840" s="19"/>
      <c r="D1840" s="19"/>
      <c r="E1840" s="19"/>
      <c r="F1840" s="19"/>
      <c r="G1840" s="19"/>
      <c r="H1840" s="19"/>
      <c r="I1840" s="19"/>
      <c r="J1840" s="19"/>
      <c r="K1840" s="19"/>
      <c r="L1840" s="19"/>
      <c r="M1840" s="19"/>
      <c r="N1840" s="19"/>
      <c r="O1840" s="19"/>
      <c r="P1840" s="19"/>
      <c r="Q1840" s="19"/>
      <c r="R1840" s="19"/>
      <c r="S1840" s="19"/>
      <c r="T1840" s="19"/>
      <c r="U1840" s="19"/>
      <c r="V1840" s="19"/>
      <c r="W1840" s="19"/>
      <c r="X1840" s="19"/>
      <c r="Y1840" s="19"/>
      <c r="Z1840" s="19"/>
      <c r="AA1840" s="19"/>
      <c r="AB1840" s="19"/>
      <c r="AC1840" s="19"/>
    </row>
    <row r="1841" spans="2:29" x14ac:dyDescent="0.25">
      <c r="B1841" s="19"/>
      <c r="C1841" s="19"/>
      <c r="D1841" s="19"/>
      <c r="E1841" s="19"/>
      <c r="F1841" s="19"/>
      <c r="G1841" s="19"/>
      <c r="H1841" s="19"/>
      <c r="I1841" s="19"/>
      <c r="J1841" s="19"/>
      <c r="K1841" s="19"/>
      <c r="L1841" s="19"/>
      <c r="M1841" s="19"/>
      <c r="N1841" s="19"/>
      <c r="O1841" s="19"/>
      <c r="P1841" s="19"/>
      <c r="Q1841" s="19"/>
      <c r="R1841" s="19"/>
      <c r="S1841" s="19"/>
      <c r="T1841" s="19"/>
      <c r="U1841" s="19"/>
      <c r="V1841" s="19"/>
      <c r="W1841" s="19"/>
      <c r="X1841" s="19"/>
      <c r="Y1841" s="19"/>
      <c r="Z1841" s="19"/>
      <c r="AA1841" s="19"/>
      <c r="AB1841" s="19"/>
      <c r="AC1841" s="19"/>
    </row>
    <row r="1842" spans="2:29" x14ac:dyDescent="0.25">
      <c r="B1842" s="19"/>
      <c r="C1842" s="19"/>
      <c r="D1842" s="19"/>
      <c r="E1842" s="19"/>
      <c r="F1842" s="19"/>
      <c r="G1842" s="19"/>
      <c r="H1842" s="19"/>
      <c r="I1842" s="19"/>
      <c r="J1842" s="19"/>
      <c r="K1842" s="19"/>
      <c r="L1842" s="19"/>
      <c r="M1842" s="19"/>
      <c r="N1842" s="19"/>
      <c r="O1842" s="19"/>
      <c r="P1842" s="19"/>
      <c r="Q1842" s="19"/>
      <c r="R1842" s="19"/>
      <c r="S1842" s="19"/>
      <c r="T1842" s="19"/>
      <c r="U1842" s="19"/>
      <c r="V1842" s="19"/>
      <c r="W1842" s="19"/>
      <c r="X1842" s="19"/>
      <c r="Y1842" s="19"/>
      <c r="Z1842" s="19"/>
      <c r="AA1842" s="19"/>
      <c r="AB1842" s="19"/>
      <c r="AC1842" s="19"/>
    </row>
    <row r="1843" spans="2:29" x14ac:dyDescent="0.25">
      <c r="B1843" s="19"/>
      <c r="C1843" s="19"/>
      <c r="D1843" s="19"/>
      <c r="E1843" s="19"/>
      <c r="F1843" s="19"/>
      <c r="G1843" s="19"/>
      <c r="H1843" s="19"/>
      <c r="I1843" s="19"/>
      <c r="J1843" s="19"/>
      <c r="K1843" s="19"/>
      <c r="L1843" s="19"/>
      <c r="M1843" s="19"/>
      <c r="N1843" s="19"/>
      <c r="O1843" s="19"/>
      <c r="P1843" s="19"/>
      <c r="Q1843" s="19"/>
      <c r="R1843" s="19"/>
      <c r="S1843" s="19"/>
      <c r="T1843" s="19"/>
      <c r="U1843" s="19"/>
      <c r="V1843" s="19"/>
      <c r="W1843" s="19"/>
      <c r="X1843" s="19"/>
      <c r="Y1843" s="19"/>
      <c r="Z1843" s="19"/>
      <c r="AA1843" s="19"/>
      <c r="AB1843" s="19"/>
      <c r="AC1843" s="19"/>
    </row>
    <row r="1844" spans="2:29" x14ac:dyDescent="0.25">
      <c r="B1844" s="19"/>
      <c r="C1844" s="19"/>
      <c r="D1844" s="19"/>
      <c r="E1844" s="19"/>
      <c r="F1844" s="19"/>
      <c r="G1844" s="19"/>
      <c r="H1844" s="19"/>
      <c r="I1844" s="19"/>
      <c r="J1844" s="19"/>
      <c r="K1844" s="19"/>
      <c r="L1844" s="19"/>
      <c r="M1844" s="19"/>
      <c r="N1844" s="19"/>
      <c r="O1844" s="19"/>
      <c r="P1844" s="19"/>
      <c r="Q1844" s="19"/>
      <c r="R1844" s="19"/>
      <c r="S1844" s="19"/>
      <c r="T1844" s="19"/>
      <c r="U1844" s="19"/>
      <c r="V1844" s="19"/>
      <c r="W1844" s="19"/>
      <c r="X1844" s="19"/>
      <c r="Y1844" s="19"/>
      <c r="Z1844" s="19"/>
      <c r="AA1844" s="19"/>
      <c r="AB1844" s="19"/>
      <c r="AC1844" s="19"/>
    </row>
    <row r="1845" spans="2:29" x14ac:dyDescent="0.25">
      <c r="B1845" s="19"/>
      <c r="C1845" s="19"/>
      <c r="D1845" s="19"/>
      <c r="E1845" s="19"/>
      <c r="F1845" s="19"/>
      <c r="G1845" s="19"/>
      <c r="H1845" s="19"/>
      <c r="I1845" s="19"/>
      <c r="J1845" s="19"/>
      <c r="K1845" s="19"/>
      <c r="L1845" s="19"/>
      <c r="M1845" s="19"/>
      <c r="N1845" s="19"/>
      <c r="O1845" s="19"/>
      <c r="P1845" s="19"/>
      <c r="Q1845" s="19"/>
      <c r="R1845" s="19"/>
      <c r="S1845" s="19"/>
      <c r="T1845" s="19"/>
      <c r="U1845" s="19"/>
      <c r="V1845" s="19"/>
      <c r="W1845" s="19"/>
      <c r="X1845" s="19"/>
      <c r="Y1845" s="19"/>
      <c r="Z1845" s="19"/>
      <c r="AA1845" s="19"/>
      <c r="AB1845" s="19"/>
      <c r="AC1845" s="19"/>
    </row>
    <row r="1846" spans="2:29" x14ac:dyDescent="0.25">
      <c r="B1846" s="19"/>
      <c r="C1846" s="19"/>
      <c r="D1846" s="19"/>
      <c r="E1846" s="19"/>
      <c r="F1846" s="19"/>
      <c r="G1846" s="19"/>
      <c r="H1846" s="19"/>
      <c r="I1846" s="19"/>
      <c r="J1846" s="19"/>
      <c r="K1846" s="19"/>
      <c r="L1846" s="19"/>
      <c r="M1846" s="19"/>
      <c r="N1846" s="19"/>
      <c r="O1846" s="19"/>
      <c r="P1846" s="19"/>
      <c r="Q1846" s="19"/>
      <c r="R1846" s="19"/>
      <c r="S1846" s="19"/>
      <c r="T1846" s="19"/>
      <c r="U1846" s="19"/>
      <c r="V1846" s="19"/>
      <c r="W1846" s="19"/>
      <c r="X1846" s="19"/>
      <c r="Y1846" s="19"/>
      <c r="Z1846" s="19"/>
      <c r="AA1846" s="19"/>
      <c r="AB1846" s="19"/>
      <c r="AC1846" s="19"/>
    </row>
    <row r="1847" spans="2:29" x14ac:dyDescent="0.25">
      <c r="B1847" s="19"/>
      <c r="C1847" s="19"/>
      <c r="D1847" s="19"/>
      <c r="E1847" s="19"/>
      <c r="F1847" s="19"/>
      <c r="G1847" s="19"/>
      <c r="H1847" s="19"/>
      <c r="I1847" s="19"/>
      <c r="J1847" s="19"/>
      <c r="K1847" s="19"/>
      <c r="L1847" s="19"/>
      <c r="M1847" s="19"/>
      <c r="N1847" s="19"/>
      <c r="O1847" s="19"/>
      <c r="P1847" s="19"/>
      <c r="Q1847" s="19"/>
      <c r="R1847" s="19"/>
      <c r="S1847" s="19"/>
      <c r="T1847" s="19"/>
      <c r="U1847" s="19"/>
      <c r="V1847" s="19"/>
      <c r="W1847" s="19"/>
      <c r="X1847" s="19"/>
      <c r="Y1847" s="19"/>
      <c r="Z1847" s="19"/>
      <c r="AA1847" s="19"/>
      <c r="AB1847" s="19"/>
      <c r="AC1847" s="19"/>
    </row>
    <row r="1848" spans="2:29" x14ac:dyDescent="0.25">
      <c r="B1848" s="19"/>
      <c r="C1848" s="19"/>
      <c r="D1848" s="19"/>
      <c r="E1848" s="19"/>
      <c r="F1848" s="19"/>
      <c r="G1848" s="19"/>
      <c r="H1848" s="19"/>
      <c r="I1848" s="19"/>
      <c r="J1848" s="19"/>
      <c r="K1848" s="19"/>
      <c r="L1848" s="19"/>
      <c r="M1848" s="19"/>
      <c r="N1848" s="19"/>
      <c r="O1848" s="19"/>
      <c r="P1848" s="19"/>
      <c r="Q1848" s="19"/>
      <c r="R1848" s="19"/>
      <c r="S1848" s="19"/>
      <c r="T1848" s="19"/>
      <c r="U1848" s="19"/>
      <c r="V1848" s="19"/>
      <c r="W1848" s="19"/>
      <c r="X1848" s="19"/>
      <c r="Y1848" s="19"/>
      <c r="Z1848" s="19"/>
      <c r="AA1848" s="19"/>
      <c r="AB1848" s="19"/>
      <c r="AC1848" s="19"/>
    </row>
    <row r="1849" spans="2:29" x14ac:dyDescent="0.25">
      <c r="B1849" s="19"/>
      <c r="C1849" s="19"/>
      <c r="D1849" s="19"/>
      <c r="E1849" s="19"/>
      <c r="F1849" s="19"/>
      <c r="G1849" s="19"/>
      <c r="H1849" s="19"/>
      <c r="I1849" s="19"/>
      <c r="J1849" s="19"/>
      <c r="K1849" s="19"/>
      <c r="L1849" s="19"/>
      <c r="M1849" s="19"/>
      <c r="N1849" s="19"/>
      <c r="O1849" s="19"/>
      <c r="P1849" s="19"/>
      <c r="Q1849" s="19"/>
      <c r="R1849" s="19"/>
      <c r="S1849" s="19"/>
      <c r="T1849" s="19"/>
      <c r="U1849" s="19"/>
      <c r="V1849" s="19"/>
      <c r="W1849" s="19"/>
      <c r="X1849" s="19"/>
      <c r="Y1849" s="19"/>
      <c r="Z1849" s="19"/>
      <c r="AA1849" s="19"/>
      <c r="AB1849" s="19"/>
      <c r="AC1849" s="19"/>
    </row>
    <row r="1850" spans="2:29" x14ac:dyDescent="0.25">
      <c r="B1850" s="19"/>
      <c r="C1850" s="19"/>
      <c r="D1850" s="19"/>
      <c r="E1850" s="19"/>
      <c r="F1850" s="19"/>
      <c r="G1850" s="19"/>
      <c r="H1850" s="19"/>
      <c r="I1850" s="19"/>
      <c r="J1850" s="19"/>
      <c r="K1850" s="19"/>
      <c r="L1850" s="19"/>
      <c r="M1850" s="19"/>
      <c r="N1850" s="19"/>
      <c r="O1850" s="19"/>
      <c r="P1850" s="19"/>
      <c r="Q1850" s="19"/>
      <c r="R1850" s="19"/>
      <c r="S1850" s="19"/>
      <c r="T1850" s="19"/>
      <c r="U1850" s="19"/>
      <c r="V1850" s="19"/>
      <c r="W1850" s="19"/>
      <c r="X1850" s="19"/>
      <c r="Y1850" s="19"/>
      <c r="Z1850" s="19"/>
      <c r="AA1850" s="19"/>
      <c r="AB1850" s="19"/>
      <c r="AC1850" s="19"/>
    </row>
    <row r="1851" spans="2:29" x14ac:dyDescent="0.25">
      <c r="B1851" s="19"/>
      <c r="C1851" s="19"/>
      <c r="D1851" s="19"/>
      <c r="E1851" s="19"/>
      <c r="F1851" s="19"/>
      <c r="G1851" s="19"/>
      <c r="H1851" s="19"/>
      <c r="I1851" s="19"/>
      <c r="J1851" s="19"/>
      <c r="K1851" s="19"/>
      <c r="L1851" s="19"/>
      <c r="M1851" s="19"/>
      <c r="N1851" s="19"/>
      <c r="O1851" s="19"/>
      <c r="P1851" s="19"/>
      <c r="Q1851" s="19"/>
      <c r="R1851" s="19"/>
      <c r="S1851" s="19"/>
      <c r="T1851" s="19"/>
      <c r="U1851" s="19"/>
      <c r="V1851" s="19"/>
      <c r="W1851" s="19"/>
      <c r="X1851" s="19"/>
      <c r="Y1851" s="19"/>
      <c r="Z1851" s="19"/>
      <c r="AA1851" s="19"/>
      <c r="AB1851" s="19"/>
      <c r="AC1851" s="19"/>
    </row>
    <row r="1852" spans="2:29" x14ac:dyDescent="0.25">
      <c r="B1852" s="19"/>
      <c r="C1852" s="19"/>
      <c r="D1852" s="19"/>
      <c r="E1852" s="19"/>
      <c r="F1852" s="19"/>
      <c r="G1852" s="19"/>
      <c r="H1852" s="19"/>
      <c r="I1852" s="19"/>
      <c r="J1852" s="19"/>
      <c r="K1852" s="19"/>
      <c r="L1852" s="19"/>
      <c r="M1852" s="19"/>
      <c r="N1852" s="19"/>
      <c r="O1852" s="19"/>
      <c r="P1852" s="19"/>
      <c r="Q1852" s="19"/>
      <c r="R1852" s="19"/>
      <c r="S1852" s="19"/>
      <c r="T1852" s="19"/>
      <c r="U1852" s="19"/>
      <c r="V1852" s="19"/>
      <c r="W1852" s="19"/>
      <c r="X1852" s="19"/>
      <c r="Y1852" s="19"/>
      <c r="Z1852" s="19"/>
      <c r="AA1852" s="19"/>
      <c r="AB1852" s="19"/>
      <c r="AC1852" s="19"/>
    </row>
    <row r="1853" spans="2:29" x14ac:dyDescent="0.25">
      <c r="B1853" s="19"/>
      <c r="C1853" s="19"/>
      <c r="D1853" s="19"/>
      <c r="E1853" s="19"/>
      <c r="F1853" s="19"/>
      <c r="G1853" s="19"/>
      <c r="H1853" s="19"/>
      <c r="I1853" s="19"/>
      <c r="J1853" s="19"/>
      <c r="K1853" s="19"/>
      <c r="L1853" s="19"/>
      <c r="M1853" s="19"/>
      <c r="N1853" s="19"/>
      <c r="O1853" s="19"/>
      <c r="P1853" s="19"/>
      <c r="Q1853" s="19"/>
      <c r="R1853" s="19"/>
      <c r="S1853" s="19"/>
      <c r="T1853" s="19"/>
      <c r="U1853" s="19"/>
      <c r="V1853" s="19"/>
      <c r="W1853" s="19"/>
      <c r="X1853" s="19"/>
      <c r="Y1853" s="19"/>
      <c r="Z1853" s="19"/>
      <c r="AA1853" s="19"/>
      <c r="AB1853" s="19"/>
      <c r="AC1853" s="19"/>
    </row>
    <row r="1854" spans="2:29" x14ac:dyDescent="0.25">
      <c r="B1854" s="19"/>
      <c r="C1854" s="19"/>
      <c r="D1854" s="19"/>
      <c r="E1854" s="19"/>
      <c r="F1854" s="19"/>
      <c r="G1854" s="19"/>
      <c r="H1854" s="19"/>
      <c r="I1854" s="19"/>
      <c r="J1854" s="19"/>
      <c r="K1854" s="19"/>
      <c r="L1854" s="19"/>
      <c r="M1854" s="19"/>
      <c r="N1854" s="19"/>
      <c r="O1854" s="19"/>
      <c r="P1854" s="19"/>
      <c r="Q1854" s="19"/>
      <c r="R1854" s="19"/>
      <c r="S1854" s="19"/>
      <c r="T1854" s="19"/>
      <c r="U1854" s="19"/>
      <c r="V1854" s="19"/>
      <c r="W1854" s="19"/>
      <c r="X1854" s="19"/>
      <c r="Y1854" s="19"/>
      <c r="Z1854" s="19"/>
      <c r="AA1854" s="19"/>
      <c r="AB1854" s="19"/>
      <c r="AC1854" s="19"/>
    </row>
    <row r="1855" spans="2:29" x14ac:dyDescent="0.25">
      <c r="B1855" s="19"/>
      <c r="C1855" s="19"/>
      <c r="D1855" s="19"/>
      <c r="E1855" s="19"/>
      <c r="F1855" s="19"/>
      <c r="G1855" s="19"/>
      <c r="H1855" s="19"/>
      <c r="I1855" s="19"/>
      <c r="J1855" s="19"/>
      <c r="K1855" s="19"/>
      <c r="L1855" s="19"/>
      <c r="M1855" s="19"/>
      <c r="N1855" s="19"/>
      <c r="O1855" s="19"/>
      <c r="P1855" s="19"/>
      <c r="Q1855" s="19"/>
      <c r="R1855" s="19"/>
      <c r="S1855" s="19"/>
      <c r="T1855" s="19"/>
      <c r="U1855" s="19"/>
      <c r="V1855" s="19"/>
      <c r="W1855" s="19"/>
      <c r="X1855" s="19"/>
      <c r="Y1855" s="19"/>
      <c r="Z1855" s="19"/>
      <c r="AA1855" s="19"/>
      <c r="AB1855" s="19"/>
      <c r="AC1855" s="19"/>
    </row>
    <row r="1856" spans="2:29" x14ac:dyDescent="0.25">
      <c r="B1856" s="19"/>
      <c r="C1856" s="19"/>
      <c r="D1856" s="19"/>
      <c r="E1856" s="19"/>
      <c r="F1856" s="19"/>
      <c r="G1856" s="19"/>
      <c r="H1856" s="19"/>
      <c r="I1856" s="19"/>
      <c r="J1856" s="19"/>
      <c r="K1856" s="19"/>
      <c r="L1856" s="19"/>
      <c r="M1856" s="19"/>
      <c r="N1856" s="19"/>
      <c r="O1856" s="19"/>
      <c r="P1856" s="19"/>
      <c r="Q1856" s="19"/>
      <c r="R1856" s="19"/>
      <c r="S1856" s="19"/>
      <c r="T1856" s="19"/>
      <c r="U1856" s="19"/>
      <c r="V1856" s="19"/>
      <c r="W1856" s="19"/>
      <c r="X1856" s="19"/>
      <c r="Y1856" s="19"/>
      <c r="Z1856" s="19"/>
      <c r="AA1856" s="19"/>
      <c r="AB1856" s="19"/>
      <c r="AC1856" s="19"/>
    </row>
    <row r="1857" spans="2:29" x14ac:dyDescent="0.25">
      <c r="B1857" s="19"/>
      <c r="C1857" s="19"/>
      <c r="D1857" s="19"/>
      <c r="E1857" s="19"/>
      <c r="F1857" s="19"/>
      <c r="G1857" s="19"/>
      <c r="H1857" s="19"/>
      <c r="I1857" s="19"/>
      <c r="J1857" s="19"/>
      <c r="K1857" s="19"/>
      <c r="L1857" s="19"/>
      <c r="M1857" s="19"/>
      <c r="N1857" s="19"/>
      <c r="O1857" s="19"/>
      <c r="P1857" s="19"/>
      <c r="Q1857" s="19"/>
      <c r="R1857" s="19"/>
      <c r="S1857" s="19"/>
      <c r="T1857" s="19"/>
      <c r="U1857" s="19"/>
      <c r="V1857" s="19"/>
      <c r="W1857" s="19"/>
      <c r="X1857" s="19"/>
      <c r="Y1857" s="19"/>
      <c r="Z1857" s="19"/>
      <c r="AA1857" s="19"/>
      <c r="AB1857" s="19"/>
      <c r="AC1857" s="19"/>
    </row>
    <row r="1858" spans="2:29" x14ac:dyDescent="0.25">
      <c r="B1858" s="19"/>
      <c r="C1858" s="19"/>
      <c r="D1858" s="19"/>
      <c r="E1858" s="19"/>
      <c r="F1858" s="19"/>
      <c r="G1858" s="19"/>
      <c r="H1858" s="19"/>
      <c r="I1858" s="19"/>
      <c r="J1858" s="19"/>
      <c r="K1858" s="19"/>
      <c r="L1858" s="19"/>
      <c r="M1858" s="19"/>
      <c r="N1858" s="19"/>
      <c r="O1858" s="19"/>
      <c r="P1858" s="19"/>
      <c r="Q1858" s="19"/>
      <c r="R1858" s="19"/>
      <c r="S1858" s="19"/>
      <c r="T1858" s="19"/>
      <c r="U1858" s="19"/>
      <c r="V1858" s="19"/>
      <c r="W1858" s="19"/>
      <c r="X1858" s="19"/>
      <c r="Y1858" s="19"/>
      <c r="Z1858" s="19"/>
      <c r="AA1858" s="19"/>
      <c r="AB1858" s="19"/>
      <c r="AC1858" s="19"/>
    </row>
    <row r="1859" spans="2:29" x14ac:dyDescent="0.25">
      <c r="B1859" s="19"/>
      <c r="C1859" s="19"/>
      <c r="D1859" s="19"/>
      <c r="E1859" s="19"/>
      <c r="F1859" s="19"/>
      <c r="G1859" s="19"/>
      <c r="H1859" s="19"/>
      <c r="I1859" s="19"/>
      <c r="J1859" s="19"/>
      <c r="K1859" s="19"/>
      <c r="L1859" s="19"/>
      <c r="M1859" s="19"/>
      <c r="N1859" s="19"/>
      <c r="O1859" s="19"/>
      <c r="P1859" s="19"/>
      <c r="Q1859" s="19"/>
      <c r="R1859" s="19"/>
      <c r="S1859" s="19"/>
      <c r="T1859" s="19"/>
      <c r="U1859" s="19"/>
      <c r="V1859" s="19"/>
      <c r="W1859" s="19"/>
      <c r="X1859" s="19"/>
      <c r="Y1859" s="19"/>
      <c r="Z1859" s="19"/>
      <c r="AA1859" s="19"/>
      <c r="AB1859" s="19"/>
      <c r="AC1859" s="19"/>
    </row>
    <row r="1860" spans="2:29" x14ac:dyDescent="0.25">
      <c r="B1860" s="19"/>
      <c r="C1860" s="19"/>
      <c r="D1860" s="19"/>
      <c r="E1860" s="19"/>
      <c r="F1860" s="19"/>
      <c r="G1860" s="19"/>
      <c r="H1860" s="19"/>
      <c r="I1860" s="19"/>
      <c r="J1860" s="19"/>
      <c r="K1860" s="19"/>
      <c r="L1860" s="19"/>
      <c r="M1860" s="19"/>
      <c r="N1860" s="19"/>
      <c r="O1860" s="19"/>
      <c r="P1860" s="19"/>
      <c r="Q1860" s="19"/>
      <c r="R1860" s="19"/>
      <c r="S1860" s="19"/>
      <c r="T1860" s="19"/>
      <c r="U1860" s="19"/>
      <c r="V1860" s="19"/>
      <c r="W1860" s="19"/>
      <c r="X1860" s="19"/>
      <c r="Y1860" s="19"/>
      <c r="Z1860" s="19"/>
      <c r="AA1860" s="19"/>
      <c r="AB1860" s="19"/>
      <c r="AC1860" s="19"/>
    </row>
    <row r="1861" spans="2:29" x14ac:dyDescent="0.25">
      <c r="B1861" s="19"/>
      <c r="C1861" s="19"/>
      <c r="D1861" s="19"/>
      <c r="E1861" s="19"/>
      <c r="F1861" s="19"/>
      <c r="G1861" s="19"/>
      <c r="H1861" s="19"/>
      <c r="I1861" s="19"/>
      <c r="J1861" s="19"/>
      <c r="K1861" s="19"/>
      <c r="L1861" s="19"/>
      <c r="M1861" s="19"/>
      <c r="N1861" s="19"/>
      <c r="O1861" s="19"/>
      <c r="P1861" s="19"/>
      <c r="Q1861" s="19"/>
      <c r="R1861" s="19"/>
      <c r="S1861" s="19"/>
      <c r="T1861" s="19"/>
      <c r="U1861" s="19"/>
      <c r="V1861" s="19"/>
      <c r="W1861" s="19"/>
      <c r="X1861" s="19"/>
      <c r="Y1861" s="19"/>
      <c r="Z1861" s="19"/>
      <c r="AA1861" s="19"/>
      <c r="AB1861" s="19"/>
      <c r="AC1861" s="19"/>
    </row>
    <row r="1862" spans="2:29" x14ac:dyDescent="0.25">
      <c r="B1862" s="19"/>
      <c r="C1862" s="19"/>
      <c r="D1862" s="19"/>
      <c r="E1862" s="19"/>
      <c r="F1862" s="19"/>
      <c r="G1862" s="19"/>
      <c r="H1862" s="19"/>
      <c r="I1862" s="19"/>
      <c r="J1862" s="19"/>
      <c r="K1862" s="19"/>
      <c r="L1862" s="19"/>
      <c r="M1862" s="19"/>
      <c r="N1862" s="19"/>
      <c r="O1862" s="19"/>
      <c r="P1862" s="19"/>
      <c r="Q1862" s="19"/>
      <c r="R1862" s="19"/>
      <c r="S1862" s="19"/>
      <c r="T1862" s="19"/>
      <c r="U1862" s="19"/>
      <c r="V1862" s="19"/>
      <c r="W1862" s="19"/>
      <c r="X1862" s="19"/>
      <c r="Y1862" s="19"/>
      <c r="Z1862" s="19"/>
      <c r="AA1862" s="19"/>
      <c r="AB1862" s="19"/>
      <c r="AC1862" s="19"/>
    </row>
    <row r="1863" spans="2:29" x14ac:dyDescent="0.25">
      <c r="B1863" s="19"/>
      <c r="C1863" s="19"/>
      <c r="D1863" s="19"/>
      <c r="E1863" s="19"/>
      <c r="F1863" s="19"/>
      <c r="G1863" s="19"/>
      <c r="H1863" s="19"/>
      <c r="I1863" s="19"/>
      <c r="J1863" s="19"/>
      <c r="K1863" s="19"/>
      <c r="L1863" s="19"/>
      <c r="M1863" s="19"/>
      <c r="N1863" s="19"/>
      <c r="O1863" s="19"/>
      <c r="P1863" s="19"/>
      <c r="Q1863" s="19"/>
      <c r="R1863" s="19"/>
      <c r="S1863" s="19"/>
      <c r="T1863" s="19"/>
      <c r="U1863" s="19"/>
      <c r="V1863" s="19"/>
      <c r="W1863" s="19"/>
      <c r="X1863" s="19"/>
      <c r="Y1863" s="19"/>
      <c r="Z1863" s="19"/>
      <c r="AA1863" s="19"/>
      <c r="AB1863" s="19"/>
      <c r="AC1863" s="19"/>
    </row>
    <row r="1864" spans="2:29" x14ac:dyDescent="0.25">
      <c r="B1864" s="19"/>
      <c r="C1864" s="19"/>
      <c r="D1864" s="19"/>
      <c r="E1864" s="19"/>
      <c r="F1864" s="19"/>
      <c r="G1864" s="19"/>
      <c r="H1864" s="19"/>
      <c r="I1864" s="19"/>
      <c r="J1864" s="19"/>
      <c r="K1864" s="19"/>
      <c r="L1864" s="19"/>
      <c r="M1864" s="19"/>
      <c r="N1864" s="19"/>
      <c r="O1864" s="19"/>
      <c r="P1864" s="19"/>
      <c r="Q1864" s="19"/>
      <c r="R1864" s="19"/>
      <c r="S1864" s="19"/>
      <c r="T1864" s="19"/>
      <c r="U1864" s="19"/>
      <c r="V1864" s="19"/>
      <c r="W1864" s="19"/>
      <c r="X1864" s="19"/>
      <c r="Y1864" s="19"/>
      <c r="Z1864" s="19"/>
      <c r="AA1864" s="19"/>
      <c r="AB1864" s="19"/>
      <c r="AC1864" s="19"/>
    </row>
    <row r="1865" spans="2:29" x14ac:dyDescent="0.25">
      <c r="B1865" s="19"/>
      <c r="C1865" s="19"/>
      <c r="D1865" s="19"/>
      <c r="E1865" s="19"/>
      <c r="F1865" s="19"/>
      <c r="G1865" s="19"/>
      <c r="H1865" s="19"/>
      <c r="I1865" s="19"/>
      <c r="J1865" s="19"/>
      <c r="K1865" s="19"/>
      <c r="L1865" s="19"/>
      <c r="M1865" s="19"/>
      <c r="N1865" s="19"/>
      <c r="O1865" s="19"/>
      <c r="P1865" s="19"/>
      <c r="Q1865" s="19"/>
      <c r="R1865" s="19"/>
      <c r="S1865" s="19"/>
      <c r="T1865" s="19"/>
      <c r="U1865" s="19"/>
      <c r="V1865" s="19"/>
      <c r="W1865" s="19"/>
      <c r="X1865" s="19"/>
      <c r="Y1865" s="19"/>
      <c r="Z1865" s="19"/>
      <c r="AA1865" s="19"/>
      <c r="AB1865" s="19"/>
      <c r="AC1865" s="19"/>
    </row>
    <row r="1866" spans="2:29" x14ac:dyDescent="0.25">
      <c r="B1866" s="19"/>
      <c r="C1866" s="19"/>
      <c r="D1866" s="19"/>
      <c r="E1866" s="19"/>
      <c r="F1866" s="19"/>
      <c r="G1866" s="19"/>
      <c r="H1866" s="19"/>
      <c r="I1866" s="19"/>
      <c r="J1866" s="19"/>
      <c r="K1866" s="19"/>
      <c r="L1866" s="19"/>
      <c r="M1866" s="19"/>
      <c r="N1866" s="19"/>
      <c r="O1866" s="19"/>
      <c r="P1866" s="19"/>
      <c r="Q1866" s="19"/>
      <c r="R1866" s="19"/>
      <c r="S1866" s="19"/>
      <c r="T1866" s="19"/>
      <c r="U1866" s="19"/>
      <c r="V1866" s="19"/>
      <c r="W1866" s="19"/>
      <c r="X1866" s="19"/>
      <c r="Y1866" s="19"/>
      <c r="Z1866" s="19"/>
      <c r="AA1866" s="19"/>
      <c r="AB1866" s="19"/>
      <c r="AC1866" s="19"/>
    </row>
    <row r="1867" spans="2:29" x14ac:dyDescent="0.25">
      <c r="B1867" s="19"/>
      <c r="C1867" s="19"/>
      <c r="D1867" s="19"/>
      <c r="E1867" s="19"/>
      <c r="F1867" s="19"/>
      <c r="G1867" s="19"/>
      <c r="H1867" s="19"/>
      <c r="I1867" s="19"/>
      <c r="J1867" s="19"/>
      <c r="K1867" s="19"/>
      <c r="L1867" s="19"/>
      <c r="M1867" s="19"/>
      <c r="N1867" s="19"/>
      <c r="O1867" s="19"/>
      <c r="P1867" s="19"/>
      <c r="Q1867" s="19"/>
      <c r="R1867" s="19"/>
      <c r="S1867" s="19"/>
      <c r="T1867" s="19"/>
      <c r="U1867" s="19"/>
      <c r="V1867" s="19"/>
      <c r="W1867" s="19"/>
      <c r="X1867" s="19"/>
      <c r="Y1867" s="19"/>
      <c r="Z1867" s="19"/>
      <c r="AA1867" s="19"/>
      <c r="AB1867" s="19"/>
      <c r="AC1867" s="19"/>
    </row>
    <row r="1868" spans="2:29" x14ac:dyDescent="0.25">
      <c r="B1868" s="19"/>
      <c r="C1868" s="19"/>
      <c r="D1868" s="19"/>
      <c r="E1868" s="19"/>
      <c r="F1868" s="19"/>
      <c r="G1868" s="19"/>
      <c r="H1868" s="19"/>
      <c r="I1868" s="19"/>
      <c r="J1868" s="19"/>
      <c r="K1868" s="19"/>
      <c r="L1868" s="19"/>
      <c r="M1868" s="19"/>
      <c r="N1868" s="19"/>
      <c r="O1868" s="19"/>
      <c r="P1868" s="19"/>
      <c r="Q1868" s="19"/>
      <c r="R1868" s="19"/>
      <c r="S1868" s="19"/>
      <c r="T1868" s="19"/>
      <c r="U1868" s="19"/>
      <c r="V1868" s="19"/>
      <c r="W1868" s="19"/>
      <c r="X1868" s="19"/>
      <c r="Y1868" s="19"/>
      <c r="Z1868" s="19"/>
      <c r="AA1868" s="19"/>
      <c r="AB1868" s="19"/>
      <c r="AC1868" s="19"/>
    </row>
    <row r="1869" spans="2:29" x14ac:dyDescent="0.25">
      <c r="B1869" s="19"/>
      <c r="C1869" s="19"/>
      <c r="D1869" s="19"/>
      <c r="E1869" s="19"/>
      <c r="F1869" s="19"/>
      <c r="G1869" s="19"/>
      <c r="H1869" s="19"/>
      <c r="I1869" s="19"/>
      <c r="J1869" s="19"/>
      <c r="K1869" s="19"/>
      <c r="L1869" s="19"/>
      <c r="M1869" s="19"/>
      <c r="N1869" s="19"/>
      <c r="O1869" s="19"/>
      <c r="P1869" s="19"/>
      <c r="Q1869" s="19"/>
      <c r="R1869" s="19"/>
      <c r="S1869" s="19"/>
      <c r="T1869" s="19"/>
      <c r="U1869" s="19"/>
      <c r="V1869" s="19"/>
      <c r="W1869" s="19"/>
      <c r="X1869" s="19"/>
      <c r="Y1869" s="19"/>
      <c r="Z1869" s="19"/>
      <c r="AA1869" s="19"/>
      <c r="AB1869" s="19"/>
      <c r="AC1869" s="19"/>
    </row>
    <row r="1870" spans="2:29" x14ac:dyDescent="0.25">
      <c r="B1870" s="19"/>
      <c r="C1870" s="19"/>
      <c r="D1870" s="19"/>
      <c r="E1870" s="19"/>
      <c r="F1870" s="19"/>
      <c r="G1870" s="19"/>
      <c r="H1870" s="19"/>
      <c r="I1870" s="19"/>
      <c r="J1870" s="19"/>
      <c r="K1870" s="19"/>
      <c r="L1870" s="19"/>
      <c r="M1870" s="19"/>
      <c r="N1870" s="19"/>
      <c r="O1870" s="19"/>
      <c r="P1870" s="19"/>
      <c r="Q1870" s="19"/>
      <c r="R1870" s="19"/>
      <c r="S1870" s="19"/>
      <c r="T1870" s="19"/>
      <c r="U1870" s="19"/>
      <c r="V1870" s="19"/>
      <c r="W1870" s="19"/>
      <c r="X1870" s="19"/>
      <c r="Y1870" s="19"/>
      <c r="Z1870" s="19"/>
      <c r="AA1870" s="19"/>
      <c r="AB1870" s="19"/>
      <c r="AC1870" s="19"/>
    </row>
    <row r="1871" spans="2:29" x14ac:dyDescent="0.25">
      <c r="B1871" s="19"/>
      <c r="C1871" s="19"/>
      <c r="D1871" s="19"/>
      <c r="E1871" s="19"/>
      <c r="F1871" s="19"/>
      <c r="G1871" s="19"/>
      <c r="H1871" s="19"/>
      <c r="I1871" s="19"/>
      <c r="J1871" s="19"/>
      <c r="K1871" s="19"/>
      <c r="L1871" s="19"/>
      <c r="M1871" s="19"/>
      <c r="N1871" s="19"/>
      <c r="O1871" s="19"/>
      <c r="P1871" s="19"/>
      <c r="Q1871" s="19"/>
      <c r="R1871" s="19"/>
      <c r="S1871" s="19"/>
      <c r="T1871" s="19"/>
      <c r="U1871" s="19"/>
      <c r="V1871" s="19"/>
      <c r="W1871" s="19"/>
      <c r="X1871" s="19"/>
      <c r="Y1871" s="19"/>
      <c r="Z1871" s="19"/>
      <c r="AA1871" s="19"/>
      <c r="AB1871" s="19"/>
      <c r="AC1871" s="19"/>
    </row>
    <row r="1872" spans="2:29" x14ac:dyDescent="0.25">
      <c r="B1872" s="19"/>
      <c r="C1872" s="19"/>
      <c r="D1872" s="19"/>
      <c r="E1872" s="19"/>
      <c r="F1872" s="19"/>
      <c r="G1872" s="19"/>
      <c r="H1872" s="19"/>
      <c r="I1872" s="19"/>
      <c r="J1872" s="19"/>
      <c r="K1872" s="19"/>
      <c r="L1872" s="19"/>
      <c r="M1872" s="19"/>
      <c r="N1872" s="19"/>
      <c r="O1872" s="19"/>
      <c r="P1872" s="19"/>
      <c r="Q1872" s="19"/>
      <c r="R1872" s="19"/>
      <c r="S1872" s="19"/>
      <c r="T1872" s="19"/>
      <c r="U1872" s="19"/>
      <c r="V1872" s="19"/>
      <c r="W1872" s="19"/>
      <c r="X1872" s="19"/>
      <c r="Y1872" s="19"/>
      <c r="Z1872" s="19"/>
      <c r="AA1872" s="19"/>
      <c r="AB1872" s="19"/>
      <c r="AC1872" s="19"/>
    </row>
    <row r="1873" spans="2:29" x14ac:dyDescent="0.25">
      <c r="B1873" s="19"/>
      <c r="C1873" s="19"/>
      <c r="D1873" s="19"/>
      <c r="E1873" s="19"/>
      <c r="F1873" s="19"/>
      <c r="G1873" s="19"/>
      <c r="H1873" s="19"/>
      <c r="I1873" s="19"/>
      <c r="J1873" s="19"/>
      <c r="K1873" s="19"/>
      <c r="L1873" s="19"/>
      <c r="M1873" s="19"/>
      <c r="N1873" s="19"/>
      <c r="O1873" s="19"/>
      <c r="P1873" s="19"/>
      <c r="Q1873" s="19"/>
      <c r="R1873" s="19"/>
      <c r="S1873" s="19"/>
      <c r="T1873" s="19"/>
      <c r="U1873" s="19"/>
      <c r="V1873" s="19"/>
      <c r="W1873" s="19"/>
      <c r="X1873" s="19"/>
      <c r="Y1873" s="19"/>
      <c r="Z1873" s="19"/>
      <c r="AA1873" s="19"/>
      <c r="AB1873" s="19"/>
      <c r="AC1873" s="19"/>
    </row>
    <row r="1874" spans="2:29" x14ac:dyDescent="0.25">
      <c r="B1874" s="19"/>
      <c r="C1874" s="19"/>
      <c r="D1874" s="19"/>
      <c r="E1874" s="19"/>
      <c r="F1874" s="19"/>
      <c r="G1874" s="19"/>
      <c r="H1874" s="19"/>
      <c r="I1874" s="19"/>
      <c r="J1874" s="19"/>
      <c r="K1874" s="19"/>
      <c r="L1874" s="19"/>
      <c r="M1874" s="19"/>
      <c r="N1874" s="19"/>
      <c r="O1874" s="19"/>
      <c r="P1874" s="19"/>
      <c r="Q1874" s="19"/>
      <c r="R1874" s="19"/>
      <c r="S1874" s="19"/>
      <c r="T1874" s="19"/>
      <c r="U1874" s="19"/>
      <c r="V1874" s="19"/>
      <c r="W1874" s="19"/>
      <c r="X1874" s="19"/>
      <c r="Y1874" s="19"/>
      <c r="Z1874" s="19"/>
      <c r="AA1874" s="19"/>
      <c r="AB1874" s="19"/>
      <c r="AC1874" s="19"/>
    </row>
    <row r="1875" spans="2:29" x14ac:dyDescent="0.25">
      <c r="B1875" s="19"/>
      <c r="C1875" s="19"/>
      <c r="D1875" s="19"/>
      <c r="E1875" s="19"/>
      <c r="F1875" s="19"/>
      <c r="G1875" s="19"/>
      <c r="H1875" s="19"/>
      <c r="I1875" s="19"/>
      <c r="J1875" s="19"/>
      <c r="K1875" s="19"/>
      <c r="L1875" s="19"/>
      <c r="M1875" s="19"/>
      <c r="N1875" s="19"/>
      <c r="O1875" s="19"/>
      <c r="P1875" s="19"/>
      <c r="Q1875" s="19"/>
      <c r="R1875" s="19"/>
      <c r="S1875" s="19"/>
      <c r="T1875" s="19"/>
      <c r="U1875" s="19"/>
      <c r="V1875" s="19"/>
      <c r="W1875" s="19"/>
      <c r="X1875" s="19"/>
      <c r="Y1875" s="19"/>
      <c r="Z1875" s="19"/>
      <c r="AA1875" s="19"/>
      <c r="AB1875" s="19"/>
      <c r="AC1875" s="19"/>
    </row>
    <row r="1876" spans="2:29" x14ac:dyDescent="0.25">
      <c r="B1876" s="19"/>
      <c r="C1876" s="19"/>
      <c r="D1876" s="19"/>
      <c r="E1876" s="19"/>
      <c r="F1876" s="19"/>
      <c r="G1876" s="19"/>
      <c r="H1876" s="19"/>
      <c r="I1876" s="19"/>
      <c r="J1876" s="19"/>
      <c r="K1876" s="19"/>
      <c r="L1876" s="19"/>
      <c r="M1876" s="19"/>
      <c r="N1876" s="19"/>
      <c r="O1876" s="19"/>
      <c r="P1876" s="19"/>
      <c r="Q1876" s="19"/>
      <c r="R1876" s="19"/>
      <c r="S1876" s="19"/>
      <c r="T1876" s="19"/>
      <c r="U1876" s="19"/>
      <c r="V1876" s="19"/>
      <c r="W1876" s="19"/>
      <c r="X1876" s="19"/>
      <c r="Y1876" s="19"/>
      <c r="Z1876" s="19"/>
      <c r="AA1876" s="19"/>
      <c r="AB1876" s="19"/>
      <c r="AC1876" s="19"/>
    </row>
    <row r="1877" spans="2:29" x14ac:dyDescent="0.25">
      <c r="B1877" s="19"/>
      <c r="C1877" s="19"/>
      <c r="D1877" s="19"/>
      <c r="E1877" s="19"/>
      <c r="F1877" s="19"/>
      <c r="G1877" s="19"/>
      <c r="H1877" s="19"/>
      <c r="I1877" s="19"/>
      <c r="J1877" s="19"/>
      <c r="K1877" s="19"/>
      <c r="L1877" s="19"/>
      <c r="M1877" s="19"/>
      <c r="N1877" s="19"/>
      <c r="O1877" s="19"/>
      <c r="P1877" s="19"/>
      <c r="Q1877" s="19"/>
      <c r="R1877" s="19"/>
      <c r="S1877" s="19"/>
      <c r="T1877" s="19"/>
      <c r="U1877" s="19"/>
      <c r="V1877" s="19"/>
      <c r="W1877" s="19"/>
      <c r="X1877" s="19"/>
      <c r="Y1877" s="19"/>
      <c r="Z1877" s="19"/>
      <c r="AA1877" s="19"/>
      <c r="AB1877" s="19"/>
      <c r="AC1877" s="19"/>
    </row>
    <row r="1878" spans="2:29" x14ac:dyDescent="0.25">
      <c r="B1878" s="19"/>
      <c r="C1878" s="19"/>
      <c r="D1878" s="19"/>
      <c r="E1878" s="19"/>
      <c r="F1878" s="19"/>
      <c r="G1878" s="19"/>
      <c r="H1878" s="19"/>
      <c r="I1878" s="19"/>
      <c r="J1878" s="19"/>
      <c r="K1878" s="19"/>
      <c r="L1878" s="19"/>
      <c r="M1878" s="19"/>
      <c r="N1878" s="19"/>
      <c r="O1878" s="19"/>
      <c r="P1878" s="19"/>
      <c r="Q1878" s="19"/>
      <c r="R1878" s="19"/>
      <c r="S1878" s="19"/>
      <c r="T1878" s="19"/>
      <c r="U1878" s="19"/>
      <c r="V1878" s="19"/>
      <c r="W1878" s="19"/>
      <c r="X1878" s="19"/>
      <c r="Y1878" s="19"/>
      <c r="Z1878" s="19"/>
      <c r="AA1878" s="19"/>
      <c r="AB1878" s="19"/>
      <c r="AC1878" s="19"/>
    </row>
    <row r="1879" spans="2:29" x14ac:dyDescent="0.25">
      <c r="B1879" s="19"/>
      <c r="C1879" s="19"/>
      <c r="D1879" s="19"/>
      <c r="E1879" s="19"/>
      <c r="F1879" s="19"/>
      <c r="G1879" s="19"/>
      <c r="H1879" s="19"/>
      <c r="I1879" s="19"/>
      <c r="J1879" s="19"/>
      <c r="K1879" s="19"/>
      <c r="L1879" s="19"/>
      <c r="M1879" s="19"/>
      <c r="N1879" s="19"/>
      <c r="O1879" s="19"/>
      <c r="P1879" s="19"/>
      <c r="Q1879" s="19"/>
      <c r="R1879" s="19"/>
      <c r="S1879" s="19"/>
      <c r="T1879" s="19"/>
      <c r="U1879" s="19"/>
      <c r="V1879" s="19"/>
      <c r="W1879" s="19"/>
      <c r="X1879" s="19"/>
      <c r="Y1879" s="19"/>
      <c r="Z1879" s="19"/>
      <c r="AA1879" s="19"/>
      <c r="AB1879" s="19"/>
      <c r="AC1879" s="19"/>
    </row>
    <row r="1880" spans="2:29" x14ac:dyDescent="0.25">
      <c r="B1880" s="19"/>
      <c r="C1880" s="19"/>
      <c r="D1880" s="19"/>
      <c r="E1880" s="19"/>
      <c r="F1880" s="19"/>
      <c r="G1880" s="19"/>
      <c r="H1880" s="19"/>
      <c r="I1880" s="19"/>
      <c r="J1880" s="19"/>
      <c r="K1880" s="19"/>
      <c r="L1880" s="19"/>
      <c r="M1880" s="19"/>
      <c r="N1880" s="19"/>
      <c r="O1880" s="19"/>
      <c r="P1880" s="19"/>
      <c r="Q1880" s="19"/>
      <c r="R1880" s="19"/>
      <c r="S1880" s="19"/>
      <c r="T1880" s="19"/>
      <c r="U1880" s="19"/>
      <c r="V1880" s="19"/>
      <c r="W1880" s="19"/>
      <c r="X1880" s="19"/>
      <c r="Y1880" s="19"/>
      <c r="Z1880" s="19"/>
      <c r="AA1880" s="19"/>
      <c r="AB1880" s="19"/>
      <c r="AC1880" s="19"/>
    </row>
    <row r="1881" spans="2:29" x14ac:dyDescent="0.25">
      <c r="B1881" s="19"/>
      <c r="C1881" s="19"/>
      <c r="D1881" s="19"/>
      <c r="E1881" s="19"/>
      <c r="F1881" s="19"/>
      <c r="G1881" s="19"/>
      <c r="H1881" s="19"/>
      <c r="I1881" s="19"/>
      <c r="J1881" s="19"/>
      <c r="K1881" s="19"/>
      <c r="L1881" s="19"/>
      <c r="M1881" s="19"/>
      <c r="N1881" s="19"/>
      <c r="O1881" s="19"/>
      <c r="P1881" s="19"/>
      <c r="Q1881" s="19"/>
      <c r="R1881" s="19"/>
      <c r="S1881" s="19"/>
      <c r="T1881" s="19"/>
      <c r="U1881" s="19"/>
      <c r="V1881" s="19"/>
      <c r="W1881" s="19"/>
      <c r="X1881" s="19"/>
      <c r="Y1881" s="19"/>
      <c r="Z1881" s="19"/>
      <c r="AA1881" s="19"/>
      <c r="AB1881" s="19"/>
      <c r="AC1881" s="19"/>
    </row>
    <row r="1882" spans="2:29" x14ac:dyDescent="0.25">
      <c r="B1882" s="19"/>
      <c r="C1882" s="19"/>
      <c r="D1882" s="19"/>
      <c r="E1882" s="19"/>
      <c r="F1882" s="19"/>
      <c r="G1882" s="19"/>
      <c r="H1882" s="19"/>
      <c r="I1882" s="19"/>
      <c r="J1882" s="19"/>
      <c r="K1882" s="19"/>
      <c r="L1882" s="19"/>
      <c r="M1882" s="19"/>
      <c r="N1882" s="19"/>
      <c r="O1882" s="19"/>
      <c r="P1882" s="19"/>
      <c r="Q1882" s="19"/>
      <c r="R1882" s="19"/>
      <c r="S1882" s="19"/>
      <c r="T1882" s="19"/>
      <c r="U1882" s="19"/>
      <c r="V1882" s="19"/>
      <c r="W1882" s="19"/>
      <c r="X1882" s="19"/>
      <c r="Y1882" s="19"/>
      <c r="Z1882" s="19"/>
      <c r="AA1882" s="19"/>
      <c r="AB1882" s="19"/>
      <c r="AC1882" s="19"/>
    </row>
    <row r="1883" spans="2:29" x14ac:dyDescent="0.25">
      <c r="B1883" s="19"/>
      <c r="C1883" s="19"/>
      <c r="D1883" s="19"/>
      <c r="E1883" s="19"/>
      <c r="F1883" s="19"/>
      <c r="G1883" s="19"/>
      <c r="H1883" s="19"/>
      <c r="I1883" s="19"/>
      <c r="J1883" s="19"/>
      <c r="K1883" s="19"/>
      <c r="L1883" s="19"/>
      <c r="M1883" s="19"/>
      <c r="N1883" s="19"/>
      <c r="O1883" s="19"/>
      <c r="P1883" s="19"/>
      <c r="Q1883" s="19"/>
      <c r="R1883" s="19"/>
      <c r="S1883" s="19"/>
      <c r="T1883" s="19"/>
      <c r="U1883" s="19"/>
      <c r="V1883" s="19"/>
      <c r="W1883" s="19"/>
      <c r="X1883" s="19"/>
      <c r="Y1883" s="19"/>
      <c r="Z1883" s="19"/>
      <c r="AA1883" s="19"/>
      <c r="AB1883" s="19"/>
      <c r="AC1883" s="19"/>
    </row>
    <row r="1884" spans="2:29" x14ac:dyDescent="0.25">
      <c r="B1884" s="19"/>
      <c r="C1884" s="19"/>
      <c r="D1884" s="19"/>
      <c r="E1884" s="19"/>
      <c r="F1884" s="19"/>
      <c r="G1884" s="19"/>
      <c r="H1884" s="19"/>
      <c r="I1884" s="19"/>
      <c r="J1884" s="19"/>
      <c r="K1884" s="19"/>
      <c r="L1884" s="19"/>
      <c r="M1884" s="19"/>
      <c r="N1884" s="19"/>
      <c r="O1884" s="19"/>
      <c r="P1884" s="19"/>
      <c r="Q1884" s="19"/>
      <c r="R1884" s="19"/>
      <c r="S1884" s="19"/>
      <c r="T1884" s="19"/>
      <c r="U1884" s="19"/>
      <c r="V1884" s="19"/>
      <c r="W1884" s="19"/>
      <c r="X1884" s="19"/>
      <c r="Y1884" s="19"/>
      <c r="Z1884" s="19"/>
      <c r="AA1884" s="19"/>
      <c r="AB1884" s="19"/>
      <c r="AC1884" s="19"/>
    </row>
    <row r="1885" spans="2:29" x14ac:dyDescent="0.25">
      <c r="B1885" s="19"/>
      <c r="C1885" s="19"/>
      <c r="D1885" s="19"/>
      <c r="E1885" s="19"/>
      <c r="F1885" s="19"/>
      <c r="G1885" s="19"/>
      <c r="H1885" s="19"/>
      <c r="I1885" s="19"/>
      <c r="J1885" s="19"/>
      <c r="K1885" s="19"/>
      <c r="L1885" s="19"/>
      <c r="M1885" s="19"/>
      <c r="N1885" s="19"/>
      <c r="O1885" s="19"/>
      <c r="P1885" s="19"/>
      <c r="Q1885" s="19"/>
      <c r="R1885" s="19"/>
      <c r="S1885" s="19"/>
      <c r="T1885" s="19"/>
      <c r="U1885" s="19"/>
      <c r="V1885" s="19"/>
      <c r="W1885" s="19"/>
      <c r="X1885" s="19"/>
      <c r="Y1885" s="19"/>
      <c r="Z1885" s="19"/>
      <c r="AA1885" s="19"/>
      <c r="AB1885" s="19"/>
      <c r="AC1885" s="19"/>
    </row>
    <row r="1886" spans="2:29" x14ac:dyDescent="0.25">
      <c r="B1886" s="19"/>
      <c r="C1886" s="19"/>
      <c r="D1886" s="19"/>
      <c r="E1886" s="19"/>
      <c r="F1886" s="19"/>
      <c r="G1886" s="19"/>
      <c r="H1886" s="19"/>
      <c r="I1886" s="19"/>
      <c r="J1886" s="19"/>
      <c r="K1886" s="19"/>
      <c r="L1886" s="19"/>
      <c r="M1886" s="19"/>
      <c r="N1886" s="19"/>
      <c r="O1886" s="19"/>
      <c r="P1886" s="19"/>
      <c r="Q1886" s="19"/>
      <c r="R1886" s="19"/>
      <c r="S1886" s="19"/>
      <c r="T1886" s="19"/>
      <c r="U1886" s="19"/>
      <c r="V1886" s="19"/>
      <c r="W1886" s="19"/>
      <c r="X1886" s="19"/>
      <c r="Y1886" s="19"/>
      <c r="Z1886" s="19"/>
      <c r="AA1886" s="19"/>
      <c r="AB1886" s="19"/>
      <c r="AC1886" s="19"/>
    </row>
    <row r="1887" spans="2:29" x14ac:dyDescent="0.25">
      <c r="B1887" s="19"/>
      <c r="C1887" s="19"/>
      <c r="D1887" s="19"/>
      <c r="E1887" s="19"/>
      <c r="F1887" s="19"/>
      <c r="G1887" s="19"/>
      <c r="H1887" s="19"/>
      <c r="I1887" s="19"/>
      <c r="J1887" s="19"/>
      <c r="K1887" s="19"/>
      <c r="L1887" s="19"/>
      <c r="M1887" s="19"/>
      <c r="N1887" s="19"/>
      <c r="O1887" s="19"/>
      <c r="P1887" s="19"/>
      <c r="Q1887" s="19"/>
      <c r="R1887" s="19"/>
      <c r="S1887" s="19"/>
      <c r="T1887" s="19"/>
      <c r="U1887" s="19"/>
      <c r="V1887" s="19"/>
      <c r="W1887" s="19"/>
      <c r="X1887" s="19"/>
      <c r="Y1887" s="19"/>
      <c r="Z1887" s="19"/>
      <c r="AA1887" s="19"/>
      <c r="AB1887" s="19"/>
      <c r="AC1887" s="19"/>
    </row>
    <row r="1888" spans="2:29" x14ac:dyDescent="0.25">
      <c r="B1888" s="19"/>
      <c r="C1888" s="19"/>
      <c r="D1888" s="19"/>
      <c r="E1888" s="19"/>
      <c r="F1888" s="19"/>
      <c r="G1888" s="19"/>
      <c r="H1888" s="19"/>
      <c r="I1888" s="19"/>
      <c r="J1888" s="19"/>
      <c r="K1888" s="19"/>
      <c r="L1888" s="19"/>
      <c r="M1888" s="19"/>
      <c r="N1888" s="19"/>
      <c r="O1888" s="19"/>
      <c r="P1888" s="19"/>
      <c r="Q1888" s="19"/>
      <c r="R1888" s="19"/>
      <c r="S1888" s="19"/>
      <c r="T1888" s="19"/>
      <c r="U1888" s="19"/>
      <c r="V1888" s="19"/>
      <c r="W1888" s="19"/>
      <c r="X1888" s="19"/>
      <c r="Y1888" s="19"/>
      <c r="Z1888" s="19"/>
      <c r="AA1888" s="19"/>
      <c r="AB1888" s="19"/>
      <c r="AC1888" s="19"/>
    </row>
    <row r="1889" spans="2:29" x14ac:dyDescent="0.25">
      <c r="B1889" s="19"/>
      <c r="C1889" s="19"/>
      <c r="D1889" s="19"/>
      <c r="E1889" s="19"/>
      <c r="F1889" s="19"/>
      <c r="G1889" s="19"/>
      <c r="H1889" s="19"/>
      <c r="I1889" s="19"/>
      <c r="J1889" s="19"/>
      <c r="K1889" s="19"/>
      <c r="L1889" s="19"/>
      <c r="M1889" s="19"/>
      <c r="N1889" s="19"/>
      <c r="O1889" s="19"/>
      <c r="P1889" s="19"/>
      <c r="Q1889" s="19"/>
      <c r="R1889" s="19"/>
      <c r="S1889" s="19"/>
      <c r="T1889" s="19"/>
      <c r="U1889" s="19"/>
      <c r="V1889" s="19"/>
      <c r="W1889" s="19"/>
      <c r="X1889" s="19"/>
      <c r="Y1889" s="19"/>
      <c r="Z1889" s="19"/>
      <c r="AA1889" s="19"/>
      <c r="AB1889" s="19"/>
      <c r="AC1889" s="19"/>
    </row>
    <row r="1890" spans="2:29" x14ac:dyDescent="0.25">
      <c r="B1890" s="19"/>
      <c r="C1890" s="19"/>
      <c r="D1890" s="19"/>
      <c r="E1890" s="19"/>
      <c r="F1890" s="19"/>
      <c r="G1890" s="19"/>
      <c r="H1890" s="19"/>
      <c r="I1890" s="19"/>
      <c r="J1890" s="19"/>
      <c r="K1890" s="19"/>
      <c r="L1890" s="19"/>
      <c r="M1890" s="19"/>
      <c r="N1890" s="19"/>
      <c r="O1890" s="19"/>
      <c r="P1890" s="19"/>
      <c r="Q1890" s="19"/>
      <c r="R1890" s="19"/>
      <c r="S1890" s="19"/>
      <c r="T1890" s="19"/>
      <c r="U1890" s="19"/>
      <c r="V1890" s="19"/>
      <c r="W1890" s="19"/>
      <c r="X1890" s="19"/>
      <c r="Y1890" s="19"/>
      <c r="Z1890" s="19"/>
      <c r="AA1890" s="19"/>
      <c r="AB1890" s="19"/>
      <c r="AC1890" s="19"/>
    </row>
    <row r="1891" spans="2:29" x14ac:dyDescent="0.25">
      <c r="B1891" s="19"/>
      <c r="C1891" s="19"/>
      <c r="D1891" s="19"/>
      <c r="E1891" s="19"/>
      <c r="F1891" s="19"/>
      <c r="G1891" s="19"/>
      <c r="H1891" s="19"/>
      <c r="I1891" s="19"/>
      <c r="J1891" s="19"/>
      <c r="K1891" s="19"/>
      <c r="L1891" s="19"/>
      <c r="M1891" s="19"/>
      <c r="N1891" s="19"/>
      <c r="O1891" s="19"/>
      <c r="P1891" s="19"/>
      <c r="Q1891" s="19"/>
      <c r="R1891" s="19"/>
      <c r="S1891" s="19"/>
      <c r="T1891" s="19"/>
      <c r="U1891" s="19"/>
      <c r="V1891" s="19"/>
      <c r="W1891" s="19"/>
      <c r="X1891" s="19"/>
      <c r="Y1891" s="19"/>
      <c r="Z1891" s="19"/>
      <c r="AA1891" s="19"/>
      <c r="AB1891" s="19"/>
      <c r="AC1891" s="19"/>
    </row>
    <row r="1892" spans="2:29" x14ac:dyDescent="0.25">
      <c r="B1892" s="19"/>
      <c r="C1892" s="19"/>
      <c r="D1892" s="19"/>
      <c r="E1892" s="19"/>
      <c r="F1892" s="19"/>
      <c r="G1892" s="19"/>
      <c r="H1892" s="19"/>
      <c r="I1892" s="19"/>
      <c r="J1892" s="19"/>
      <c r="K1892" s="19"/>
      <c r="L1892" s="19"/>
      <c r="M1892" s="19"/>
      <c r="N1892" s="19"/>
      <c r="O1892" s="19"/>
      <c r="P1892" s="19"/>
      <c r="Q1892" s="19"/>
      <c r="R1892" s="19"/>
      <c r="S1892" s="19"/>
      <c r="T1892" s="19"/>
      <c r="U1892" s="19"/>
      <c r="V1892" s="19"/>
      <c r="W1892" s="19"/>
      <c r="X1892" s="19"/>
      <c r="Y1892" s="19"/>
      <c r="Z1892" s="19"/>
      <c r="AA1892" s="19"/>
      <c r="AB1892" s="19"/>
      <c r="AC1892" s="19"/>
    </row>
    <row r="1893" spans="2:29" x14ac:dyDescent="0.25">
      <c r="B1893" s="19"/>
      <c r="C1893" s="19"/>
      <c r="D1893" s="19"/>
      <c r="E1893" s="19"/>
      <c r="F1893" s="19"/>
      <c r="G1893" s="19"/>
      <c r="H1893" s="19"/>
      <c r="I1893" s="19"/>
      <c r="J1893" s="19"/>
      <c r="K1893" s="19"/>
      <c r="L1893" s="19"/>
      <c r="M1893" s="19"/>
      <c r="N1893" s="19"/>
      <c r="O1893" s="19"/>
      <c r="P1893" s="19"/>
      <c r="Q1893" s="19"/>
      <c r="R1893" s="19"/>
      <c r="S1893" s="19"/>
      <c r="T1893" s="19"/>
      <c r="U1893" s="19"/>
      <c r="V1893" s="19"/>
      <c r="W1893" s="19"/>
      <c r="X1893" s="19"/>
      <c r="Y1893" s="19"/>
      <c r="Z1893" s="19"/>
      <c r="AA1893" s="19"/>
      <c r="AB1893" s="19"/>
      <c r="AC1893" s="19"/>
    </row>
    <row r="1894" spans="2:29" x14ac:dyDescent="0.25">
      <c r="B1894" s="19"/>
      <c r="C1894" s="19"/>
      <c r="D1894" s="19"/>
      <c r="E1894" s="19"/>
      <c r="F1894" s="19"/>
      <c r="G1894" s="19"/>
      <c r="H1894" s="19"/>
      <c r="I1894" s="19"/>
      <c r="J1894" s="19"/>
      <c r="K1894" s="19"/>
      <c r="L1894" s="19"/>
      <c r="M1894" s="19"/>
      <c r="N1894" s="19"/>
      <c r="O1894" s="19"/>
      <c r="P1894" s="19"/>
      <c r="Q1894" s="19"/>
      <c r="R1894" s="19"/>
      <c r="S1894" s="19"/>
      <c r="T1894" s="19"/>
      <c r="U1894" s="19"/>
      <c r="V1894" s="19"/>
      <c r="W1894" s="19"/>
      <c r="X1894" s="19"/>
      <c r="Y1894" s="19"/>
      <c r="Z1894" s="19"/>
      <c r="AA1894" s="19"/>
      <c r="AB1894" s="19"/>
      <c r="AC1894" s="19"/>
    </row>
    <row r="1895" spans="2:29" x14ac:dyDescent="0.25">
      <c r="B1895" s="19"/>
      <c r="C1895" s="19"/>
      <c r="D1895" s="19"/>
      <c r="E1895" s="19"/>
      <c r="F1895" s="19"/>
      <c r="G1895" s="19"/>
      <c r="H1895" s="19"/>
      <c r="I1895" s="19"/>
      <c r="J1895" s="19"/>
      <c r="K1895" s="19"/>
      <c r="L1895" s="19"/>
      <c r="M1895" s="19"/>
      <c r="N1895" s="19"/>
      <c r="O1895" s="19"/>
      <c r="P1895" s="19"/>
      <c r="Q1895" s="19"/>
      <c r="R1895" s="19"/>
      <c r="S1895" s="19"/>
      <c r="T1895" s="19"/>
      <c r="U1895" s="19"/>
      <c r="V1895" s="19"/>
      <c r="W1895" s="19"/>
      <c r="X1895" s="19"/>
      <c r="Y1895" s="19"/>
      <c r="Z1895" s="19"/>
      <c r="AA1895" s="19"/>
      <c r="AB1895" s="19"/>
      <c r="AC1895" s="19"/>
    </row>
    <row r="1896" spans="2:29" x14ac:dyDescent="0.25">
      <c r="B1896" s="19"/>
      <c r="C1896" s="19"/>
      <c r="D1896" s="19"/>
      <c r="E1896" s="19"/>
      <c r="F1896" s="19"/>
      <c r="G1896" s="19"/>
      <c r="H1896" s="19"/>
      <c r="I1896" s="19"/>
      <c r="J1896" s="19"/>
      <c r="K1896" s="19"/>
      <c r="L1896" s="19"/>
      <c r="M1896" s="19"/>
      <c r="N1896" s="19"/>
      <c r="O1896" s="19"/>
      <c r="P1896" s="19"/>
      <c r="Q1896" s="19"/>
      <c r="R1896" s="19"/>
      <c r="S1896" s="19"/>
      <c r="T1896" s="19"/>
      <c r="U1896" s="19"/>
      <c r="V1896" s="19"/>
      <c r="W1896" s="19"/>
      <c r="X1896" s="19"/>
      <c r="Y1896" s="19"/>
      <c r="Z1896" s="19"/>
      <c r="AA1896" s="19"/>
      <c r="AB1896" s="19"/>
      <c r="AC1896" s="19"/>
    </row>
    <row r="1897" spans="2:29" x14ac:dyDescent="0.25">
      <c r="B1897" s="19"/>
      <c r="C1897" s="19"/>
      <c r="D1897" s="19"/>
      <c r="E1897" s="19"/>
      <c r="F1897" s="19"/>
      <c r="G1897" s="19"/>
      <c r="H1897" s="19"/>
      <c r="I1897" s="19"/>
      <c r="J1897" s="19"/>
      <c r="K1897" s="19"/>
      <c r="L1897" s="19"/>
      <c r="M1897" s="19"/>
      <c r="N1897" s="19"/>
      <c r="O1897" s="19"/>
      <c r="P1897" s="19"/>
      <c r="Q1897" s="19"/>
      <c r="R1897" s="19"/>
      <c r="S1897" s="19"/>
      <c r="T1897" s="19"/>
      <c r="U1897" s="19"/>
      <c r="V1897" s="19"/>
      <c r="W1897" s="19"/>
      <c r="X1897" s="19"/>
      <c r="Y1897" s="19"/>
      <c r="Z1897" s="19"/>
      <c r="AA1897" s="19"/>
      <c r="AB1897" s="19"/>
      <c r="AC1897" s="19"/>
    </row>
    <row r="1898" spans="2:29" x14ac:dyDescent="0.25">
      <c r="B1898" s="19"/>
      <c r="C1898" s="19"/>
      <c r="D1898" s="19"/>
      <c r="E1898" s="19"/>
      <c r="F1898" s="19"/>
      <c r="G1898" s="19"/>
      <c r="H1898" s="19"/>
      <c r="I1898" s="19"/>
      <c r="J1898" s="19"/>
      <c r="K1898" s="19"/>
      <c r="L1898" s="19"/>
      <c r="M1898" s="19"/>
      <c r="N1898" s="19"/>
      <c r="O1898" s="19"/>
      <c r="P1898" s="19"/>
      <c r="Q1898" s="19"/>
      <c r="R1898" s="19"/>
      <c r="S1898" s="19"/>
      <c r="T1898" s="19"/>
      <c r="U1898" s="19"/>
      <c r="V1898" s="19"/>
      <c r="W1898" s="19"/>
      <c r="X1898" s="19"/>
      <c r="Y1898" s="19"/>
      <c r="Z1898" s="19"/>
      <c r="AA1898" s="19"/>
      <c r="AB1898" s="19"/>
      <c r="AC1898" s="19"/>
    </row>
    <row r="1899" spans="2:29" x14ac:dyDescent="0.25">
      <c r="B1899" s="19"/>
      <c r="C1899" s="19"/>
      <c r="D1899" s="19"/>
      <c r="E1899" s="19"/>
      <c r="F1899" s="19"/>
      <c r="G1899" s="19"/>
      <c r="H1899" s="19"/>
      <c r="I1899" s="19"/>
      <c r="J1899" s="19"/>
      <c r="K1899" s="19"/>
      <c r="L1899" s="19"/>
      <c r="M1899" s="19"/>
      <c r="N1899" s="19"/>
      <c r="O1899" s="19"/>
      <c r="P1899" s="19"/>
      <c r="Q1899" s="19"/>
      <c r="R1899" s="19"/>
      <c r="S1899" s="19"/>
      <c r="T1899" s="19"/>
      <c r="U1899" s="19"/>
      <c r="V1899" s="19"/>
      <c r="W1899" s="19"/>
      <c r="X1899" s="19"/>
      <c r="Y1899" s="19"/>
      <c r="Z1899" s="19"/>
      <c r="AA1899" s="19"/>
      <c r="AB1899" s="19"/>
      <c r="AC1899" s="19"/>
    </row>
    <row r="1900" spans="2:29" x14ac:dyDescent="0.25">
      <c r="B1900" s="19"/>
      <c r="C1900" s="19"/>
      <c r="D1900" s="19"/>
      <c r="E1900" s="19"/>
      <c r="F1900" s="19"/>
      <c r="G1900" s="19"/>
      <c r="H1900" s="19"/>
      <c r="I1900" s="19"/>
      <c r="J1900" s="19"/>
      <c r="K1900" s="19"/>
      <c r="L1900" s="19"/>
      <c r="M1900" s="19"/>
      <c r="N1900" s="19"/>
      <c r="O1900" s="19"/>
      <c r="P1900" s="19"/>
      <c r="Q1900" s="19"/>
      <c r="R1900" s="19"/>
      <c r="S1900" s="19"/>
      <c r="T1900" s="19"/>
      <c r="U1900" s="19"/>
      <c r="V1900" s="19"/>
      <c r="W1900" s="19"/>
      <c r="X1900" s="19"/>
      <c r="Y1900" s="19"/>
      <c r="Z1900" s="19"/>
      <c r="AA1900" s="19"/>
      <c r="AB1900" s="19"/>
      <c r="AC1900" s="19"/>
    </row>
    <row r="1901" spans="2:29" x14ac:dyDescent="0.25">
      <c r="B1901" s="19"/>
      <c r="C1901" s="19"/>
      <c r="D1901" s="19"/>
      <c r="E1901" s="19"/>
      <c r="F1901" s="19"/>
      <c r="G1901" s="19"/>
      <c r="H1901" s="19"/>
      <c r="I1901" s="19"/>
      <c r="J1901" s="19"/>
      <c r="K1901" s="19"/>
      <c r="L1901" s="19"/>
      <c r="M1901" s="19"/>
      <c r="N1901" s="19"/>
      <c r="O1901" s="19"/>
      <c r="P1901" s="19"/>
      <c r="Q1901" s="19"/>
      <c r="R1901" s="19"/>
      <c r="S1901" s="19"/>
      <c r="T1901" s="19"/>
      <c r="U1901" s="19"/>
      <c r="V1901" s="19"/>
      <c r="W1901" s="19"/>
      <c r="X1901" s="19"/>
      <c r="Y1901" s="19"/>
      <c r="Z1901" s="19"/>
      <c r="AA1901" s="19"/>
      <c r="AB1901" s="19"/>
      <c r="AC1901" s="19"/>
    </row>
    <row r="1902" spans="2:29" x14ac:dyDescent="0.25">
      <c r="B1902" s="19"/>
      <c r="C1902" s="19"/>
      <c r="D1902" s="19"/>
      <c r="E1902" s="19"/>
      <c r="F1902" s="19"/>
      <c r="G1902" s="19"/>
      <c r="H1902" s="19"/>
      <c r="I1902" s="19"/>
      <c r="J1902" s="19"/>
      <c r="K1902" s="19"/>
      <c r="L1902" s="19"/>
      <c r="M1902" s="19"/>
      <c r="N1902" s="19"/>
      <c r="O1902" s="19"/>
      <c r="P1902" s="19"/>
      <c r="Q1902" s="19"/>
      <c r="R1902" s="19"/>
      <c r="S1902" s="19"/>
      <c r="T1902" s="19"/>
      <c r="U1902" s="19"/>
      <c r="V1902" s="19"/>
      <c r="W1902" s="19"/>
      <c r="X1902" s="19"/>
      <c r="Y1902" s="19"/>
      <c r="Z1902" s="19"/>
      <c r="AA1902" s="19"/>
      <c r="AB1902" s="19"/>
      <c r="AC1902" s="19"/>
    </row>
    <row r="1903" spans="2:29" x14ac:dyDescent="0.25">
      <c r="B1903" s="19"/>
      <c r="C1903" s="19"/>
      <c r="D1903" s="19"/>
      <c r="E1903" s="19"/>
      <c r="F1903" s="19"/>
      <c r="G1903" s="19"/>
      <c r="H1903" s="19"/>
      <c r="I1903" s="19"/>
      <c r="J1903" s="19"/>
      <c r="K1903" s="19"/>
      <c r="L1903" s="19"/>
      <c r="M1903" s="19"/>
      <c r="N1903" s="19"/>
      <c r="O1903" s="19"/>
      <c r="P1903" s="19"/>
      <c r="Q1903" s="19"/>
      <c r="R1903" s="19"/>
      <c r="S1903" s="19"/>
      <c r="T1903" s="19"/>
      <c r="U1903" s="19"/>
      <c r="V1903" s="19"/>
      <c r="W1903" s="19"/>
      <c r="X1903" s="19"/>
      <c r="Y1903" s="19"/>
      <c r="Z1903" s="19"/>
      <c r="AA1903" s="19"/>
      <c r="AB1903" s="19"/>
      <c r="AC1903" s="19"/>
    </row>
    <row r="1904" spans="2:29" x14ac:dyDescent="0.25">
      <c r="B1904" s="19"/>
      <c r="C1904" s="19"/>
      <c r="D1904" s="19"/>
      <c r="E1904" s="19"/>
      <c r="F1904" s="19"/>
      <c r="G1904" s="19"/>
      <c r="H1904" s="19"/>
      <c r="I1904" s="19"/>
      <c r="J1904" s="19"/>
      <c r="K1904" s="19"/>
      <c r="L1904" s="19"/>
      <c r="M1904" s="19"/>
      <c r="N1904" s="19"/>
      <c r="O1904" s="19"/>
      <c r="P1904" s="19"/>
      <c r="Q1904" s="19"/>
      <c r="R1904" s="19"/>
      <c r="S1904" s="19"/>
      <c r="T1904" s="19"/>
      <c r="U1904" s="19"/>
      <c r="V1904" s="19"/>
      <c r="W1904" s="19"/>
      <c r="X1904" s="19"/>
      <c r="Y1904" s="19"/>
      <c r="Z1904" s="19"/>
      <c r="AA1904" s="19"/>
      <c r="AB1904" s="19"/>
      <c r="AC1904" s="19"/>
    </row>
    <row r="1905" spans="2:29" x14ac:dyDescent="0.25">
      <c r="B1905" s="19"/>
      <c r="C1905" s="19"/>
      <c r="D1905" s="19"/>
      <c r="E1905" s="19"/>
      <c r="F1905" s="19"/>
      <c r="G1905" s="19"/>
      <c r="H1905" s="19"/>
      <c r="I1905" s="19"/>
      <c r="J1905" s="19"/>
      <c r="K1905" s="19"/>
      <c r="L1905" s="19"/>
      <c r="M1905" s="19"/>
      <c r="N1905" s="19"/>
      <c r="O1905" s="19"/>
      <c r="P1905" s="19"/>
      <c r="Q1905" s="19"/>
      <c r="R1905" s="19"/>
      <c r="S1905" s="19"/>
      <c r="T1905" s="19"/>
      <c r="U1905" s="19"/>
      <c r="V1905" s="19"/>
      <c r="W1905" s="19"/>
      <c r="X1905" s="19"/>
      <c r="Y1905" s="19"/>
      <c r="Z1905" s="19"/>
      <c r="AA1905" s="19"/>
      <c r="AB1905" s="19"/>
      <c r="AC1905" s="19"/>
    </row>
    <row r="1906" spans="2:29" x14ac:dyDescent="0.25">
      <c r="B1906" s="19"/>
      <c r="C1906" s="19"/>
      <c r="D1906" s="19"/>
      <c r="E1906" s="19"/>
      <c r="F1906" s="19"/>
      <c r="G1906" s="19"/>
      <c r="H1906" s="19"/>
      <c r="I1906" s="19"/>
      <c r="J1906" s="19"/>
      <c r="K1906" s="19"/>
      <c r="L1906" s="19"/>
      <c r="M1906" s="19"/>
      <c r="N1906" s="19"/>
      <c r="O1906" s="19"/>
      <c r="P1906" s="19"/>
      <c r="Q1906" s="19"/>
      <c r="R1906" s="19"/>
      <c r="S1906" s="19"/>
      <c r="T1906" s="19"/>
      <c r="U1906" s="19"/>
      <c r="V1906" s="19"/>
      <c r="W1906" s="19"/>
      <c r="X1906" s="19"/>
      <c r="Y1906" s="19"/>
      <c r="Z1906" s="19"/>
      <c r="AA1906" s="19"/>
      <c r="AB1906" s="19"/>
      <c r="AC1906" s="19"/>
    </row>
    <row r="1907" spans="2:29" x14ac:dyDescent="0.25">
      <c r="B1907" s="19"/>
      <c r="C1907" s="19"/>
      <c r="D1907" s="19"/>
      <c r="E1907" s="19"/>
      <c r="F1907" s="19"/>
      <c r="G1907" s="19"/>
      <c r="H1907" s="19"/>
      <c r="I1907" s="19"/>
      <c r="J1907" s="19"/>
      <c r="K1907" s="19"/>
      <c r="L1907" s="19"/>
      <c r="M1907" s="19"/>
      <c r="N1907" s="19"/>
      <c r="O1907" s="19"/>
      <c r="P1907" s="19"/>
      <c r="Q1907" s="19"/>
      <c r="R1907" s="19"/>
      <c r="S1907" s="19"/>
      <c r="T1907" s="19"/>
      <c r="U1907" s="19"/>
      <c r="V1907" s="19"/>
      <c r="W1907" s="19"/>
      <c r="X1907" s="19"/>
      <c r="Y1907" s="19"/>
      <c r="Z1907" s="19"/>
      <c r="AA1907" s="19"/>
      <c r="AB1907" s="19"/>
      <c r="AC1907" s="19"/>
    </row>
    <row r="1908" spans="2:29" x14ac:dyDescent="0.25">
      <c r="B1908" s="19"/>
      <c r="C1908" s="19"/>
      <c r="D1908" s="19"/>
      <c r="E1908" s="19"/>
      <c r="F1908" s="19"/>
      <c r="G1908" s="19"/>
      <c r="H1908" s="19"/>
      <c r="I1908" s="19"/>
      <c r="J1908" s="19"/>
      <c r="K1908" s="19"/>
      <c r="L1908" s="19"/>
      <c r="M1908" s="19"/>
      <c r="N1908" s="19"/>
      <c r="O1908" s="19"/>
      <c r="P1908" s="19"/>
      <c r="Q1908" s="19"/>
      <c r="R1908" s="19"/>
      <c r="S1908" s="19"/>
      <c r="T1908" s="19"/>
      <c r="U1908" s="19"/>
      <c r="V1908" s="19"/>
      <c r="W1908" s="19"/>
      <c r="X1908" s="19"/>
      <c r="Y1908" s="19"/>
      <c r="Z1908" s="19"/>
      <c r="AA1908" s="19"/>
      <c r="AB1908" s="19"/>
      <c r="AC1908" s="19"/>
    </row>
    <row r="1909" spans="2:29" x14ac:dyDescent="0.25">
      <c r="B1909" s="19"/>
      <c r="C1909" s="19"/>
      <c r="D1909" s="19"/>
      <c r="E1909" s="19"/>
      <c r="F1909" s="19"/>
      <c r="G1909" s="19"/>
      <c r="H1909" s="19"/>
      <c r="I1909" s="19"/>
      <c r="J1909" s="19"/>
      <c r="K1909" s="19"/>
      <c r="L1909" s="19"/>
      <c r="M1909" s="19"/>
      <c r="N1909" s="19"/>
      <c r="O1909" s="19"/>
      <c r="P1909" s="19"/>
      <c r="Q1909" s="19"/>
      <c r="R1909" s="19"/>
      <c r="S1909" s="19"/>
      <c r="T1909" s="19"/>
      <c r="U1909" s="19"/>
      <c r="V1909" s="19"/>
      <c r="W1909" s="19"/>
      <c r="X1909" s="19"/>
      <c r="Y1909" s="19"/>
      <c r="Z1909" s="19"/>
      <c r="AA1909" s="19"/>
      <c r="AB1909" s="19"/>
      <c r="AC1909" s="19"/>
    </row>
    <row r="1910" spans="2:29" x14ac:dyDescent="0.25">
      <c r="B1910" s="19"/>
      <c r="C1910" s="19"/>
      <c r="D1910" s="19"/>
      <c r="E1910" s="19"/>
      <c r="F1910" s="19"/>
      <c r="G1910" s="19"/>
      <c r="H1910" s="19"/>
      <c r="I1910" s="19"/>
      <c r="J1910" s="19"/>
      <c r="K1910" s="19"/>
      <c r="L1910" s="19"/>
      <c r="M1910" s="19"/>
      <c r="N1910" s="19"/>
      <c r="O1910" s="19"/>
      <c r="P1910" s="19"/>
      <c r="Q1910" s="19"/>
      <c r="R1910" s="19"/>
      <c r="S1910" s="19"/>
      <c r="T1910" s="19"/>
      <c r="U1910" s="19"/>
      <c r="V1910" s="19"/>
      <c r="W1910" s="19"/>
      <c r="X1910" s="19"/>
      <c r="Y1910" s="19"/>
      <c r="Z1910" s="19"/>
      <c r="AA1910" s="19"/>
      <c r="AB1910" s="19"/>
      <c r="AC1910" s="19"/>
    </row>
    <row r="1911" spans="2:29" x14ac:dyDescent="0.25">
      <c r="B1911" s="19"/>
      <c r="C1911" s="19"/>
      <c r="D1911" s="19"/>
      <c r="E1911" s="19"/>
      <c r="F1911" s="19"/>
      <c r="G1911" s="19"/>
      <c r="H1911" s="19"/>
      <c r="I1911" s="19"/>
      <c r="J1911" s="19"/>
      <c r="K1911" s="19"/>
      <c r="L1911" s="19"/>
      <c r="M1911" s="19"/>
      <c r="N1911" s="19"/>
      <c r="O1911" s="19"/>
      <c r="P1911" s="19"/>
      <c r="Q1911" s="19"/>
      <c r="R1911" s="19"/>
      <c r="S1911" s="19"/>
      <c r="T1911" s="19"/>
      <c r="U1911" s="19"/>
      <c r="V1911" s="19"/>
      <c r="W1911" s="19"/>
      <c r="X1911" s="19"/>
      <c r="Y1911" s="19"/>
      <c r="Z1911" s="19"/>
      <c r="AA1911" s="19"/>
      <c r="AB1911" s="19"/>
      <c r="AC1911" s="19"/>
    </row>
    <row r="1912" spans="2:29" x14ac:dyDescent="0.25">
      <c r="B1912" s="19"/>
      <c r="C1912" s="19"/>
      <c r="D1912" s="19"/>
      <c r="E1912" s="19"/>
      <c r="F1912" s="19"/>
      <c r="G1912" s="19"/>
      <c r="H1912" s="19"/>
      <c r="I1912" s="19"/>
      <c r="J1912" s="19"/>
      <c r="K1912" s="19"/>
      <c r="L1912" s="19"/>
      <c r="M1912" s="19"/>
      <c r="N1912" s="19"/>
      <c r="O1912" s="19"/>
      <c r="P1912" s="19"/>
      <c r="Q1912" s="19"/>
      <c r="R1912" s="19"/>
      <c r="S1912" s="19"/>
      <c r="T1912" s="19"/>
      <c r="U1912" s="19"/>
      <c r="V1912" s="19"/>
      <c r="W1912" s="19"/>
      <c r="X1912" s="19"/>
      <c r="Y1912" s="19"/>
      <c r="Z1912" s="19"/>
      <c r="AA1912" s="19"/>
      <c r="AB1912" s="19"/>
      <c r="AC1912" s="19"/>
    </row>
    <row r="1913" spans="2:29" x14ac:dyDescent="0.25">
      <c r="B1913" s="19"/>
      <c r="C1913" s="19"/>
      <c r="D1913" s="19"/>
      <c r="E1913" s="19"/>
      <c r="F1913" s="19"/>
      <c r="G1913" s="19"/>
      <c r="H1913" s="19"/>
      <c r="I1913" s="19"/>
      <c r="J1913" s="19"/>
      <c r="K1913" s="19"/>
      <c r="L1913" s="19"/>
      <c r="M1913" s="19"/>
      <c r="N1913" s="19"/>
      <c r="O1913" s="19"/>
      <c r="P1913" s="19"/>
      <c r="Q1913" s="19"/>
      <c r="R1913" s="19"/>
      <c r="S1913" s="19"/>
      <c r="T1913" s="19"/>
      <c r="U1913" s="19"/>
      <c r="V1913" s="19"/>
      <c r="W1913" s="19"/>
      <c r="X1913" s="19"/>
      <c r="Y1913" s="19"/>
      <c r="Z1913" s="19"/>
      <c r="AA1913" s="19"/>
      <c r="AB1913" s="19"/>
      <c r="AC1913" s="19"/>
    </row>
    <row r="1914" spans="2:29" x14ac:dyDescent="0.25">
      <c r="B1914" s="19"/>
      <c r="C1914" s="19"/>
      <c r="D1914" s="19"/>
      <c r="E1914" s="19"/>
      <c r="F1914" s="19"/>
      <c r="G1914" s="19"/>
      <c r="H1914" s="19"/>
      <c r="I1914" s="19"/>
      <c r="J1914" s="19"/>
      <c r="K1914" s="19"/>
      <c r="L1914" s="19"/>
      <c r="M1914" s="19"/>
      <c r="N1914" s="19"/>
      <c r="O1914" s="19"/>
      <c r="P1914" s="19"/>
      <c r="Q1914" s="19"/>
      <c r="R1914" s="19"/>
      <c r="S1914" s="19"/>
      <c r="T1914" s="19"/>
      <c r="U1914" s="19"/>
      <c r="V1914" s="19"/>
      <c r="W1914" s="19"/>
      <c r="X1914" s="19"/>
      <c r="Y1914" s="19"/>
      <c r="Z1914" s="19"/>
      <c r="AA1914" s="19"/>
      <c r="AB1914" s="19"/>
      <c r="AC1914" s="19"/>
    </row>
    <row r="1915" spans="2:29" x14ac:dyDescent="0.25">
      <c r="B1915" s="19"/>
      <c r="C1915" s="19"/>
      <c r="D1915" s="19"/>
      <c r="E1915" s="19"/>
      <c r="F1915" s="19"/>
      <c r="G1915" s="19"/>
      <c r="H1915" s="19"/>
      <c r="I1915" s="19"/>
      <c r="J1915" s="19"/>
      <c r="K1915" s="19"/>
      <c r="L1915" s="19"/>
      <c r="M1915" s="19"/>
      <c r="N1915" s="19"/>
      <c r="O1915" s="19"/>
      <c r="P1915" s="19"/>
      <c r="Q1915" s="19"/>
      <c r="R1915" s="19"/>
      <c r="S1915" s="19"/>
      <c r="T1915" s="19"/>
      <c r="U1915" s="19"/>
      <c r="V1915" s="19"/>
      <c r="W1915" s="19"/>
      <c r="X1915" s="19"/>
      <c r="Y1915" s="19"/>
      <c r="Z1915" s="19"/>
      <c r="AA1915" s="19"/>
      <c r="AB1915" s="19"/>
      <c r="AC1915" s="19"/>
    </row>
    <row r="1916" spans="2:29" x14ac:dyDescent="0.25">
      <c r="B1916" s="19"/>
      <c r="C1916" s="19"/>
      <c r="D1916" s="19"/>
      <c r="E1916" s="19"/>
      <c r="F1916" s="19"/>
      <c r="G1916" s="19"/>
      <c r="H1916" s="19"/>
      <c r="I1916" s="19"/>
      <c r="J1916" s="19"/>
      <c r="K1916" s="19"/>
      <c r="L1916" s="19"/>
      <c r="M1916" s="19"/>
      <c r="N1916" s="19"/>
      <c r="O1916" s="19"/>
      <c r="P1916" s="19"/>
      <c r="Q1916" s="19"/>
      <c r="R1916" s="19"/>
      <c r="S1916" s="19"/>
      <c r="T1916" s="19"/>
      <c r="U1916" s="19"/>
      <c r="V1916" s="19"/>
      <c r="W1916" s="19"/>
      <c r="X1916" s="19"/>
      <c r="Y1916" s="19"/>
      <c r="Z1916" s="19"/>
      <c r="AA1916" s="19"/>
      <c r="AB1916" s="19"/>
      <c r="AC1916" s="19"/>
    </row>
    <row r="1917" spans="2:29" x14ac:dyDescent="0.25">
      <c r="B1917" s="19"/>
      <c r="C1917" s="19"/>
      <c r="D1917" s="19"/>
      <c r="E1917" s="19"/>
      <c r="F1917" s="19"/>
      <c r="G1917" s="19"/>
      <c r="H1917" s="19"/>
      <c r="I1917" s="19"/>
      <c r="J1917" s="19"/>
      <c r="K1917" s="19"/>
      <c r="L1917" s="19"/>
      <c r="M1917" s="19"/>
      <c r="N1917" s="19"/>
      <c r="O1917" s="19"/>
      <c r="P1917" s="19"/>
      <c r="Q1917" s="19"/>
      <c r="R1917" s="19"/>
      <c r="S1917" s="19"/>
      <c r="T1917" s="19"/>
      <c r="U1917" s="19"/>
      <c r="V1917" s="19"/>
      <c r="W1917" s="19"/>
      <c r="X1917" s="19"/>
      <c r="Y1917" s="19"/>
      <c r="Z1917" s="19"/>
      <c r="AA1917" s="19"/>
      <c r="AB1917" s="19"/>
      <c r="AC1917" s="19"/>
    </row>
    <row r="1918" spans="2:29" x14ac:dyDescent="0.25">
      <c r="B1918" s="19"/>
      <c r="C1918" s="19"/>
      <c r="D1918" s="19"/>
      <c r="E1918" s="19"/>
      <c r="F1918" s="19"/>
      <c r="G1918" s="19"/>
      <c r="H1918" s="19"/>
      <c r="I1918" s="19"/>
      <c r="J1918" s="19"/>
      <c r="K1918" s="19"/>
      <c r="L1918" s="19"/>
      <c r="M1918" s="19"/>
      <c r="N1918" s="19"/>
      <c r="O1918" s="19"/>
      <c r="P1918" s="19"/>
      <c r="Q1918" s="19"/>
      <c r="R1918" s="19"/>
      <c r="S1918" s="19"/>
      <c r="T1918" s="19"/>
      <c r="U1918" s="19"/>
      <c r="V1918" s="19"/>
      <c r="W1918" s="19"/>
      <c r="X1918" s="19"/>
      <c r="Y1918" s="19"/>
      <c r="Z1918" s="19"/>
      <c r="AA1918" s="19"/>
      <c r="AB1918" s="19"/>
      <c r="AC1918" s="19"/>
    </row>
    <row r="1919" spans="2:29" x14ac:dyDescent="0.25">
      <c r="B1919" s="19"/>
      <c r="C1919" s="19"/>
      <c r="D1919" s="19"/>
      <c r="E1919" s="19"/>
      <c r="F1919" s="19"/>
      <c r="G1919" s="19"/>
      <c r="H1919" s="19"/>
      <c r="I1919" s="19"/>
      <c r="J1919" s="19"/>
      <c r="K1919" s="19"/>
      <c r="L1919" s="19"/>
      <c r="M1919" s="19"/>
      <c r="N1919" s="19"/>
      <c r="O1919" s="19"/>
      <c r="P1919" s="19"/>
      <c r="Q1919" s="19"/>
      <c r="R1919" s="19"/>
      <c r="S1919" s="19"/>
      <c r="T1919" s="19"/>
      <c r="U1919" s="19"/>
      <c r="V1919" s="19"/>
      <c r="W1919" s="19"/>
      <c r="X1919" s="19"/>
      <c r="Y1919" s="19"/>
      <c r="Z1919" s="19"/>
      <c r="AA1919" s="19"/>
      <c r="AB1919" s="19"/>
      <c r="AC1919" s="19"/>
    </row>
    <row r="1920" spans="2:29" x14ac:dyDescent="0.25">
      <c r="B1920" s="19"/>
      <c r="C1920" s="19"/>
      <c r="D1920" s="19"/>
      <c r="E1920" s="19"/>
      <c r="F1920" s="19"/>
      <c r="G1920" s="19"/>
      <c r="H1920" s="19"/>
      <c r="I1920" s="19"/>
      <c r="J1920" s="19"/>
      <c r="K1920" s="19"/>
      <c r="L1920" s="19"/>
      <c r="M1920" s="19"/>
      <c r="N1920" s="19"/>
      <c r="O1920" s="19"/>
      <c r="P1920" s="19"/>
      <c r="Q1920" s="19"/>
      <c r="R1920" s="19"/>
      <c r="S1920" s="19"/>
      <c r="T1920" s="19"/>
      <c r="U1920" s="19"/>
      <c r="V1920" s="19"/>
      <c r="W1920" s="19"/>
      <c r="X1920" s="19"/>
      <c r="Y1920" s="19"/>
      <c r="Z1920" s="19"/>
      <c r="AA1920" s="19"/>
      <c r="AB1920" s="19"/>
      <c r="AC1920" s="19"/>
    </row>
    <row r="1921" spans="2:29" x14ac:dyDescent="0.25">
      <c r="B1921" s="19"/>
      <c r="C1921" s="19"/>
      <c r="D1921" s="19"/>
      <c r="E1921" s="19"/>
      <c r="F1921" s="19"/>
      <c r="G1921" s="19"/>
      <c r="H1921" s="19"/>
      <c r="I1921" s="19"/>
      <c r="J1921" s="19"/>
      <c r="K1921" s="19"/>
      <c r="L1921" s="19"/>
      <c r="M1921" s="19"/>
      <c r="N1921" s="19"/>
      <c r="O1921" s="19"/>
      <c r="P1921" s="19"/>
      <c r="Q1921" s="19"/>
      <c r="R1921" s="19"/>
      <c r="S1921" s="19"/>
      <c r="T1921" s="19"/>
      <c r="U1921" s="19"/>
      <c r="V1921" s="19"/>
      <c r="W1921" s="19"/>
      <c r="X1921" s="19"/>
      <c r="Y1921" s="19"/>
      <c r="Z1921" s="19"/>
      <c r="AA1921" s="19"/>
      <c r="AB1921" s="19"/>
      <c r="AC1921" s="19"/>
    </row>
    <row r="1922" spans="2:29" x14ac:dyDescent="0.25">
      <c r="B1922" s="19"/>
      <c r="C1922" s="19"/>
      <c r="D1922" s="19"/>
      <c r="E1922" s="19"/>
      <c r="F1922" s="19"/>
      <c r="G1922" s="19"/>
      <c r="H1922" s="19"/>
      <c r="I1922" s="19"/>
      <c r="J1922" s="19"/>
      <c r="K1922" s="19"/>
      <c r="L1922" s="19"/>
      <c r="M1922" s="19"/>
      <c r="N1922" s="19"/>
      <c r="O1922" s="19"/>
      <c r="P1922" s="19"/>
      <c r="Q1922" s="19"/>
      <c r="R1922" s="19"/>
      <c r="S1922" s="19"/>
      <c r="T1922" s="19"/>
      <c r="U1922" s="19"/>
      <c r="V1922" s="19"/>
      <c r="W1922" s="19"/>
      <c r="X1922" s="19"/>
      <c r="Y1922" s="19"/>
      <c r="Z1922" s="19"/>
      <c r="AA1922" s="19"/>
      <c r="AB1922" s="19"/>
      <c r="AC1922" s="19"/>
    </row>
    <row r="1923" spans="2:29" x14ac:dyDescent="0.25">
      <c r="B1923" s="19"/>
      <c r="C1923" s="19"/>
      <c r="D1923" s="19"/>
      <c r="E1923" s="19"/>
      <c r="F1923" s="19"/>
      <c r="G1923" s="19"/>
      <c r="H1923" s="19"/>
      <c r="I1923" s="19"/>
      <c r="J1923" s="19"/>
      <c r="K1923" s="19"/>
      <c r="L1923" s="19"/>
      <c r="M1923" s="19"/>
      <c r="N1923" s="19"/>
      <c r="O1923" s="19"/>
      <c r="P1923" s="19"/>
      <c r="Q1923" s="19"/>
      <c r="R1923" s="19"/>
      <c r="S1923" s="19"/>
      <c r="T1923" s="19"/>
      <c r="U1923" s="19"/>
      <c r="V1923" s="19"/>
      <c r="W1923" s="19"/>
      <c r="X1923" s="19"/>
      <c r="Y1923" s="19"/>
      <c r="Z1923" s="19"/>
      <c r="AA1923" s="19"/>
      <c r="AB1923" s="19"/>
      <c r="AC1923" s="19"/>
    </row>
    <row r="1924" spans="2:29" x14ac:dyDescent="0.25">
      <c r="B1924" s="19"/>
      <c r="C1924" s="19"/>
      <c r="D1924" s="19"/>
      <c r="E1924" s="19"/>
      <c r="F1924" s="19"/>
      <c r="G1924" s="19"/>
      <c r="H1924" s="19"/>
      <c r="I1924" s="19"/>
      <c r="J1924" s="19"/>
      <c r="K1924" s="19"/>
      <c r="L1924" s="19"/>
      <c r="M1924" s="19"/>
      <c r="N1924" s="19"/>
      <c r="O1924" s="19"/>
      <c r="P1924" s="19"/>
      <c r="Q1924" s="19"/>
      <c r="R1924" s="19"/>
      <c r="S1924" s="19"/>
      <c r="T1924" s="19"/>
      <c r="U1924" s="19"/>
      <c r="V1924" s="19"/>
      <c r="W1924" s="19"/>
      <c r="X1924" s="19"/>
      <c r="Y1924" s="19"/>
      <c r="Z1924" s="19"/>
      <c r="AA1924" s="19"/>
      <c r="AB1924" s="19"/>
      <c r="AC1924" s="19"/>
    </row>
    <row r="1925" spans="2:29" x14ac:dyDescent="0.25">
      <c r="B1925" s="19"/>
      <c r="C1925" s="19"/>
      <c r="D1925" s="19"/>
      <c r="E1925" s="19"/>
      <c r="F1925" s="19"/>
      <c r="G1925" s="19"/>
      <c r="H1925" s="19"/>
      <c r="I1925" s="19"/>
      <c r="J1925" s="19"/>
      <c r="K1925" s="19"/>
      <c r="L1925" s="19"/>
      <c r="M1925" s="19"/>
      <c r="N1925" s="19"/>
      <c r="O1925" s="19"/>
      <c r="P1925" s="19"/>
      <c r="Q1925" s="19"/>
      <c r="R1925" s="19"/>
      <c r="S1925" s="19"/>
      <c r="T1925" s="19"/>
      <c r="U1925" s="19"/>
      <c r="V1925" s="19"/>
      <c r="W1925" s="19"/>
      <c r="X1925" s="19"/>
      <c r="Y1925" s="19"/>
      <c r="Z1925" s="19"/>
      <c r="AA1925" s="19"/>
      <c r="AB1925" s="19"/>
      <c r="AC1925" s="19"/>
    </row>
    <row r="1926" spans="2:29" x14ac:dyDescent="0.25">
      <c r="B1926" s="19"/>
      <c r="C1926" s="19"/>
      <c r="D1926" s="19"/>
      <c r="E1926" s="19"/>
      <c r="F1926" s="19"/>
      <c r="G1926" s="19"/>
      <c r="H1926" s="19"/>
      <c r="I1926" s="19"/>
      <c r="J1926" s="19"/>
      <c r="K1926" s="19"/>
      <c r="L1926" s="19"/>
      <c r="M1926" s="19"/>
      <c r="N1926" s="19"/>
      <c r="O1926" s="19"/>
      <c r="P1926" s="19"/>
      <c r="Q1926" s="19"/>
      <c r="R1926" s="19"/>
      <c r="S1926" s="19"/>
      <c r="T1926" s="19"/>
      <c r="U1926" s="19"/>
      <c r="V1926" s="19"/>
      <c r="W1926" s="19"/>
      <c r="X1926" s="19"/>
      <c r="Y1926" s="19"/>
      <c r="Z1926" s="19"/>
      <c r="AA1926" s="19"/>
      <c r="AB1926" s="19"/>
      <c r="AC1926" s="19"/>
    </row>
    <row r="1927" spans="2:29" x14ac:dyDescent="0.25">
      <c r="B1927" s="19"/>
      <c r="C1927" s="19"/>
      <c r="D1927" s="19"/>
      <c r="E1927" s="19"/>
      <c r="F1927" s="19"/>
      <c r="G1927" s="19"/>
      <c r="H1927" s="19"/>
      <c r="I1927" s="19"/>
      <c r="J1927" s="19"/>
      <c r="K1927" s="19"/>
      <c r="L1927" s="19"/>
      <c r="M1927" s="19"/>
      <c r="N1927" s="19"/>
      <c r="O1927" s="19"/>
      <c r="P1927" s="19"/>
      <c r="Q1927" s="19"/>
      <c r="R1927" s="19"/>
      <c r="S1927" s="19"/>
      <c r="T1927" s="19"/>
      <c r="U1927" s="19"/>
      <c r="V1927" s="19"/>
      <c r="W1927" s="19"/>
      <c r="X1927" s="19"/>
      <c r="Y1927" s="19"/>
      <c r="Z1927" s="19"/>
      <c r="AA1927" s="19"/>
      <c r="AB1927" s="19"/>
      <c r="AC1927" s="19"/>
    </row>
    <row r="1928" spans="2:29" x14ac:dyDescent="0.25">
      <c r="B1928" s="19"/>
      <c r="C1928" s="19"/>
      <c r="D1928" s="19"/>
      <c r="E1928" s="19"/>
      <c r="F1928" s="19"/>
      <c r="G1928" s="19"/>
      <c r="H1928" s="19"/>
      <c r="I1928" s="19"/>
      <c r="J1928" s="19"/>
      <c r="K1928" s="19"/>
      <c r="L1928" s="19"/>
      <c r="M1928" s="19"/>
      <c r="N1928" s="19"/>
      <c r="O1928" s="19"/>
      <c r="P1928" s="19"/>
      <c r="Q1928" s="19"/>
      <c r="R1928" s="19"/>
      <c r="S1928" s="19"/>
      <c r="T1928" s="19"/>
      <c r="U1928" s="19"/>
      <c r="V1928" s="19"/>
      <c r="W1928" s="19"/>
      <c r="X1928" s="19"/>
      <c r="Y1928" s="19"/>
      <c r="Z1928" s="19"/>
      <c r="AA1928" s="19"/>
      <c r="AB1928" s="19"/>
      <c r="AC1928" s="19"/>
    </row>
    <row r="1929" spans="2:29" x14ac:dyDescent="0.25">
      <c r="B1929" s="19"/>
      <c r="C1929" s="19"/>
      <c r="D1929" s="19"/>
      <c r="E1929" s="19"/>
      <c r="F1929" s="19"/>
      <c r="G1929" s="19"/>
      <c r="H1929" s="19"/>
      <c r="I1929" s="19"/>
      <c r="J1929" s="19"/>
      <c r="K1929" s="19"/>
      <c r="L1929" s="19"/>
      <c r="M1929" s="19"/>
      <c r="N1929" s="19"/>
      <c r="O1929" s="19"/>
      <c r="P1929" s="19"/>
      <c r="Q1929" s="19"/>
      <c r="R1929" s="19"/>
      <c r="S1929" s="19"/>
      <c r="T1929" s="19"/>
      <c r="U1929" s="19"/>
      <c r="V1929" s="19"/>
      <c r="W1929" s="19"/>
      <c r="X1929" s="19"/>
      <c r="Y1929" s="19"/>
      <c r="Z1929" s="19"/>
      <c r="AA1929" s="19"/>
      <c r="AB1929" s="19"/>
      <c r="AC1929" s="19"/>
    </row>
    <row r="1930" spans="2:29" x14ac:dyDescent="0.25">
      <c r="B1930" s="19"/>
      <c r="C1930" s="19"/>
      <c r="D1930" s="19"/>
      <c r="E1930" s="19"/>
      <c r="F1930" s="19"/>
      <c r="G1930" s="19"/>
      <c r="H1930" s="19"/>
      <c r="I1930" s="19"/>
      <c r="J1930" s="19"/>
      <c r="K1930" s="19"/>
      <c r="L1930" s="19"/>
      <c r="M1930" s="19"/>
      <c r="N1930" s="19"/>
      <c r="O1930" s="19"/>
      <c r="P1930" s="19"/>
      <c r="Q1930" s="19"/>
      <c r="R1930" s="19"/>
      <c r="S1930" s="19"/>
      <c r="T1930" s="19"/>
      <c r="U1930" s="19"/>
      <c r="V1930" s="19"/>
      <c r="W1930" s="19"/>
      <c r="X1930" s="19"/>
      <c r="Y1930" s="19"/>
      <c r="Z1930" s="19"/>
      <c r="AA1930" s="19"/>
      <c r="AB1930" s="19"/>
      <c r="AC1930" s="19"/>
    </row>
    <row r="1931" spans="2:29" x14ac:dyDescent="0.25">
      <c r="B1931" s="19"/>
      <c r="C1931" s="19"/>
      <c r="D1931" s="19"/>
      <c r="E1931" s="19"/>
      <c r="F1931" s="19"/>
      <c r="G1931" s="19"/>
      <c r="H1931" s="19"/>
      <c r="I1931" s="19"/>
      <c r="J1931" s="19"/>
      <c r="K1931" s="19"/>
      <c r="L1931" s="19"/>
      <c r="M1931" s="19"/>
      <c r="N1931" s="19"/>
      <c r="O1931" s="19"/>
      <c r="P1931" s="19"/>
      <c r="Q1931" s="19"/>
      <c r="R1931" s="19"/>
      <c r="S1931" s="19"/>
      <c r="T1931" s="19"/>
      <c r="U1931" s="19"/>
      <c r="V1931" s="19"/>
      <c r="W1931" s="19"/>
      <c r="X1931" s="19"/>
      <c r="Y1931" s="19"/>
      <c r="Z1931" s="19"/>
      <c r="AA1931" s="19"/>
      <c r="AB1931" s="19"/>
      <c r="AC1931" s="19"/>
    </row>
    <row r="1932" spans="2:29" x14ac:dyDescent="0.25">
      <c r="B1932" s="19"/>
      <c r="C1932" s="19"/>
      <c r="D1932" s="19"/>
      <c r="E1932" s="19"/>
      <c r="F1932" s="19"/>
      <c r="G1932" s="19"/>
      <c r="H1932" s="19"/>
      <c r="I1932" s="19"/>
      <c r="J1932" s="19"/>
      <c r="K1932" s="19"/>
      <c r="L1932" s="19"/>
      <c r="M1932" s="19"/>
      <c r="N1932" s="19"/>
      <c r="O1932" s="19"/>
      <c r="P1932" s="19"/>
      <c r="Q1932" s="19"/>
      <c r="R1932" s="19"/>
      <c r="S1932" s="19"/>
      <c r="T1932" s="19"/>
      <c r="U1932" s="19"/>
      <c r="V1932" s="19"/>
      <c r="W1932" s="19"/>
      <c r="X1932" s="19"/>
      <c r="Y1932" s="19"/>
      <c r="Z1932" s="19"/>
      <c r="AA1932" s="19"/>
      <c r="AB1932" s="19"/>
      <c r="AC1932" s="19"/>
    </row>
    <row r="1933" spans="2:29" x14ac:dyDescent="0.25">
      <c r="B1933" s="19"/>
      <c r="C1933" s="19"/>
      <c r="D1933" s="19"/>
      <c r="E1933" s="19"/>
      <c r="F1933" s="19"/>
      <c r="G1933" s="19"/>
      <c r="H1933" s="19"/>
      <c r="I1933" s="19"/>
      <c r="J1933" s="19"/>
      <c r="K1933" s="19"/>
      <c r="L1933" s="19"/>
      <c r="M1933" s="19"/>
      <c r="N1933" s="19"/>
      <c r="O1933" s="19"/>
      <c r="P1933" s="19"/>
      <c r="Q1933" s="19"/>
      <c r="R1933" s="19"/>
      <c r="S1933" s="19"/>
      <c r="T1933" s="19"/>
      <c r="U1933" s="19"/>
      <c r="V1933" s="19"/>
      <c r="W1933" s="19"/>
      <c r="X1933" s="19"/>
      <c r="Y1933" s="19"/>
      <c r="Z1933" s="19"/>
      <c r="AA1933" s="19"/>
      <c r="AB1933" s="19"/>
      <c r="AC1933" s="19"/>
    </row>
    <row r="1934" spans="2:29" x14ac:dyDescent="0.25">
      <c r="B1934" s="19"/>
      <c r="C1934" s="19"/>
      <c r="D1934" s="19"/>
      <c r="E1934" s="19"/>
      <c r="F1934" s="19"/>
      <c r="G1934" s="19"/>
      <c r="H1934" s="19"/>
      <c r="I1934" s="19"/>
      <c r="J1934" s="19"/>
      <c r="K1934" s="19"/>
      <c r="L1934" s="19"/>
      <c r="M1934" s="19"/>
      <c r="N1934" s="19"/>
      <c r="O1934" s="19"/>
      <c r="P1934" s="19"/>
      <c r="Q1934" s="19"/>
      <c r="R1934" s="19"/>
      <c r="S1934" s="19"/>
      <c r="T1934" s="19"/>
      <c r="U1934" s="19"/>
      <c r="V1934" s="19"/>
      <c r="W1934" s="19"/>
      <c r="X1934" s="19"/>
      <c r="Y1934" s="19"/>
      <c r="Z1934" s="19"/>
      <c r="AA1934" s="19"/>
      <c r="AB1934" s="19"/>
      <c r="AC1934" s="19"/>
    </row>
    <row r="1935" spans="2:29" x14ac:dyDescent="0.25">
      <c r="B1935" s="19"/>
      <c r="C1935" s="19"/>
      <c r="D1935" s="19"/>
      <c r="E1935" s="19"/>
      <c r="F1935" s="19"/>
      <c r="G1935" s="19"/>
      <c r="H1935" s="19"/>
      <c r="I1935" s="19"/>
      <c r="J1935" s="19"/>
      <c r="K1935" s="19"/>
      <c r="L1935" s="19"/>
      <c r="M1935" s="19"/>
      <c r="N1935" s="19"/>
      <c r="O1935" s="19"/>
      <c r="P1935" s="19"/>
      <c r="Q1935" s="19"/>
      <c r="R1935" s="19"/>
      <c r="S1935" s="19"/>
      <c r="T1935" s="19"/>
      <c r="U1935" s="19"/>
      <c r="V1935" s="19"/>
      <c r="W1935" s="19"/>
      <c r="X1935" s="19"/>
      <c r="Y1935" s="19"/>
      <c r="Z1935" s="19"/>
      <c r="AA1935" s="19"/>
      <c r="AB1935" s="19"/>
      <c r="AC1935" s="19"/>
    </row>
    <row r="1936" spans="2:29" x14ac:dyDescent="0.25">
      <c r="B1936" s="19"/>
      <c r="C1936" s="19"/>
      <c r="D1936" s="19"/>
      <c r="E1936" s="19"/>
      <c r="F1936" s="19"/>
      <c r="G1936" s="19"/>
      <c r="H1936" s="19"/>
      <c r="I1936" s="19"/>
      <c r="J1936" s="19"/>
      <c r="K1936" s="19"/>
      <c r="L1936" s="19"/>
      <c r="M1936" s="19"/>
      <c r="N1936" s="19"/>
      <c r="O1936" s="19"/>
      <c r="P1936" s="19"/>
      <c r="Q1936" s="19"/>
      <c r="R1936" s="19"/>
      <c r="S1936" s="19"/>
      <c r="T1936" s="19"/>
      <c r="U1936" s="19"/>
      <c r="V1936" s="19"/>
      <c r="W1936" s="19"/>
      <c r="X1936" s="19"/>
      <c r="Y1936" s="19"/>
      <c r="Z1936" s="19"/>
      <c r="AA1936" s="19"/>
      <c r="AB1936" s="19"/>
      <c r="AC1936" s="19"/>
    </row>
    <row r="1937" spans="2:29" x14ac:dyDescent="0.25">
      <c r="B1937" s="19"/>
      <c r="C1937" s="19"/>
      <c r="D1937" s="19"/>
      <c r="E1937" s="19"/>
      <c r="F1937" s="19"/>
      <c r="G1937" s="19"/>
      <c r="H1937" s="19"/>
      <c r="I1937" s="19"/>
      <c r="J1937" s="19"/>
      <c r="K1937" s="19"/>
      <c r="L1937" s="19"/>
      <c r="M1937" s="19"/>
      <c r="N1937" s="19"/>
      <c r="O1937" s="19"/>
      <c r="P1937" s="19"/>
      <c r="Q1937" s="19"/>
      <c r="R1937" s="19"/>
      <c r="S1937" s="19"/>
      <c r="T1937" s="19"/>
      <c r="U1937" s="19"/>
      <c r="V1937" s="19"/>
      <c r="W1937" s="19"/>
      <c r="X1937" s="19"/>
      <c r="Y1937" s="19"/>
      <c r="Z1937" s="19"/>
      <c r="AA1937" s="19"/>
      <c r="AB1937" s="19"/>
      <c r="AC1937" s="19"/>
    </row>
    <row r="1938" spans="2:29" x14ac:dyDescent="0.25">
      <c r="B1938" s="19"/>
      <c r="C1938" s="19"/>
      <c r="D1938" s="19"/>
      <c r="E1938" s="19"/>
      <c r="F1938" s="19"/>
      <c r="G1938" s="19"/>
      <c r="H1938" s="19"/>
      <c r="I1938" s="19"/>
      <c r="J1938" s="19"/>
      <c r="K1938" s="19"/>
      <c r="L1938" s="19"/>
      <c r="M1938" s="19"/>
      <c r="N1938" s="19"/>
      <c r="O1938" s="19"/>
      <c r="P1938" s="19"/>
      <c r="Q1938" s="19"/>
      <c r="R1938" s="19"/>
      <c r="S1938" s="19"/>
      <c r="T1938" s="19"/>
      <c r="U1938" s="19"/>
      <c r="V1938" s="19"/>
      <c r="W1938" s="19"/>
      <c r="X1938" s="19"/>
      <c r="Y1938" s="19"/>
      <c r="Z1938" s="19"/>
      <c r="AA1938" s="19"/>
      <c r="AB1938" s="19"/>
      <c r="AC1938" s="19"/>
    </row>
    <row r="1939" spans="2:29" x14ac:dyDescent="0.25">
      <c r="B1939" s="19"/>
      <c r="C1939" s="19"/>
      <c r="D1939" s="19"/>
      <c r="E1939" s="19"/>
      <c r="F1939" s="19"/>
      <c r="G1939" s="19"/>
      <c r="H1939" s="19"/>
      <c r="I1939" s="19"/>
      <c r="J1939" s="19"/>
      <c r="K1939" s="19"/>
      <c r="L1939" s="19"/>
      <c r="M1939" s="19"/>
      <c r="N1939" s="19"/>
      <c r="O1939" s="19"/>
      <c r="P1939" s="19"/>
      <c r="Q1939" s="19"/>
      <c r="R1939" s="19"/>
      <c r="S1939" s="19"/>
      <c r="T1939" s="19"/>
      <c r="U1939" s="19"/>
      <c r="V1939" s="19"/>
      <c r="W1939" s="19"/>
      <c r="X1939" s="19"/>
      <c r="Y1939" s="19"/>
      <c r="Z1939" s="19"/>
      <c r="AA1939" s="19"/>
      <c r="AB1939" s="19"/>
      <c r="AC1939" s="19"/>
    </row>
    <row r="1940" spans="2:29" x14ac:dyDescent="0.25">
      <c r="B1940" s="19"/>
      <c r="C1940" s="19"/>
      <c r="D1940" s="19"/>
      <c r="E1940" s="19"/>
      <c r="F1940" s="19"/>
      <c r="G1940" s="19"/>
      <c r="H1940" s="19"/>
      <c r="I1940" s="19"/>
      <c r="J1940" s="19"/>
      <c r="K1940" s="19"/>
      <c r="L1940" s="19"/>
      <c r="M1940" s="19"/>
      <c r="N1940" s="19"/>
      <c r="O1940" s="19"/>
      <c r="P1940" s="19"/>
      <c r="Q1940" s="19"/>
      <c r="R1940" s="19"/>
      <c r="S1940" s="19"/>
      <c r="T1940" s="19"/>
      <c r="U1940" s="19"/>
      <c r="V1940" s="19"/>
      <c r="W1940" s="19"/>
      <c r="X1940" s="19"/>
      <c r="Y1940" s="19"/>
      <c r="Z1940" s="19"/>
      <c r="AA1940" s="19"/>
      <c r="AB1940" s="19"/>
      <c r="AC1940" s="19"/>
    </row>
    <row r="1941" spans="2:29" x14ac:dyDescent="0.25">
      <c r="B1941" s="19"/>
      <c r="C1941" s="19"/>
      <c r="D1941" s="19"/>
      <c r="E1941" s="19"/>
      <c r="F1941" s="19"/>
      <c r="G1941" s="19"/>
      <c r="H1941" s="19"/>
      <c r="I1941" s="19"/>
      <c r="J1941" s="19"/>
      <c r="K1941" s="19"/>
      <c r="L1941" s="19"/>
      <c r="M1941" s="19"/>
      <c r="N1941" s="19"/>
      <c r="O1941" s="19"/>
      <c r="P1941" s="19"/>
      <c r="Q1941" s="19"/>
      <c r="R1941" s="19"/>
      <c r="S1941" s="19"/>
      <c r="T1941" s="19"/>
      <c r="U1941" s="19"/>
      <c r="V1941" s="19"/>
      <c r="W1941" s="19"/>
      <c r="X1941" s="19"/>
      <c r="Y1941" s="19"/>
      <c r="Z1941" s="19"/>
      <c r="AA1941" s="19"/>
      <c r="AB1941" s="19"/>
      <c r="AC1941" s="19"/>
    </row>
    <row r="1942" spans="2:29" x14ac:dyDescent="0.25">
      <c r="B1942" s="19"/>
      <c r="C1942" s="19"/>
      <c r="D1942" s="19"/>
      <c r="E1942" s="19"/>
      <c r="F1942" s="19"/>
      <c r="G1942" s="19"/>
      <c r="H1942" s="19"/>
      <c r="I1942" s="19"/>
      <c r="J1942" s="19"/>
      <c r="K1942" s="19"/>
      <c r="L1942" s="19"/>
      <c r="M1942" s="19"/>
      <c r="N1942" s="19"/>
      <c r="O1942" s="19"/>
      <c r="P1942" s="19"/>
      <c r="Q1942" s="19"/>
      <c r="R1942" s="19"/>
      <c r="S1942" s="19"/>
      <c r="T1942" s="19"/>
      <c r="U1942" s="19"/>
      <c r="V1942" s="19"/>
      <c r="W1942" s="19"/>
      <c r="X1942" s="19"/>
      <c r="Y1942" s="19"/>
      <c r="Z1942" s="19"/>
      <c r="AA1942" s="19"/>
      <c r="AB1942" s="19"/>
      <c r="AC1942" s="19"/>
    </row>
    <row r="1943" spans="2:29" x14ac:dyDescent="0.25">
      <c r="B1943" s="19"/>
      <c r="C1943" s="19"/>
      <c r="D1943" s="19"/>
      <c r="E1943" s="19"/>
      <c r="F1943" s="19"/>
      <c r="G1943" s="19"/>
      <c r="H1943" s="19"/>
      <c r="I1943" s="19"/>
      <c r="J1943" s="19"/>
      <c r="K1943" s="19"/>
      <c r="L1943" s="19"/>
      <c r="M1943" s="19"/>
      <c r="N1943" s="19"/>
      <c r="O1943" s="19"/>
      <c r="P1943" s="19"/>
      <c r="Q1943" s="19"/>
      <c r="R1943" s="19"/>
      <c r="S1943" s="19"/>
      <c r="T1943" s="19"/>
      <c r="U1943" s="19"/>
      <c r="V1943" s="19"/>
      <c r="W1943" s="19"/>
      <c r="X1943" s="19"/>
      <c r="Y1943" s="19"/>
      <c r="Z1943" s="19"/>
      <c r="AA1943" s="19"/>
      <c r="AB1943" s="19"/>
      <c r="AC1943" s="19"/>
    </row>
    <row r="1944" spans="2:29" x14ac:dyDescent="0.25">
      <c r="B1944" s="19"/>
      <c r="C1944" s="19"/>
      <c r="D1944" s="19"/>
      <c r="E1944" s="19"/>
      <c r="F1944" s="19"/>
      <c r="G1944" s="19"/>
      <c r="H1944" s="19"/>
      <c r="I1944" s="19"/>
      <c r="J1944" s="19"/>
      <c r="K1944" s="19"/>
      <c r="L1944" s="19"/>
      <c r="M1944" s="19"/>
      <c r="N1944" s="19"/>
      <c r="O1944" s="19"/>
      <c r="P1944" s="19"/>
      <c r="Q1944" s="19"/>
      <c r="R1944" s="19"/>
      <c r="S1944" s="19"/>
      <c r="T1944" s="19"/>
      <c r="U1944" s="19"/>
      <c r="V1944" s="19"/>
      <c r="W1944" s="19"/>
      <c r="X1944" s="19"/>
      <c r="Y1944" s="19"/>
      <c r="Z1944" s="19"/>
      <c r="AA1944" s="19"/>
      <c r="AB1944" s="19"/>
      <c r="AC1944" s="19"/>
    </row>
    <row r="1945" spans="2:29" x14ac:dyDescent="0.25">
      <c r="B1945" s="19"/>
      <c r="C1945" s="19"/>
      <c r="D1945" s="19"/>
      <c r="E1945" s="19"/>
      <c r="F1945" s="19"/>
      <c r="G1945" s="19"/>
      <c r="H1945" s="19"/>
      <c r="I1945" s="19"/>
      <c r="J1945" s="19"/>
      <c r="K1945" s="19"/>
      <c r="L1945" s="19"/>
      <c r="M1945" s="19"/>
      <c r="N1945" s="19"/>
      <c r="O1945" s="19"/>
      <c r="P1945" s="19"/>
      <c r="Q1945" s="19"/>
      <c r="R1945" s="19"/>
      <c r="S1945" s="19"/>
      <c r="T1945" s="19"/>
      <c r="U1945" s="19"/>
      <c r="V1945" s="19"/>
      <c r="W1945" s="19"/>
      <c r="X1945" s="19"/>
      <c r="Y1945" s="19"/>
      <c r="Z1945" s="19"/>
      <c r="AA1945" s="19"/>
      <c r="AB1945" s="19"/>
      <c r="AC1945" s="19"/>
    </row>
    <row r="1946" spans="2:29" x14ac:dyDescent="0.25">
      <c r="B1946" s="19"/>
      <c r="C1946" s="19"/>
      <c r="D1946" s="19"/>
      <c r="E1946" s="19"/>
      <c r="F1946" s="19"/>
      <c r="G1946" s="19"/>
      <c r="H1946" s="19"/>
      <c r="I1946" s="19"/>
      <c r="J1946" s="19"/>
      <c r="K1946" s="19"/>
      <c r="L1946" s="19"/>
      <c r="M1946" s="19"/>
      <c r="N1946" s="19"/>
      <c r="O1946" s="19"/>
      <c r="P1946" s="19"/>
      <c r="Q1946" s="19"/>
      <c r="R1946" s="19"/>
      <c r="S1946" s="19"/>
      <c r="T1946" s="19"/>
      <c r="U1946" s="19"/>
      <c r="V1946" s="19"/>
      <c r="W1946" s="19"/>
      <c r="X1946" s="19"/>
      <c r="Y1946" s="19"/>
      <c r="Z1946" s="19"/>
      <c r="AA1946" s="19"/>
      <c r="AB1946" s="19"/>
      <c r="AC1946" s="19"/>
    </row>
    <row r="1947" spans="2:29" x14ac:dyDescent="0.25">
      <c r="B1947" s="19"/>
      <c r="C1947" s="19"/>
      <c r="D1947" s="19"/>
      <c r="E1947" s="19"/>
      <c r="F1947" s="19"/>
      <c r="G1947" s="19"/>
      <c r="H1947" s="19"/>
      <c r="I1947" s="19"/>
      <c r="J1947" s="19"/>
      <c r="K1947" s="19"/>
      <c r="L1947" s="19"/>
      <c r="M1947" s="19"/>
      <c r="N1947" s="19"/>
      <c r="O1947" s="19"/>
      <c r="P1947" s="19"/>
      <c r="Q1947" s="19"/>
      <c r="R1947" s="19"/>
      <c r="S1947" s="19"/>
      <c r="T1947" s="19"/>
      <c r="U1947" s="19"/>
      <c r="V1947" s="19"/>
      <c r="W1947" s="19"/>
      <c r="X1947" s="19"/>
      <c r="Y1947" s="19"/>
      <c r="Z1947" s="19"/>
      <c r="AA1947" s="19"/>
      <c r="AB1947" s="19"/>
      <c r="AC1947" s="19"/>
    </row>
    <row r="1948" spans="2:29" x14ac:dyDescent="0.25">
      <c r="B1948" s="19"/>
      <c r="C1948" s="19"/>
      <c r="D1948" s="19"/>
      <c r="E1948" s="19"/>
      <c r="F1948" s="19"/>
      <c r="G1948" s="19"/>
      <c r="H1948" s="19"/>
      <c r="I1948" s="19"/>
      <c r="J1948" s="19"/>
      <c r="K1948" s="19"/>
      <c r="L1948" s="19"/>
      <c r="M1948" s="19"/>
      <c r="N1948" s="19"/>
      <c r="O1948" s="19"/>
      <c r="P1948" s="19"/>
      <c r="Q1948" s="19"/>
      <c r="R1948" s="19"/>
      <c r="S1948" s="19"/>
      <c r="T1948" s="19"/>
      <c r="U1948" s="19"/>
      <c r="V1948" s="19"/>
      <c r="W1948" s="19"/>
      <c r="X1948" s="19"/>
      <c r="Y1948" s="19"/>
      <c r="Z1948" s="19"/>
      <c r="AA1948" s="19"/>
      <c r="AB1948" s="19"/>
      <c r="AC1948" s="19"/>
    </row>
    <row r="1949" spans="2:29" x14ac:dyDescent="0.25">
      <c r="B1949" s="19"/>
      <c r="C1949" s="19"/>
      <c r="D1949" s="19"/>
      <c r="E1949" s="19"/>
      <c r="F1949" s="19"/>
      <c r="G1949" s="19"/>
      <c r="H1949" s="19"/>
      <c r="I1949" s="19"/>
      <c r="J1949" s="19"/>
      <c r="K1949" s="19"/>
      <c r="L1949" s="19"/>
      <c r="M1949" s="19"/>
      <c r="N1949" s="19"/>
      <c r="O1949" s="19"/>
      <c r="P1949" s="19"/>
      <c r="Q1949" s="19"/>
      <c r="R1949" s="19"/>
      <c r="S1949" s="19"/>
      <c r="T1949" s="19"/>
      <c r="U1949" s="19"/>
      <c r="V1949" s="19"/>
      <c r="W1949" s="19"/>
      <c r="X1949" s="19"/>
      <c r="Y1949" s="19"/>
      <c r="Z1949" s="19"/>
      <c r="AA1949" s="19"/>
      <c r="AB1949" s="19"/>
      <c r="AC1949" s="19"/>
    </row>
    <row r="1950" spans="2:29" x14ac:dyDescent="0.25">
      <c r="B1950" s="19"/>
      <c r="C1950" s="19"/>
      <c r="D1950" s="19"/>
      <c r="E1950" s="19"/>
      <c r="F1950" s="19"/>
      <c r="G1950" s="19"/>
      <c r="H1950" s="19"/>
      <c r="I1950" s="19"/>
      <c r="J1950" s="19"/>
      <c r="K1950" s="19"/>
      <c r="L1950" s="19"/>
      <c r="M1950" s="19"/>
      <c r="N1950" s="19"/>
      <c r="O1950" s="19"/>
      <c r="P1950" s="19"/>
      <c r="Q1950" s="19"/>
      <c r="R1950" s="19"/>
      <c r="S1950" s="19"/>
      <c r="T1950" s="19"/>
      <c r="U1950" s="19"/>
      <c r="V1950" s="19"/>
      <c r="W1950" s="19"/>
      <c r="X1950" s="19"/>
      <c r="Y1950" s="19"/>
      <c r="Z1950" s="19"/>
      <c r="AA1950" s="19"/>
      <c r="AB1950" s="19"/>
      <c r="AC1950" s="19"/>
    </row>
    <row r="1951" spans="2:29" x14ac:dyDescent="0.25">
      <c r="B1951" s="19"/>
      <c r="C1951" s="19"/>
      <c r="D1951" s="19"/>
      <c r="E1951" s="19"/>
      <c r="F1951" s="19"/>
      <c r="G1951" s="19"/>
      <c r="H1951" s="19"/>
      <c r="I1951" s="19"/>
      <c r="J1951" s="19"/>
      <c r="K1951" s="19"/>
      <c r="L1951" s="19"/>
      <c r="M1951" s="19"/>
      <c r="N1951" s="19"/>
      <c r="O1951" s="19"/>
      <c r="P1951" s="19"/>
      <c r="Q1951" s="19"/>
      <c r="R1951" s="19"/>
      <c r="S1951" s="19"/>
      <c r="T1951" s="19"/>
      <c r="U1951" s="19"/>
      <c r="V1951" s="19"/>
      <c r="W1951" s="19"/>
      <c r="X1951" s="19"/>
      <c r="Y1951" s="19"/>
      <c r="Z1951" s="19"/>
      <c r="AA1951" s="19"/>
      <c r="AB1951" s="19"/>
      <c r="AC1951" s="19"/>
    </row>
    <row r="1952" spans="2:29" x14ac:dyDescent="0.25">
      <c r="B1952" s="19"/>
      <c r="C1952" s="19"/>
      <c r="D1952" s="19"/>
      <c r="E1952" s="19"/>
      <c r="F1952" s="19"/>
      <c r="G1952" s="19"/>
      <c r="H1952" s="19"/>
      <c r="I1952" s="19"/>
      <c r="J1952" s="19"/>
      <c r="K1952" s="19"/>
      <c r="L1952" s="19"/>
      <c r="M1952" s="19"/>
      <c r="N1952" s="19"/>
      <c r="O1952" s="19"/>
      <c r="P1952" s="19"/>
      <c r="Q1952" s="19"/>
      <c r="R1952" s="19"/>
      <c r="S1952" s="19"/>
      <c r="T1952" s="19"/>
      <c r="U1952" s="19"/>
      <c r="V1952" s="19"/>
      <c r="W1952" s="19"/>
      <c r="X1952" s="19"/>
      <c r="Y1952" s="19"/>
      <c r="Z1952" s="19"/>
      <c r="AA1952" s="19"/>
      <c r="AB1952" s="19"/>
      <c r="AC1952" s="19"/>
    </row>
    <row r="1953" spans="2:29" x14ac:dyDescent="0.25">
      <c r="B1953" s="19"/>
      <c r="C1953" s="19"/>
      <c r="D1953" s="19"/>
      <c r="E1953" s="19"/>
      <c r="F1953" s="19"/>
      <c r="G1953" s="19"/>
      <c r="H1953" s="19"/>
      <c r="I1953" s="19"/>
      <c r="J1953" s="19"/>
      <c r="K1953" s="19"/>
      <c r="L1953" s="19"/>
      <c r="M1953" s="19"/>
      <c r="N1953" s="19"/>
      <c r="O1953" s="19"/>
      <c r="P1953" s="19"/>
      <c r="Q1953" s="19"/>
      <c r="R1953" s="19"/>
      <c r="S1953" s="19"/>
      <c r="T1953" s="19"/>
      <c r="U1953" s="19"/>
      <c r="V1953" s="19"/>
      <c r="W1953" s="19"/>
      <c r="X1953" s="19"/>
      <c r="Y1953" s="19"/>
      <c r="Z1953" s="19"/>
      <c r="AA1953" s="19"/>
      <c r="AB1953" s="19"/>
      <c r="AC1953" s="19"/>
    </row>
    <row r="1954" spans="2:29" x14ac:dyDescent="0.25">
      <c r="B1954" s="19"/>
      <c r="C1954" s="19"/>
      <c r="D1954" s="19"/>
      <c r="E1954" s="19"/>
      <c r="F1954" s="19"/>
      <c r="G1954" s="19"/>
      <c r="H1954" s="19"/>
      <c r="I1954" s="19"/>
      <c r="J1954" s="19"/>
      <c r="K1954" s="19"/>
      <c r="L1954" s="19"/>
      <c r="M1954" s="19"/>
      <c r="N1954" s="19"/>
      <c r="O1954" s="19"/>
      <c r="P1954" s="19"/>
      <c r="Q1954" s="19"/>
      <c r="R1954" s="19"/>
      <c r="S1954" s="19"/>
      <c r="T1954" s="19"/>
      <c r="U1954" s="19"/>
      <c r="V1954" s="19"/>
      <c r="W1954" s="19"/>
      <c r="X1954" s="19"/>
      <c r="Y1954" s="19"/>
      <c r="Z1954" s="19"/>
      <c r="AA1954" s="19"/>
      <c r="AB1954" s="19"/>
      <c r="AC1954" s="19"/>
    </row>
    <row r="1955" spans="2:29" x14ac:dyDescent="0.25">
      <c r="B1955" s="19"/>
      <c r="C1955" s="19"/>
      <c r="D1955" s="19"/>
      <c r="E1955" s="19"/>
      <c r="F1955" s="19"/>
      <c r="G1955" s="19"/>
      <c r="H1955" s="19"/>
      <c r="I1955" s="19"/>
      <c r="J1955" s="19"/>
      <c r="K1955" s="19"/>
      <c r="L1955" s="19"/>
      <c r="M1955" s="19"/>
      <c r="N1955" s="19"/>
      <c r="O1955" s="19"/>
      <c r="P1955" s="19"/>
      <c r="Q1955" s="19"/>
      <c r="R1955" s="19"/>
      <c r="S1955" s="19"/>
      <c r="T1955" s="19"/>
      <c r="U1955" s="19"/>
      <c r="V1955" s="19"/>
      <c r="W1955" s="19"/>
      <c r="X1955" s="19"/>
      <c r="Y1955" s="19"/>
      <c r="Z1955" s="19"/>
      <c r="AA1955" s="19"/>
      <c r="AB1955" s="19"/>
      <c r="AC1955" s="19"/>
    </row>
    <row r="1956" spans="2:29" x14ac:dyDescent="0.25">
      <c r="B1956" s="19"/>
      <c r="C1956" s="19"/>
      <c r="D1956" s="19"/>
      <c r="E1956" s="19"/>
      <c r="F1956" s="19"/>
      <c r="G1956" s="19"/>
      <c r="H1956" s="19"/>
      <c r="I1956" s="19"/>
      <c r="J1956" s="19"/>
      <c r="K1956" s="19"/>
      <c r="L1956" s="19"/>
      <c r="M1956" s="19"/>
      <c r="N1956" s="19"/>
      <c r="O1956" s="19"/>
      <c r="P1956" s="19"/>
      <c r="Q1956" s="19"/>
      <c r="R1956" s="19"/>
      <c r="S1956" s="19"/>
      <c r="T1956" s="19"/>
      <c r="U1956" s="19"/>
      <c r="V1956" s="19"/>
      <c r="W1956" s="19"/>
      <c r="X1956" s="19"/>
      <c r="Y1956" s="19"/>
      <c r="Z1956" s="19"/>
      <c r="AA1956" s="19"/>
      <c r="AB1956" s="19"/>
      <c r="AC1956" s="19"/>
    </row>
    <row r="1957" spans="2:29" x14ac:dyDescent="0.25">
      <c r="B1957" s="19"/>
      <c r="C1957" s="19"/>
      <c r="D1957" s="19"/>
      <c r="E1957" s="19"/>
      <c r="F1957" s="19"/>
      <c r="G1957" s="19"/>
      <c r="H1957" s="19"/>
      <c r="I1957" s="19"/>
      <c r="J1957" s="19"/>
      <c r="K1957" s="19"/>
      <c r="L1957" s="19"/>
      <c r="M1957" s="19"/>
      <c r="N1957" s="19"/>
      <c r="O1957" s="19"/>
      <c r="P1957" s="19"/>
      <c r="Q1957" s="19"/>
      <c r="R1957" s="19"/>
      <c r="S1957" s="19"/>
      <c r="T1957" s="19"/>
      <c r="U1957" s="19"/>
      <c r="V1957" s="19"/>
      <c r="W1957" s="19"/>
      <c r="X1957" s="19"/>
      <c r="Y1957" s="19"/>
      <c r="Z1957" s="19"/>
      <c r="AA1957" s="19"/>
      <c r="AB1957" s="19"/>
      <c r="AC1957" s="19"/>
    </row>
    <row r="1958" spans="2:29" x14ac:dyDescent="0.25">
      <c r="B1958" s="19"/>
      <c r="C1958" s="19"/>
      <c r="D1958" s="19"/>
      <c r="E1958" s="19"/>
      <c r="F1958" s="19"/>
      <c r="G1958" s="19"/>
      <c r="H1958" s="19"/>
      <c r="I1958" s="19"/>
      <c r="J1958" s="19"/>
      <c r="K1958" s="19"/>
      <c r="L1958" s="19"/>
      <c r="M1958" s="19"/>
      <c r="N1958" s="19"/>
      <c r="O1958" s="19"/>
      <c r="P1958" s="19"/>
      <c r="Q1958" s="19"/>
      <c r="R1958" s="19"/>
      <c r="S1958" s="19"/>
      <c r="T1958" s="19"/>
      <c r="U1958" s="19"/>
      <c r="V1958" s="19"/>
      <c r="W1958" s="19"/>
      <c r="X1958" s="19"/>
      <c r="Y1958" s="19"/>
      <c r="Z1958" s="19"/>
      <c r="AA1958" s="19"/>
      <c r="AB1958" s="19"/>
      <c r="AC1958" s="19"/>
    </row>
    <row r="1959" spans="2:29" x14ac:dyDescent="0.25">
      <c r="B1959" s="19"/>
      <c r="C1959" s="19"/>
      <c r="D1959" s="19"/>
      <c r="E1959" s="19"/>
      <c r="F1959" s="19"/>
      <c r="G1959" s="19"/>
      <c r="H1959" s="19"/>
      <c r="I1959" s="19"/>
      <c r="J1959" s="19"/>
      <c r="K1959" s="19"/>
      <c r="L1959" s="19"/>
      <c r="M1959" s="19"/>
      <c r="N1959" s="19"/>
      <c r="O1959" s="19"/>
      <c r="P1959" s="19"/>
      <c r="Q1959" s="19"/>
      <c r="R1959" s="19"/>
      <c r="S1959" s="19"/>
      <c r="T1959" s="19"/>
      <c r="U1959" s="19"/>
      <c r="V1959" s="19"/>
      <c r="W1959" s="19"/>
      <c r="X1959" s="19"/>
      <c r="Y1959" s="19"/>
      <c r="Z1959" s="19"/>
      <c r="AA1959" s="19"/>
      <c r="AB1959" s="19"/>
      <c r="AC1959" s="19"/>
    </row>
    <row r="1960" spans="2:29" x14ac:dyDescent="0.25">
      <c r="B1960" s="19"/>
      <c r="C1960" s="19"/>
      <c r="D1960" s="19"/>
      <c r="E1960" s="19"/>
      <c r="F1960" s="19"/>
      <c r="G1960" s="19"/>
      <c r="H1960" s="19"/>
      <c r="I1960" s="19"/>
      <c r="J1960" s="19"/>
      <c r="K1960" s="19"/>
      <c r="L1960" s="19"/>
      <c r="M1960" s="19"/>
      <c r="N1960" s="19"/>
      <c r="O1960" s="19"/>
      <c r="P1960" s="19"/>
      <c r="Q1960" s="19"/>
      <c r="R1960" s="19"/>
      <c r="S1960" s="19"/>
      <c r="T1960" s="19"/>
      <c r="U1960" s="19"/>
      <c r="V1960" s="19"/>
      <c r="W1960" s="19"/>
      <c r="X1960" s="19"/>
      <c r="Y1960" s="19"/>
      <c r="Z1960" s="19"/>
      <c r="AA1960" s="19"/>
      <c r="AB1960" s="19"/>
      <c r="AC1960" s="19"/>
    </row>
    <row r="1961" spans="2:29" x14ac:dyDescent="0.25">
      <c r="B1961" s="19"/>
      <c r="C1961" s="19"/>
      <c r="D1961" s="19"/>
      <c r="E1961" s="19"/>
      <c r="F1961" s="19"/>
      <c r="G1961" s="19"/>
      <c r="H1961" s="19"/>
      <c r="I1961" s="19"/>
      <c r="J1961" s="19"/>
      <c r="K1961" s="19"/>
      <c r="L1961" s="19"/>
      <c r="M1961" s="19"/>
      <c r="N1961" s="19"/>
      <c r="O1961" s="19"/>
      <c r="P1961" s="19"/>
      <c r="Q1961" s="19"/>
      <c r="R1961" s="19"/>
      <c r="S1961" s="19"/>
      <c r="T1961" s="19"/>
      <c r="U1961" s="19"/>
      <c r="V1961" s="19"/>
      <c r="W1961" s="19"/>
      <c r="X1961" s="19"/>
      <c r="Y1961" s="19"/>
      <c r="Z1961" s="19"/>
      <c r="AA1961" s="19"/>
      <c r="AB1961" s="19"/>
      <c r="AC1961" s="19"/>
    </row>
    <row r="1962" spans="2:29" x14ac:dyDescent="0.25">
      <c r="B1962" s="19"/>
      <c r="C1962" s="19"/>
      <c r="D1962" s="19"/>
      <c r="E1962" s="19"/>
      <c r="F1962" s="19"/>
      <c r="G1962" s="19"/>
      <c r="H1962" s="19"/>
      <c r="I1962" s="19"/>
      <c r="J1962" s="19"/>
      <c r="K1962" s="19"/>
      <c r="L1962" s="19"/>
      <c r="M1962" s="19"/>
      <c r="N1962" s="19"/>
      <c r="O1962" s="19"/>
      <c r="P1962" s="19"/>
      <c r="Q1962" s="19"/>
      <c r="R1962" s="19"/>
      <c r="S1962" s="19"/>
      <c r="T1962" s="19"/>
      <c r="U1962" s="19"/>
      <c r="V1962" s="19"/>
      <c r="W1962" s="19"/>
      <c r="X1962" s="19"/>
      <c r="Y1962" s="19"/>
      <c r="Z1962" s="19"/>
      <c r="AA1962" s="19"/>
      <c r="AB1962" s="19"/>
      <c r="AC1962" s="19"/>
    </row>
    <row r="1963" spans="2:29" x14ac:dyDescent="0.25">
      <c r="B1963" s="19"/>
      <c r="C1963" s="19"/>
      <c r="D1963" s="19"/>
      <c r="E1963" s="19"/>
      <c r="F1963" s="19"/>
      <c r="G1963" s="19"/>
      <c r="H1963" s="19"/>
      <c r="I1963" s="19"/>
      <c r="J1963" s="19"/>
      <c r="K1963" s="19"/>
      <c r="L1963" s="19"/>
      <c r="M1963" s="19"/>
      <c r="N1963" s="19"/>
      <c r="O1963" s="19"/>
      <c r="P1963" s="19"/>
      <c r="Q1963" s="19"/>
      <c r="R1963" s="19"/>
      <c r="S1963" s="19"/>
      <c r="T1963" s="19"/>
      <c r="U1963" s="19"/>
      <c r="V1963" s="19"/>
      <c r="W1963" s="19"/>
      <c r="X1963" s="19"/>
      <c r="Y1963" s="19"/>
      <c r="Z1963" s="19"/>
      <c r="AA1963" s="19"/>
      <c r="AB1963" s="19"/>
      <c r="AC1963" s="19"/>
    </row>
    <row r="1964" spans="2:29" x14ac:dyDescent="0.25">
      <c r="B1964" s="19"/>
      <c r="C1964" s="19"/>
      <c r="D1964" s="19"/>
      <c r="E1964" s="19"/>
      <c r="F1964" s="19"/>
      <c r="G1964" s="19"/>
      <c r="H1964" s="19"/>
      <c r="I1964" s="19"/>
      <c r="J1964" s="19"/>
      <c r="K1964" s="19"/>
      <c r="L1964" s="19"/>
      <c r="M1964" s="19"/>
      <c r="N1964" s="19"/>
      <c r="O1964" s="19"/>
      <c r="P1964" s="19"/>
      <c r="Q1964" s="19"/>
      <c r="R1964" s="19"/>
      <c r="S1964" s="19"/>
      <c r="T1964" s="19"/>
      <c r="U1964" s="19"/>
      <c r="V1964" s="19"/>
      <c r="W1964" s="19"/>
      <c r="X1964" s="19"/>
      <c r="Y1964" s="19"/>
      <c r="Z1964" s="19"/>
      <c r="AA1964" s="19"/>
      <c r="AB1964" s="19"/>
      <c r="AC1964" s="19"/>
    </row>
    <row r="1965" spans="2:29" x14ac:dyDescent="0.25">
      <c r="B1965" s="19"/>
      <c r="C1965" s="19"/>
      <c r="D1965" s="19"/>
      <c r="E1965" s="19"/>
      <c r="F1965" s="19"/>
      <c r="G1965" s="19"/>
      <c r="H1965" s="19"/>
      <c r="I1965" s="19"/>
      <c r="J1965" s="19"/>
      <c r="K1965" s="19"/>
      <c r="L1965" s="19"/>
      <c r="M1965" s="19"/>
      <c r="N1965" s="19"/>
      <c r="O1965" s="19"/>
      <c r="P1965" s="19"/>
      <c r="Q1965" s="19"/>
      <c r="R1965" s="19"/>
      <c r="S1965" s="19"/>
      <c r="T1965" s="19"/>
      <c r="U1965" s="19"/>
      <c r="V1965" s="19"/>
      <c r="W1965" s="19"/>
      <c r="X1965" s="19"/>
      <c r="Y1965" s="19"/>
      <c r="Z1965" s="19"/>
      <c r="AA1965" s="19"/>
      <c r="AB1965" s="19"/>
      <c r="AC1965" s="19"/>
    </row>
    <row r="1966" spans="2:29" x14ac:dyDescent="0.25">
      <c r="B1966" s="19"/>
      <c r="C1966" s="19"/>
      <c r="D1966" s="19"/>
      <c r="E1966" s="19"/>
      <c r="F1966" s="19"/>
      <c r="G1966" s="19"/>
      <c r="H1966" s="19"/>
      <c r="I1966" s="19"/>
      <c r="J1966" s="19"/>
      <c r="K1966" s="19"/>
      <c r="L1966" s="19"/>
      <c r="M1966" s="19"/>
      <c r="N1966" s="19"/>
      <c r="O1966" s="19"/>
      <c r="P1966" s="19"/>
      <c r="Q1966" s="19"/>
      <c r="R1966" s="19"/>
      <c r="S1966" s="19"/>
      <c r="T1966" s="19"/>
      <c r="U1966" s="19"/>
      <c r="V1966" s="19"/>
      <c r="W1966" s="19"/>
      <c r="X1966" s="19"/>
      <c r="Y1966" s="19"/>
      <c r="Z1966" s="19"/>
      <c r="AA1966" s="19"/>
      <c r="AB1966" s="19"/>
      <c r="AC1966" s="19"/>
    </row>
    <row r="1967" spans="2:29" x14ac:dyDescent="0.25">
      <c r="B1967" s="19"/>
      <c r="C1967" s="19"/>
      <c r="D1967" s="19"/>
      <c r="E1967" s="19"/>
      <c r="F1967" s="19"/>
      <c r="G1967" s="19"/>
      <c r="H1967" s="19"/>
      <c r="I1967" s="19"/>
      <c r="J1967" s="19"/>
      <c r="K1967" s="19"/>
      <c r="L1967" s="19"/>
      <c r="M1967" s="19"/>
      <c r="N1967" s="19"/>
      <c r="O1967" s="19"/>
      <c r="P1967" s="19"/>
      <c r="Q1967" s="19"/>
      <c r="R1967" s="19"/>
      <c r="S1967" s="19"/>
      <c r="T1967" s="19"/>
      <c r="U1967" s="19"/>
      <c r="V1967" s="19"/>
      <c r="W1967" s="19"/>
      <c r="X1967" s="19"/>
      <c r="Y1967" s="19"/>
      <c r="Z1967" s="19"/>
      <c r="AA1967" s="19"/>
      <c r="AB1967" s="19"/>
      <c r="AC1967" s="19"/>
    </row>
    <row r="1968" spans="2:29" x14ac:dyDescent="0.25">
      <c r="B1968" s="19"/>
      <c r="C1968" s="19"/>
      <c r="D1968" s="19"/>
      <c r="E1968" s="19"/>
      <c r="F1968" s="19"/>
      <c r="G1968" s="19"/>
      <c r="H1968" s="19"/>
      <c r="I1968" s="19"/>
      <c r="J1968" s="19"/>
      <c r="K1968" s="19"/>
      <c r="L1968" s="19"/>
      <c r="M1968" s="19"/>
      <c r="N1968" s="19"/>
      <c r="O1968" s="19"/>
      <c r="P1968" s="19"/>
      <c r="Q1968" s="19"/>
      <c r="R1968" s="19"/>
      <c r="S1968" s="19"/>
      <c r="T1968" s="19"/>
      <c r="U1968" s="19"/>
      <c r="V1968" s="19"/>
      <c r="W1968" s="19"/>
      <c r="X1968" s="19"/>
      <c r="Y1968" s="19"/>
      <c r="Z1968" s="19"/>
      <c r="AA1968" s="19"/>
      <c r="AB1968" s="19"/>
      <c r="AC1968" s="19"/>
    </row>
    <row r="1969" spans="2:29" x14ac:dyDescent="0.25">
      <c r="B1969" s="19"/>
      <c r="C1969" s="19"/>
      <c r="D1969" s="19"/>
      <c r="E1969" s="19"/>
      <c r="F1969" s="19"/>
      <c r="G1969" s="19"/>
      <c r="H1969" s="19"/>
      <c r="I1969" s="19"/>
      <c r="J1969" s="19"/>
      <c r="K1969" s="19"/>
      <c r="L1969" s="19"/>
      <c r="M1969" s="19"/>
      <c r="N1969" s="19"/>
      <c r="O1969" s="19"/>
      <c r="P1969" s="19"/>
      <c r="Q1969" s="19"/>
      <c r="R1969" s="19"/>
      <c r="S1969" s="19"/>
      <c r="T1969" s="19"/>
      <c r="U1969" s="19"/>
      <c r="V1969" s="19"/>
      <c r="W1969" s="19"/>
      <c r="X1969" s="19"/>
      <c r="Y1969" s="19"/>
      <c r="Z1969" s="19"/>
      <c r="AA1969" s="19"/>
      <c r="AB1969" s="19"/>
      <c r="AC1969" s="19"/>
    </row>
    <row r="1970" spans="2:29" x14ac:dyDescent="0.25">
      <c r="B1970" s="19"/>
      <c r="C1970" s="19"/>
      <c r="D1970" s="19"/>
      <c r="E1970" s="19"/>
      <c r="F1970" s="19"/>
      <c r="G1970" s="19"/>
      <c r="H1970" s="19"/>
      <c r="I1970" s="19"/>
      <c r="J1970" s="19"/>
      <c r="K1970" s="19"/>
      <c r="L1970" s="19"/>
      <c r="M1970" s="19"/>
      <c r="N1970" s="19"/>
      <c r="O1970" s="19"/>
      <c r="P1970" s="19"/>
      <c r="Q1970" s="19"/>
      <c r="R1970" s="19"/>
      <c r="S1970" s="19"/>
      <c r="T1970" s="19"/>
      <c r="U1970" s="19"/>
      <c r="V1970" s="19"/>
      <c r="W1970" s="19"/>
      <c r="X1970" s="19"/>
      <c r="Y1970" s="19"/>
      <c r="Z1970" s="19"/>
      <c r="AA1970" s="19"/>
      <c r="AB1970" s="19"/>
      <c r="AC1970" s="19"/>
    </row>
    <row r="1971" spans="2:29" x14ac:dyDescent="0.25">
      <c r="B1971" s="19"/>
      <c r="C1971" s="19"/>
      <c r="D1971" s="19"/>
      <c r="E1971" s="19"/>
      <c r="F1971" s="19"/>
      <c r="G1971" s="19"/>
      <c r="H1971" s="19"/>
      <c r="I1971" s="19"/>
      <c r="J1971" s="19"/>
      <c r="K1971" s="19"/>
      <c r="L1971" s="19"/>
      <c r="M1971" s="19"/>
      <c r="N1971" s="19"/>
      <c r="O1971" s="19"/>
      <c r="P1971" s="19"/>
      <c r="Q1971" s="19"/>
      <c r="R1971" s="19"/>
      <c r="S1971" s="19"/>
      <c r="T1971" s="19"/>
      <c r="U1971" s="19"/>
      <c r="V1971" s="19"/>
      <c r="W1971" s="19"/>
      <c r="X1971" s="19"/>
      <c r="Y1971" s="19"/>
      <c r="Z1971" s="19"/>
      <c r="AA1971" s="19"/>
      <c r="AB1971" s="19"/>
      <c r="AC1971" s="19"/>
    </row>
    <row r="1972" spans="2:29" x14ac:dyDescent="0.25">
      <c r="B1972" s="19"/>
      <c r="C1972" s="19"/>
      <c r="D1972" s="19"/>
      <c r="E1972" s="19"/>
      <c r="F1972" s="19"/>
      <c r="G1972" s="19"/>
      <c r="H1972" s="19"/>
      <c r="I1972" s="19"/>
      <c r="J1972" s="19"/>
      <c r="K1972" s="19"/>
      <c r="L1972" s="19"/>
      <c r="M1972" s="19"/>
      <c r="N1972" s="19"/>
      <c r="O1972" s="19"/>
      <c r="P1972" s="19"/>
      <c r="Q1972" s="19"/>
      <c r="R1972" s="19"/>
      <c r="S1972" s="19"/>
      <c r="T1972" s="19"/>
      <c r="U1972" s="19"/>
      <c r="V1972" s="19"/>
      <c r="W1972" s="19"/>
      <c r="X1972" s="19"/>
      <c r="Y1972" s="19"/>
      <c r="Z1972" s="19"/>
      <c r="AA1972" s="19"/>
      <c r="AB1972" s="19"/>
      <c r="AC1972" s="19"/>
    </row>
    <row r="1973" spans="2:29" x14ac:dyDescent="0.25">
      <c r="B1973" s="19"/>
      <c r="C1973" s="19"/>
      <c r="D1973" s="19"/>
      <c r="E1973" s="19"/>
      <c r="F1973" s="19"/>
      <c r="G1973" s="19"/>
      <c r="H1973" s="19"/>
      <c r="I1973" s="19"/>
      <c r="J1973" s="19"/>
      <c r="K1973" s="19"/>
      <c r="L1973" s="19"/>
      <c r="M1973" s="19"/>
      <c r="N1973" s="19"/>
      <c r="O1973" s="19"/>
      <c r="P1973" s="19"/>
      <c r="Q1973" s="19"/>
      <c r="R1973" s="19"/>
      <c r="S1973" s="19"/>
      <c r="T1973" s="19"/>
      <c r="U1973" s="19"/>
      <c r="V1973" s="19"/>
      <c r="W1973" s="19"/>
      <c r="X1973" s="19"/>
      <c r="Y1973" s="19"/>
      <c r="Z1973" s="19"/>
      <c r="AA1973" s="19"/>
      <c r="AB1973" s="19"/>
      <c r="AC1973" s="19"/>
    </row>
    <row r="1974" spans="2:29" x14ac:dyDescent="0.25">
      <c r="B1974" s="19"/>
      <c r="C1974" s="19"/>
      <c r="D1974" s="19"/>
      <c r="E1974" s="19"/>
      <c r="F1974" s="19"/>
      <c r="G1974" s="19"/>
      <c r="H1974" s="19"/>
      <c r="I1974" s="19"/>
      <c r="J1974" s="19"/>
      <c r="K1974" s="19"/>
      <c r="L1974" s="19"/>
      <c r="M1974" s="19"/>
      <c r="N1974" s="19"/>
      <c r="O1974" s="19"/>
      <c r="P1974" s="19"/>
      <c r="Q1974" s="19"/>
      <c r="R1974" s="19"/>
      <c r="S1974" s="19"/>
      <c r="T1974" s="19"/>
      <c r="U1974" s="19"/>
      <c r="V1974" s="19"/>
      <c r="W1974" s="19"/>
      <c r="X1974" s="19"/>
      <c r="Y1974" s="19"/>
      <c r="Z1974" s="19"/>
      <c r="AA1974" s="19"/>
      <c r="AB1974" s="19"/>
      <c r="AC1974" s="19"/>
    </row>
    <row r="1975" spans="2:29" x14ac:dyDescent="0.25">
      <c r="B1975" s="19"/>
      <c r="C1975" s="19"/>
      <c r="D1975" s="19"/>
      <c r="E1975" s="19"/>
      <c r="F1975" s="19"/>
      <c r="G1975" s="19"/>
      <c r="H1975" s="19"/>
      <c r="I1975" s="19"/>
      <c r="J1975" s="19"/>
      <c r="K1975" s="19"/>
      <c r="L1975" s="19"/>
      <c r="M1975" s="19"/>
      <c r="N1975" s="19"/>
      <c r="O1975" s="19"/>
      <c r="P1975" s="19"/>
      <c r="Q1975" s="19"/>
      <c r="R1975" s="19"/>
      <c r="S1975" s="19"/>
      <c r="T1975" s="19"/>
      <c r="U1975" s="19"/>
      <c r="V1975" s="19"/>
      <c r="W1975" s="19"/>
      <c r="X1975" s="19"/>
      <c r="Y1975" s="19"/>
      <c r="Z1975" s="19"/>
      <c r="AA1975" s="19"/>
      <c r="AB1975" s="19"/>
      <c r="AC1975" s="19"/>
    </row>
    <row r="1976" spans="2:29" x14ac:dyDescent="0.25">
      <c r="B1976" s="19"/>
      <c r="C1976" s="19"/>
      <c r="D1976" s="19"/>
      <c r="E1976" s="19"/>
      <c r="F1976" s="19"/>
      <c r="G1976" s="19"/>
      <c r="H1976" s="19"/>
      <c r="I1976" s="19"/>
      <c r="J1976" s="19"/>
      <c r="K1976" s="19"/>
      <c r="L1976" s="19"/>
      <c r="M1976" s="19"/>
      <c r="N1976" s="19"/>
      <c r="O1976" s="19"/>
      <c r="P1976" s="19"/>
      <c r="Q1976" s="19"/>
      <c r="R1976" s="19"/>
      <c r="S1976" s="19"/>
      <c r="T1976" s="19"/>
      <c r="U1976" s="19"/>
      <c r="V1976" s="19"/>
      <c r="W1976" s="19"/>
      <c r="X1976" s="19"/>
      <c r="Y1976" s="19"/>
      <c r="Z1976" s="19"/>
      <c r="AA1976" s="19"/>
      <c r="AB1976" s="19"/>
      <c r="AC1976" s="19"/>
    </row>
    <row r="1977" spans="2:29" x14ac:dyDescent="0.25">
      <c r="B1977" s="19"/>
      <c r="C1977" s="19"/>
      <c r="D1977" s="19"/>
      <c r="E1977" s="19"/>
      <c r="F1977" s="19"/>
      <c r="G1977" s="19"/>
      <c r="H1977" s="19"/>
      <c r="I1977" s="19"/>
      <c r="J1977" s="19"/>
      <c r="K1977" s="19"/>
      <c r="L1977" s="19"/>
      <c r="M1977" s="19"/>
      <c r="N1977" s="19"/>
      <c r="O1977" s="19"/>
      <c r="P1977" s="19"/>
      <c r="Q1977" s="19"/>
      <c r="R1977" s="19"/>
      <c r="S1977" s="19"/>
      <c r="T1977" s="19"/>
      <c r="U1977" s="19"/>
      <c r="V1977" s="19"/>
      <c r="W1977" s="19"/>
      <c r="X1977" s="19"/>
      <c r="Y1977" s="19"/>
      <c r="Z1977" s="19"/>
      <c r="AA1977" s="19"/>
      <c r="AB1977" s="19"/>
      <c r="AC1977" s="19"/>
    </row>
    <row r="1978" spans="2:29" x14ac:dyDescent="0.25">
      <c r="B1978" s="19"/>
      <c r="C1978" s="19"/>
      <c r="D1978" s="19"/>
      <c r="E1978" s="19"/>
      <c r="F1978" s="19"/>
      <c r="G1978" s="19"/>
      <c r="H1978" s="19"/>
      <c r="I1978" s="19"/>
      <c r="J1978" s="19"/>
      <c r="K1978" s="19"/>
      <c r="L1978" s="19"/>
      <c r="M1978" s="19"/>
      <c r="N1978" s="19"/>
      <c r="O1978" s="19"/>
      <c r="P1978" s="19"/>
      <c r="Q1978" s="19"/>
      <c r="R1978" s="19"/>
      <c r="S1978" s="19"/>
      <c r="T1978" s="19"/>
      <c r="U1978" s="19"/>
      <c r="V1978" s="19"/>
      <c r="W1978" s="19"/>
      <c r="X1978" s="19"/>
      <c r="Y1978" s="19"/>
      <c r="Z1978" s="19"/>
      <c r="AA1978" s="19"/>
      <c r="AB1978" s="19"/>
      <c r="AC1978" s="19"/>
    </row>
    <row r="1979" spans="2:29" x14ac:dyDescent="0.25">
      <c r="B1979" s="19"/>
      <c r="C1979" s="19"/>
      <c r="D1979" s="19"/>
      <c r="E1979" s="19"/>
      <c r="F1979" s="19"/>
      <c r="G1979" s="19"/>
      <c r="H1979" s="19"/>
      <c r="I1979" s="19"/>
      <c r="J1979" s="19"/>
      <c r="K1979" s="19"/>
      <c r="L1979" s="19"/>
      <c r="M1979" s="19"/>
      <c r="N1979" s="19"/>
      <c r="O1979" s="19"/>
      <c r="P1979" s="19"/>
      <c r="Q1979" s="19"/>
      <c r="R1979" s="19"/>
      <c r="S1979" s="19"/>
      <c r="T1979" s="19"/>
      <c r="U1979" s="19"/>
      <c r="V1979" s="19"/>
      <c r="W1979" s="19"/>
      <c r="X1979" s="19"/>
      <c r="Y1979" s="19"/>
      <c r="Z1979" s="19"/>
      <c r="AA1979" s="19"/>
      <c r="AB1979" s="19"/>
      <c r="AC1979" s="19"/>
    </row>
    <row r="1980" spans="2:29" x14ac:dyDescent="0.25">
      <c r="B1980" s="19"/>
      <c r="C1980" s="19"/>
      <c r="D1980" s="19"/>
      <c r="E1980" s="19"/>
      <c r="F1980" s="19"/>
      <c r="G1980" s="19"/>
      <c r="H1980" s="19"/>
      <c r="I1980" s="19"/>
      <c r="J1980" s="19"/>
      <c r="K1980" s="19"/>
      <c r="L1980" s="19"/>
      <c r="M1980" s="19"/>
      <c r="N1980" s="19"/>
      <c r="O1980" s="19"/>
      <c r="P1980" s="19"/>
      <c r="Q1980" s="19"/>
      <c r="R1980" s="19"/>
      <c r="S1980" s="19"/>
      <c r="T1980" s="19"/>
      <c r="U1980" s="19"/>
      <c r="V1980" s="19"/>
      <c r="W1980" s="19"/>
      <c r="X1980" s="19"/>
      <c r="Y1980" s="19"/>
      <c r="Z1980" s="19"/>
      <c r="AA1980" s="19"/>
      <c r="AB1980" s="19"/>
      <c r="AC1980" s="19"/>
    </row>
    <row r="1981" spans="2:29" x14ac:dyDescent="0.25">
      <c r="B1981" s="19"/>
      <c r="C1981" s="19"/>
      <c r="D1981" s="19"/>
      <c r="E1981" s="19"/>
      <c r="F1981" s="19"/>
      <c r="G1981" s="19"/>
      <c r="H1981" s="19"/>
      <c r="I1981" s="19"/>
      <c r="J1981" s="19"/>
      <c r="K1981" s="19"/>
      <c r="L1981" s="19"/>
      <c r="M1981" s="19"/>
      <c r="N1981" s="19"/>
      <c r="O1981" s="19"/>
      <c r="P1981" s="19"/>
      <c r="Q1981" s="19"/>
      <c r="R1981" s="19"/>
      <c r="S1981" s="19"/>
      <c r="T1981" s="19"/>
      <c r="U1981" s="19"/>
      <c r="V1981" s="19"/>
      <c r="W1981" s="19"/>
      <c r="X1981" s="19"/>
      <c r="Y1981" s="19"/>
      <c r="Z1981" s="19"/>
      <c r="AA1981" s="19"/>
      <c r="AB1981" s="19"/>
      <c r="AC1981" s="19"/>
    </row>
    <row r="1982" spans="2:29" x14ac:dyDescent="0.25">
      <c r="B1982" s="19"/>
      <c r="C1982" s="19"/>
      <c r="D1982" s="19"/>
      <c r="E1982" s="19"/>
      <c r="F1982" s="19"/>
      <c r="G1982" s="19"/>
      <c r="H1982" s="19"/>
      <c r="I1982" s="19"/>
      <c r="J1982" s="19"/>
      <c r="K1982" s="19"/>
      <c r="L1982" s="19"/>
      <c r="M1982" s="19"/>
      <c r="N1982" s="19"/>
      <c r="O1982" s="19"/>
      <c r="P1982" s="19"/>
      <c r="Q1982" s="19"/>
      <c r="R1982" s="19"/>
      <c r="S1982" s="19"/>
      <c r="T1982" s="19"/>
      <c r="U1982" s="19"/>
      <c r="V1982" s="19"/>
      <c r="W1982" s="19"/>
      <c r="X1982" s="19"/>
      <c r="Y1982" s="19"/>
      <c r="Z1982" s="19"/>
      <c r="AA1982" s="19"/>
      <c r="AB1982" s="19"/>
      <c r="AC1982" s="19"/>
    </row>
    <row r="1983" spans="2:29" x14ac:dyDescent="0.25">
      <c r="B1983" s="19"/>
      <c r="C1983" s="19"/>
      <c r="D1983" s="19"/>
      <c r="E1983" s="19"/>
      <c r="F1983" s="19"/>
      <c r="G1983" s="19"/>
      <c r="H1983" s="19"/>
      <c r="I1983" s="19"/>
      <c r="J1983" s="19"/>
      <c r="K1983" s="19"/>
      <c r="L1983" s="19"/>
      <c r="M1983" s="19"/>
      <c r="N1983" s="19"/>
      <c r="O1983" s="19"/>
      <c r="P1983" s="19"/>
      <c r="Q1983" s="19"/>
      <c r="R1983" s="19"/>
      <c r="S1983" s="19"/>
      <c r="T1983" s="19"/>
      <c r="U1983" s="19"/>
      <c r="V1983" s="19"/>
      <c r="W1983" s="19"/>
      <c r="X1983" s="19"/>
      <c r="Y1983" s="19"/>
      <c r="Z1983" s="19"/>
      <c r="AA1983" s="19"/>
      <c r="AB1983" s="19"/>
      <c r="AC1983" s="19"/>
    </row>
    <row r="1984" spans="2:29" x14ac:dyDescent="0.25">
      <c r="B1984" s="19"/>
      <c r="C1984" s="19"/>
      <c r="D1984" s="19"/>
      <c r="E1984" s="19"/>
      <c r="F1984" s="19"/>
      <c r="G1984" s="19"/>
      <c r="H1984" s="19"/>
      <c r="I1984" s="19"/>
      <c r="J1984" s="19"/>
      <c r="K1984" s="19"/>
      <c r="L1984" s="19"/>
      <c r="M1984" s="19"/>
      <c r="N1984" s="19"/>
      <c r="O1984" s="19"/>
      <c r="P1984" s="19"/>
      <c r="Q1984" s="19"/>
      <c r="R1984" s="19"/>
      <c r="S1984" s="19"/>
      <c r="T1984" s="19"/>
      <c r="U1984" s="19"/>
      <c r="V1984" s="19"/>
      <c r="W1984" s="19"/>
      <c r="X1984" s="19"/>
      <c r="Y1984" s="19"/>
      <c r="Z1984" s="19"/>
      <c r="AA1984" s="19"/>
      <c r="AB1984" s="19"/>
      <c r="AC1984" s="19"/>
    </row>
    <row r="1985" spans="2:29" x14ac:dyDescent="0.25">
      <c r="B1985" s="19"/>
      <c r="C1985" s="19"/>
      <c r="D1985" s="19"/>
      <c r="E1985" s="19"/>
      <c r="F1985" s="19"/>
      <c r="G1985" s="19"/>
      <c r="H1985" s="19"/>
      <c r="I1985" s="19"/>
      <c r="J1985" s="19"/>
      <c r="K1985" s="19"/>
      <c r="L1985" s="19"/>
      <c r="M1985" s="19"/>
      <c r="N1985" s="19"/>
      <c r="O1985" s="19"/>
      <c r="P1985" s="19"/>
      <c r="Q1985" s="19"/>
      <c r="R1985" s="19"/>
      <c r="S1985" s="19"/>
      <c r="T1985" s="19"/>
      <c r="U1985" s="19"/>
      <c r="V1985" s="19"/>
      <c r="W1985" s="19"/>
      <c r="X1985" s="19"/>
      <c r="Y1985" s="19"/>
      <c r="Z1985" s="19"/>
      <c r="AA1985" s="19"/>
      <c r="AB1985" s="19"/>
      <c r="AC1985" s="19"/>
    </row>
    <row r="1986" spans="2:29" x14ac:dyDescent="0.25">
      <c r="B1986" s="19"/>
      <c r="C1986" s="19"/>
      <c r="D1986" s="19"/>
      <c r="E1986" s="19"/>
      <c r="F1986" s="19"/>
      <c r="G1986" s="19"/>
      <c r="H1986" s="19"/>
      <c r="I1986" s="19"/>
      <c r="J1986" s="19"/>
      <c r="K1986" s="19"/>
      <c r="L1986" s="19"/>
      <c r="M1986" s="19"/>
      <c r="N1986" s="19"/>
      <c r="O1986" s="19"/>
      <c r="P1986" s="19"/>
      <c r="Q1986" s="19"/>
      <c r="R1986" s="19"/>
      <c r="S1986" s="19"/>
      <c r="T1986" s="19"/>
      <c r="U1986" s="19"/>
      <c r="V1986" s="19"/>
      <c r="W1986" s="19"/>
      <c r="X1986" s="19"/>
      <c r="Y1986" s="19"/>
      <c r="Z1986" s="19"/>
      <c r="AA1986" s="19"/>
      <c r="AB1986" s="19"/>
      <c r="AC1986" s="19"/>
    </row>
    <row r="1987" spans="2:29" x14ac:dyDescent="0.25">
      <c r="B1987" s="19"/>
      <c r="C1987" s="19"/>
      <c r="D1987" s="19"/>
      <c r="E1987" s="19"/>
      <c r="F1987" s="19"/>
      <c r="G1987" s="19"/>
      <c r="H1987" s="19"/>
      <c r="I1987" s="19"/>
      <c r="J1987" s="19"/>
      <c r="K1987" s="19"/>
      <c r="L1987" s="19"/>
      <c r="M1987" s="19"/>
      <c r="N1987" s="19"/>
      <c r="O1987" s="19"/>
      <c r="P1987" s="19"/>
      <c r="Q1987" s="19"/>
      <c r="R1987" s="19"/>
      <c r="S1987" s="19"/>
      <c r="T1987" s="19"/>
      <c r="U1987" s="19"/>
      <c r="V1987" s="19"/>
      <c r="W1987" s="19"/>
      <c r="X1987" s="19"/>
      <c r="Y1987" s="19"/>
      <c r="Z1987" s="19"/>
      <c r="AA1987" s="19"/>
      <c r="AB1987" s="19"/>
      <c r="AC1987" s="19"/>
    </row>
    <row r="1988" spans="2:29" x14ac:dyDescent="0.25">
      <c r="B1988" s="19"/>
      <c r="C1988" s="19"/>
      <c r="D1988" s="19"/>
      <c r="E1988" s="19"/>
      <c r="F1988" s="19"/>
      <c r="G1988" s="19"/>
      <c r="H1988" s="19"/>
      <c r="I1988" s="19"/>
      <c r="J1988" s="19"/>
      <c r="K1988" s="19"/>
      <c r="L1988" s="19"/>
      <c r="M1988" s="19"/>
      <c r="N1988" s="19"/>
      <c r="O1988" s="19"/>
      <c r="P1988" s="19"/>
      <c r="Q1988" s="19"/>
      <c r="R1988" s="19"/>
      <c r="S1988" s="19"/>
      <c r="T1988" s="19"/>
      <c r="U1988" s="19"/>
      <c r="V1988" s="19"/>
      <c r="W1988" s="19"/>
      <c r="X1988" s="19"/>
      <c r="Y1988" s="19"/>
      <c r="Z1988" s="19"/>
      <c r="AA1988" s="19"/>
      <c r="AB1988" s="19"/>
      <c r="AC1988" s="19"/>
    </row>
    <row r="1989" spans="2:29" x14ac:dyDescent="0.25">
      <c r="B1989" s="19"/>
      <c r="C1989" s="19"/>
      <c r="D1989" s="19"/>
      <c r="E1989" s="19"/>
      <c r="F1989" s="19"/>
      <c r="G1989" s="19"/>
      <c r="H1989" s="19"/>
      <c r="I1989" s="19"/>
      <c r="J1989" s="19"/>
      <c r="K1989" s="19"/>
      <c r="L1989" s="19"/>
      <c r="M1989" s="19"/>
      <c r="N1989" s="19"/>
      <c r="O1989" s="19"/>
      <c r="P1989" s="19"/>
      <c r="Q1989" s="19"/>
      <c r="R1989" s="19"/>
      <c r="S1989" s="19"/>
      <c r="T1989" s="19"/>
      <c r="U1989" s="19"/>
      <c r="V1989" s="19"/>
      <c r="W1989" s="19"/>
      <c r="X1989" s="19"/>
      <c r="Y1989" s="19"/>
      <c r="Z1989" s="19"/>
      <c r="AA1989" s="19"/>
      <c r="AB1989" s="19"/>
      <c r="AC1989" s="19"/>
    </row>
    <row r="1990" spans="2:29" x14ac:dyDescent="0.25">
      <c r="B1990" s="19"/>
      <c r="C1990" s="19"/>
      <c r="D1990" s="19"/>
      <c r="E1990" s="19"/>
      <c r="F1990" s="19"/>
      <c r="G1990" s="19"/>
      <c r="H1990" s="19"/>
      <c r="I1990" s="19"/>
      <c r="J1990" s="19"/>
      <c r="K1990" s="19"/>
      <c r="L1990" s="19"/>
      <c r="M1990" s="19"/>
      <c r="N1990" s="19"/>
      <c r="O1990" s="19"/>
      <c r="P1990" s="19"/>
      <c r="Q1990" s="19"/>
      <c r="R1990" s="19"/>
      <c r="S1990" s="19"/>
      <c r="T1990" s="19"/>
      <c r="U1990" s="19"/>
      <c r="V1990" s="19"/>
      <c r="W1990" s="19"/>
      <c r="X1990" s="19"/>
      <c r="Y1990" s="19"/>
      <c r="Z1990" s="19"/>
      <c r="AA1990" s="19"/>
      <c r="AB1990" s="19"/>
      <c r="AC1990" s="19"/>
    </row>
    <row r="1991" spans="2:29" x14ac:dyDescent="0.25">
      <c r="B1991" s="19"/>
      <c r="C1991" s="19"/>
      <c r="D1991" s="19"/>
      <c r="E1991" s="19"/>
      <c r="F1991" s="19"/>
      <c r="G1991" s="19"/>
      <c r="H1991" s="19"/>
      <c r="I1991" s="19"/>
      <c r="J1991" s="19"/>
      <c r="K1991" s="19"/>
      <c r="L1991" s="19"/>
      <c r="M1991" s="19"/>
      <c r="N1991" s="19"/>
      <c r="O1991" s="19"/>
      <c r="P1991" s="19"/>
      <c r="Q1991" s="19"/>
      <c r="R1991" s="19"/>
      <c r="S1991" s="19"/>
      <c r="T1991" s="19"/>
      <c r="U1991" s="19"/>
      <c r="V1991" s="19"/>
      <c r="W1991" s="19"/>
      <c r="X1991" s="19"/>
      <c r="Y1991" s="19"/>
      <c r="Z1991" s="19"/>
      <c r="AA1991" s="19"/>
      <c r="AB1991" s="19"/>
      <c r="AC1991" s="19"/>
    </row>
    <row r="1992" spans="2:29" x14ac:dyDescent="0.25">
      <c r="B1992" s="19"/>
      <c r="C1992" s="19"/>
      <c r="D1992" s="19"/>
      <c r="E1992" s="19"/>
      <c r="F1992" s="19"/>
      <c r="G1992" s="19"/>
      <c r="H1992" s="19"/>
      <c r="I1992" s="19"/>
      <c r="J1992" s="19"/>
      <c r="K1992" s="19"/>
      <c r="L1992" s="19"/>
      <c r="M1992" s="19"/>
      <c r="N1992" s="19"/>
      <c r="O1992" s="19"/>
      <c r="P1992" s="19"/>
      <c r="Q1992" s="19"/>
      <c r="R1992" s="19"/>
      <c r="S1992" s="19"/>
      <c r="T1992" s="19"/>
      <c r="U1992" s="19"/>
      <c r="V1992" s="19"/>
      <c r="W1992" s="19"/>
      <c r="X1992" s="19"/>
      <c r="Y1992" s="19"/>
      <c r="Z1992" s="19"/>
      <c r="AA1992" s="19"/>
      <c r="AB1992" s="19"/>
      <c r="AC1992" s="19"/>
    </row>
    <row r="1993" spans="2:29" x14ac:dyDescent="0.25">
      <c r="B1993" s="19"/>
      <c r="C1993" s="19"/>
      <c r="D1993" s="19"/>
      <c r="E1993" s="19"/>
      <c r="F1993" s="19"/>
      <c r="G1993" s="19"/>
      <c r="H1993" s="19"/>
      <c r="I1993" s="19"/>
      <c r="J1993" s="19"/>
      <c r="K1993" s="19"/>
      <c r="L1993" s="19"/>
      <c r="M1993" s="19"/>
      <c r="N1993" s="19"/>
      <c r="O1993" s="19"/>
      <c r="P1993" s="19"/>
      <c r="Q1993" s="19"/>
      <c r="R1993" s="19"/>
      <c r="S1993" s="19"/>
      <c r="T1993" s="19"/>
      <c r="U1993" s="19"/>
      <c r="V1993" s="19"/>
      <c r="W1993" s="19"/>
      <c r="X1993" s="19"/>
      <c r="Y1993" s="19"/>
      <c r="Z1993" s="19"/>
      <c r="AA1993" s="19"/>
      <c r="AB1993" s="19"/>
      <c r="AC1993" s="19"/>
    </row>
    <row r="1994" spans="2:29" x14ac:dyDescent="0.25">
      <c r="B1994" s="19"/>
      <c r="C1994" s="19"/>
      <c r="D1994" s="19"/>
      <c r="E1994" s="19"/>
      <c r="F1994" s="19"/>
      <c r="G1994" s="19"/>
      <c r="H1994" s="19"/>
      <c r="I1994" s="19"/>
      <c r="J1994" s="19"/>
      <c r="K1994" s="19"/>
      <c r="L1994" s="19"/>
      <c r="M1994" s="19"/>
      <c r="N1994" s="19"/>
      <c r="O1994" s="19"/>
      <c r="P1994" s="19"/>
      <c r="Q1994" s="19"/>
      <c r="R1994" s="19"/>
      <c r="S1994" s="19"/>
      <c r="T1994" s="19"/>
      <c r="U1994" s="19"/>
      <c r="V1994" s="19"/>
      <c r="W1994" s="19"/>
      <c r="X1994" s="19"/>
      <c r="Y1994" s="19"/>
      <c r="Z1994" s="19"/>
      <c r="AA1994" s="19"/>
      <c r="AB1994" s="19"/>
      <c r="AC1994" s="19"/>
    </row>
    <row r="1995" spans="2:29" x14ac:dyDescent="0.25">
      <c r="B1995" s="19"/>
      <c r="C1995" s="19"/>
      <c r="D1995" s="19"/>
      <c r="E1995" s="19"/>
      <c r="F1995" s="19"/>
      <c r="G1995" s="19"/>
      <c r="H1995" s="19"/>
      <c r="I1995" s="19"/>
      <c r="J1995" s="19"/>
      <c r="K1995" s="19"/>
      <c r="L1995" s="19"/>
      <c r="M1995" s="19"/>
      <c r="N1995" s="19"/>
      <c r="O1995" s="19"/>
      <c r="P1995" s="19"/>
      <c r="Q1995" s="19"/>
      <c r="R1995" s="19"/>
      <c r="S1995" s="19"/>
      <c r="T1995" s="19"/>
      <c r="U1995" s="19"/>
      <c r="V1995" s="19"/>
      <c r="W1995" s="19"/>
      <c r="X1995" s="19"/>
      <c r="Y1995" s="19"/>
      <c r="Z1995" s="19"/>
      <c r="AA1995" s="19"/>
      <c r="AB1995" s="19"/>
      <c r="AC1995" s="19"/>
    </row>
    <row r="1996" spans="2:29" x14ac:dyDescent="0.25">
      <c r="B1996" s="19"/>
      <c r="C1996" s="19"/>
      <c r="D1996" s="19"/>
      <c r="E1996" s="19"/>
      <c r="F1996" s="19"/>
      <c r="G1996" s="19"/>
      <c r="H1996" s="19"/>
      <c r="I1996" s="19"/>
      <c r="J1996" s="19"/>
      <c r="K1996" s="19"/>
      <c r="L1996" s="19"/>
      <c r="M1996" s="19"/>
      <c r="N1996" s="19"/>
      <c r="O1996" s="19"/>
      <c r="P1996" s="19"/>
      <c r="Q1996" s="19"/>
      <c r="R1996" s="19"/>
      <c r="S1996" s="19"/>
      <c r="T1996" s="19"/>
      <c r="U1996" s="19"/>
      <c r="V1996" s="19"/>
      <c r="W1996" s="19"/>
      <c r="X1996" s="19"/>
      <c r="Y1996" s="19"/>
      <c r="Z1996" s="19"/>
      <c r="AA1996" s="19"/>
      <c r="AB1996" s="19"/>
      <c r="AC1996" s="19"/>
    </row>
    <row r="1997" spans="2:29" x14ac:dyDescent="0.25">
      <c r="B1997" s="19"/>
      <c r="C1997" s="19"/>
      <c r="D1997" s="19"/>
      <c r="E1997" s="19"/>
      <c r="F1997" s="19"/>
      <c r="G1997" s="19"/>
      <c r="H1997" s="19"/>
      <c r="I1997" s="19"/>
      <c r="J1997" s="19"/>
      <c r="K1997" s="19"/>
      <c r="L1997" s="19"/>
      <c r="M1997" s="19"/>
      <c r="N1997" s="19"/>
      <c r="O1997" s="19"/>
      <c r="P1997" s="19"/>
      <c r="Q1997" s="19"/>
      <c r="R1997" s="19"/>
      <c r="S1997" s="19"/>
      <c r="T1997" s="19"/>
      <c r="U1997" s="19"/>
      <c r="V1997" s="19"/>
      <c r="W1997" s="19"/>
      <c r="X1997" s="19"/>
      <c r="Y1997" s="19"/>
      <c r="Z1997" s="19"/>
      <c r="AA1997" s="19"/>
      <c r="AB1997" s="19"/>
      <c r="AC1997" s="19"/>
    </row>
    <row r="1998" spans="2:29" x14ac:dyDescent="0.25">
      <c r="B1998" s="19"/>
      <c r="C1998" s="19"/>
      <c r="D1998" s="19"/>
      <c r="E1998" s="19"/>
      <c r="F1998" s="19"/>
      <c r="G1998" s="19"/>
      <c r="H1998" s="19"/>
      <c r="I1998" s="19"/>
      <c r="J1998" s="19"/>
      <c r="K1998" s="19"/>
      <c r="L1998" s="19"/>
      <c r="M1998" s="19"/>
      <c r="N1998" s="19"/>
      <c r="O1998" s="19"/>
      <c r="P1998" s="19"/>
      <c r="Q1998" s="19"/>
      <c r="R1998" s="19"/>
      <c r="S1998" s="19"/>
      <c r="T1998" s="19"/>
      <c r="U1998" s="19"/>
      <c r="V1998" s="19"/>
      <c r="W1998" s="19"/>
      <c r="X1998" s="19"/>
      <c r="Y1998" s="19"/>
      <c r="Z1998" s="19"/>
      <c r="AA1998" s="19"/>
      <c r="AB1998" s="19"/>
      <c r="AC1998" s="19"/>
    </row>
    <row r="1999" spans="2:29" x14ac:dyDescent="0.25">
      <c r="B1999" s="19"/>
      <c r="C1999" s="19"/>
      <c r="D1999" s="19"/>
      <c r="E1999" s="19"/>
      <c r="F1999" s="19"/>
      <c r="G1999" s="19"/>
      <c r="H1999" s="19"/>
      <c r="I1999" s="19"/>
      <c r="J1999" s="19"/>
      <c r="K1999" s="19"/>
      <c r="L1999" s="19"/>
      <c r="M1999" s="19"/>
      <c r="N1999" s="19"/>
      <c r="O1999" s="19"/>
      <c r="P1999" s="19"/>
      <c r="Q1999" s="19"/>
      <c r="R1999" s="19"/>
      <c r="S1999" s="19"/>
      <c r="T1999" s="19"/>
      <c r="U1999" s="19"/>
      <c r="V1999" s="19"/>
      <c r="W1999" s="19"/>
      <c r="X1999" s="19"/>
      <c r="Y1999" s="19"/>
      <c r="Z1999" s="19"/>
      <c r="AA1999" s="19"/>
      <c r="AB1999" s="19"/>
      <c r="AC1999" s="19"/>
    </row>
    <row r="2000" spans="2:29" x14ac:dyDescent="0.25">
      <c r="B2000" s="19"/>
      <c r="C2000" s="19"/>
      <c r="D2000" s="19"/>
      <c r="E2000" s="19"/>
      <c r="F2000" s="19"/>
      <c r="G2000" s="19"/>
      <c r="H2000" s="19"/>
      <c r="I2000" s="19"/>
      <c r="J2000" s="19"/>
      <c r="K2000" s="19"/>
      <c r="L2000" s="19"/>
      <c r="M2000" s="19"/>
      <c r="N2000" s="19"/>
      <c r="O2000" s="19"/>
      <c r="P2000" s="19"/>
      <c r="Q2000" s="19"/>
      <c r="R2000" s="19"/>
      <c r="S2000" s="19"/>
      <c r="T2000" s="19"/>
      <c r="U2000" s="19"/>
      <c r="V2000" s="19"/>
      <c r="W2000" s="19"/>
      <c r="X2000" s="19"/>
      <c r="Y2000" s="19"/>
      <c r="Z2000" s="19"/>
      <c r="AA2000" s="19"/>
      <c r="AB2000" s="19"/>
      <c r="AC2000" s="19"/>
    </row>
    <row r="2001" spans="2:29" x14ac:dyDescent="0.25">
      <c r="B2001" s="19"/>
      <c r="C2001" s="19"/>
      <c r="D2001" s="19"/>
      <c r="E2001" s="19"/>
      <c r="F2001" s="19"/>
      <c r="G2001" s="19"/>
      <c r="H2001" s="19"/>
      <c r="I2001" s="19"/>
      <c r="J2001" s="19"/>
      <c r="K2001" s="19"/>
      <c r="L2001" s="19"/>
      <c r="M2001" s="19"/>
      <c r="N2001" s="19"/>
      <c r="O2001" s="19"/>
      <c r="P2001" s="19"/>
      <c r="Q2001" s="19"/>
      <c r="R2001" s="19"/>
      <c r="S2001" s="19"/>
      <c r="T2001" s="19"/>
      <c r="U2001" s="19"/>
      <c r="V2001" s="19"/>
      <c r="W2001" s="19"/>
      <c r="X2001" s="19"/>
      <c r="Y2001" s="19"/>
      <c r="Z2001" s="19"/>
      <c r="AA2001" s="19"/>
      <c r="AB2001" s="19"/>
      <c r="AC2001" s="19"/>
    </row>
    <row r="2002" spans="2:29" x14ac:dyDescent="0.25">
      <c r="B2002" s="19"/>
      <c r="C2002" s="19"/>
      <c r="D2002" s="19"/>
      <c r="E2002" s="19"/>
      <c r="F2002" s="19"/>
      <c r="G2002" s="19"/>
      <c r="H2002" s="19"/>
      <c r="I2002" s="19"/>
      <c r="J2002" s="19"/>
      <c r="K2002" s="19"/>
      <c r="L2002" s="19"/>
      <c r="M2002" s="19"/>
      <c r="N2002" s="19"/>
      <c r="O2002" s="19"/>
      <c r="P2002" s="19"/>
      <c r="Q2002" s="19"/>
      <c r="R2002" s="19"/>
      <c r="S2002" s="19"/>
      <c r="T2002" s="19"/>
      <c r="U2002" s="19"/>
      <c r="V2002" s="19"/>
      <c r="W2002" s="19"/>
      <c r="X2002" s="19"/>
      <c r="Y2002" s="19"/>
      <c r="Z2002" s="19"/>
      <c r="AA2002" s="19"/>
      <c r="AB2002" s="19"/>
      <c r="AC2002" s="19"/>
    </row>
    <row r="2003" spans="2:29" x14ac:dyDescent="0.25">
      <c r="B2003" s="19"/>
      <c r="C2003" s="19"/>
      <c r="D2003" s="19"/>
      <c r="E2003" s="19"/>
      <c r="F2003" s="19"/>
      <c r="G2003" s="19"/>
      <c r="H2003" s="19"/>
      <c r="I2003" s="19"/>
      <c r="J2003" s="19"/>
      <c r="K2003" s="19"/>
      <c r="L2003" s="19"/>
      <c r="M2003" s="19"/>
      <c r="N2003" s="19"/>
      <c r="O2003" s="19"/>
      <c r="P2003" s="19"/>
      <c r="Q2003" s="19"/>
      <c r="R2003" s="19"/>
      <c r="S2003" s="19"/>
      <c r="T2003" s="19"/>
      <c r="U2003" s="19"/>
      <c r="V2003" s="19"/>
      <c r="W2003" s="19"/>
      <c r="X2003" s="19"/>
      <c r="Y2003" s="19"/>
      <c r="Z2003" s="19"/>
      <c r="AA2003" s="19"/>
      <c r="AB2003" s="19"/>
      <c r="AC2003" s="19"/>
    </row>
    <row r="2004" spans="2:29" x14ac:dyDescent="0.25">
      <c r="B2004" s="19"/>
      <c r="C2004" s="19"/>
      <c r="D2004" s="19"/>
      <c r="E2004" s="19"/>
      <c r="F2004" s="19"/>
      <c r="G2004" s="19"/>
      <c r="H2004" s="19"/>
      <c r="I2004" s="19"/>
      <c r="J2004" s="19"/>
      <c r="K2004" s="19"/>
      <c r="L2004" s="19"/>
      <c r="M2004" s="19"/>
      <c r="N2004" s="19"/>
      <c r="O2004" s="19"/>
      <c r="P2004" s="19"/>
      <c r="Q2004" s="19"/>
      <c r="R2004" s="19"/>
      <c r="S2004" s="19"/>
      <c r="T2004" s="19"/>
      <c r="U2004" s="19"/>
      <c r="V2004" s="19"/>
      <c r="W2004" s="19"/>
      <c r="X2004" s="19"/>
      <c r="Y2004" s="19"/>
      <c r="Z2004" s="19"/>
      <c r="AA2004" s="19"/>
      <c r="AB2004" s="19"/>
      <c r="AC2004" s="19"/>
    </row>
    <row r="2005" spans="2:29" x14ac:dyDescent="0.25">
      <c r="B2005" s="19"/>
      <c r="C2005" s="19"/>
      <c r="D2005" s="19"/>
      <c r="E2005" s="19"/>
      <c r="F2005" s="19"/>
      <c r="G2005" s="19"/>
      <c r="H2005" s="19"/>
      <c r="I2005" s="19"/>
      <c r="J2005" s="19"/>
      <c r="K2005" s="19"/>
      <c r="L2005" s="19"/>
      <c r="M2005" s="19"/>
      <c r="N2005" s="19"/>
      <c r="O2005" s="19"/>
      <c r="P2005" s="19"/>
      <c r="Q2005" s="19"/>
      <c r="R2005" s="19"/>
      <c r="S2005" s="19"/>
      <c r="T2005" s="19"/>
      <c r="U2005" s="19"/>
      <c r="V2005" s="19"/>
      <c r="W2005" s="19"/>
      <c r="X2005" s="19"/>
      <c r="Y2005" s="19"/>
      <c r="Z2005" s="19"/>
      <c r="AA2005" s="19"/>
      <c r="AB2005" s="19"/>
      <c r="AC2005" s="19"/>
    </row>
    <row r="2006" spans="2:29" x14ac:dyDescent="0.25">
      <c r="B2006" s="19"/>
      <c r="C2006" s="19"/>
      <c r="D2006" s="19"/>
      <c r="E2006" s="19"/>
      <c r="F2006" s="19"/>
      <c r="G2006" s="19"/>
      <c r="H2006" s="19"/>
      <c r="I2006" s="19"/>
      <c r="J2006" s="19"/>
      <c r="K2006" s="19"/>
      <c r="L2006" s="19"/>
      <c r="M2006" s="19"/>
      <c r="N2006" s="19"/>
      <c r="O2006" s="19"/>
      <c r="P2006" s="19"/>
      <c r="Q2006" s="19"/>
      <c r="R2006" s="19"/>
      <c r="S2006" s="19"/>
      <c r="T2006" s="19"/>
      <c r="U2006" s="19"/>
      <c r="V2006" s="19"/>
      <c r="W2006" s="19"/>
      <c r="X2006" s="19"/>
      <c r="Y2006" s="19"/>
      <c r="Z2006" s="19"/>
      <c r="AA2006" s="19"/>
      <c r="AB2006" s="19"/>
      <c r="AC2006" s="19"/>
    </row>
    <row r="2007" spans="2:29" x14ac:dyDescent="0.25">
      <c r="B2007" s="19"/>
      <c r="C2007" s="19"/>
      <c r="D2007" s="19"/>
      <c r="E2007" s="19"/>
      <c r="F2007" s="19"/>
      <c r="G2007" s="19"/>
      <c r="H2007" s="19"/>
      <c r="I2007" s="19"/>
      <c r="J2007" s="19"/>
      <c r="K2007" s="19"/>
      <c r="L2007" s="19"/>
      <c r="M2007" s="19"/>
      <c r="N2007" s="19"/>
      <c r="O2007" s="19"/>
      <c r="P2007" s="19"/>
      <c r="Q2007" s="19"/>
      <c r="R2007" s="19"/>
      <c r="S2007" s="19"/>
      <c r="T2007" s="19"/>
      <c r="U2007" s="19"/>
      <c r="V2007" s="19"/>
      <c r="W2007" s="19"/>
      <c r="X2007" s="19"/>
      <c r="Y2007" s="19"/>
      <c r="Z2007" s="19"/>
      <c r="AA2007" s="19"/>
      <c r="AB2007" s="19"/>
      <c r="AC2007" s="19"/>
    </row>
    <row r="2008" spans="2:29" x14ac:dyDescent="0.25">
      <c r="B2008" s="19"/>
      <c r="C2008" s="19"/>
      <c r="D2008" s="19"/>
      <c r="E2008" s="19"/>
      <c r="F2008" s="19"/>
      <c r="G2008" s="19"/>
      <c r="H2008" s="19"/>
      <c r="I2008" s="19"/>
      <c r="J2008" s="19"/>
      <c r="K2008" s="19"/>
      <c r="L2008" s="19"/>
      <c r="M2008" s="19"/>
      <c r="N2008" s="19"/>
      <c r="O2008" s="19"/>
      <c r="P2008" s="19"/>
      <c r="Q2008" s="19"/>
      <c r="R2008" s="19"/>
      <c r="S2008" s="19"/>
      <c r="T2008" s="19"/>
      <c r="U2008" s="19"/>
      <c r="V2008" s="19"/>
      <c r="W2008" s="19"/>
      <c r="X2008" s="19"/>
      <c r="Y2008" s="19"/>
      <c r="Z2008" s="19"/>
      <c r="AA2008" s="19"/>
      <c r="AB2008" s="19"/>
      <c r="AC2008" s="19"/>
    </row>
    <row r="2009" spans="2:29" x14ac:dyDescent="0.25">
      <c r="B2009" s="19"/>
      <c r="C2009" s="19"/>
      <c r="D2009" s="19"/>
      <c r="E2009" s="19"/>
      <c r="F2009" s="19"/>
      <c r="G2009" s="19"/>
      <c r="H2009" s="19"/>
      <c r="I2009" s="19"/>
      <c r="J2009" s="19"/>
      <c r="K2009" s="19"/>
      <c r="L2009" s="19"/>
      <c r="M2009" s="19"/>
      <c r="N2009" s="19"/>
      <c r="O2009" s="19"/>
      <c r="P2009" s="19"/>
      <c r="Q2009" s="19"/>
      <c r="R2009" s="19"/>
      <c r="S2009" s="19"/>
      <c r="T2009" s="19"/>
      <c r="U2009" s="19"/>
      <c r="V2009" s="19"/>
      <c r="W2009" s="19"/>
      <c r="X2009" s="19"/>
      <c r="Y2009" s="19"/>
      <c r="Z2009" s="19"/>
      <c r="AA2009" s="19"/>
      <c r="AB2009" s="19"/>
      <c r="AC2009" s="19"/>
    </row>
    <row r="2010" spans="2:29" x14ac:dyDescent="0.25">
      <c r="B2010" s="19"/>
      <c r="C2010" s="19"/>
      <c r="D2010" s="19"/>
      <c r="E2010" s="19"/>
      <c r="F2010" s="19"/>
      <c r="G2010" s="19"/>
      <c r="H2010" s="19"/>
      <c r="I2010" s="19"/>
      <c r="J2010" s="19"/>
      <c r="K2010" s="19"/>
      <c r="L2010" s="19"/>
      <c r="M2010" s="19"/>
      <c r="N2010" s="19"/>
      <c r="O2010" s="19"/>
      <c r="P2010" s="19"/>
      <c r="Q2010" s="19"/>
      <c r="R2010" s="19"/>
      <c r="S2010" s="19"/>
      <c r="T2010" s="19"/>
      <c r="U2010" s="19"/>
      <c r="V2010" s="19"/>
      <c r="W2010" s="19"/>
      <c r="X2010" s="19"/>
      <c r="Y2010" s="19"/>
      <c r="Z2010" s="19"/>
      <c r="AA2010" s="19"/>
      <c r="AB2010" s="19"/>
      <c r="AC2010" s="19"/>
    </row>
    <row r="2011" spans="2:29" x14ac:dyDescent="0.25">
      <c r="B2011" s="19"/>
      <c r="C2011" s="19"/>
      <c r="D2011" s="19"/>
      <c r="E2011" s="19"/>
      <c r="F2011" s="19"/>
      <c r="G2011" s="19"/>
      <c r="H2011" s="19"/>
      <c r="I2011" s="19"/>
      <c r="J2011" s="19"/>
      <c r="K2011" s="19"/>
      <c r="L2011" s="19"/>
      <c r="M2011" s="19"/>
      <c r="N2011" s="19"/>
      <c r="O2011" s="19"/>
      <c r="P2011" s="19"/>
      <c r="Q2011" s="19"/>
      <c r="R2011" s="19"/>
      <c r="S2011" s="19"/>
      <c r="T2011" s="19"/>
      <c r="U2011" s="19"/>
      <c r="V2011" s="19"/>
      <c r="W2011" s="19"/>
      <c r="X2011" s="19"/>
      <c r="Y2011" s="19"/>
      <c r="Z2011" s="19"/>
      <c r="AA2011" s="19"/>
      <c r="AB2011" s="19"/>
      <c r="AC2011" s="19"/>
    </row>
    <row r="2012" spans="2:29" x14ac:dyDescent="0.25">
      <c r="B2012" s="19"/>
      <c r="C2012" s="19"/>
      <c r="D2012" s="19"/>
      <c r="E2012" s="19"/>
      <c r="F2012" s="19"/>
      <c r="G2012" s="19"/>
      <c r="H2012" s="19"/>
      <c r="I2012" s="19"/>
      <c r="J2012" s="19"/>
      <c r="K2012" s="19"/>
      <c r="L2012" s="19"/>
      <c r="M2012" s="19"/>
      <c r="N2012" s="19"/>
      <c r="O2012" s="19"/>
      <c r="P2012" s="19"/>
      <c r="Q2012" s="19"/>
      <c r="R2012" s="19"/>
      <c r="S2012" s="19"/>
      <c r="T2012" s="19"/>
      <c r="U2012" s="19"/>
      <c r="V2012" s="19"/>
      <c r="W2012" s="19"/>
      <c r="X2012" s="19"/>
      <c r="Y2012" s="19"/>
      <c r="Z2012" s="19"/>
      <c r="AA2012" s="19"/>
      <c r="AB2012" s="19"/>
      <c r="AC2012" s="19"/>
    </row>
    <row r="2013" spans="2:29" x14ac:dyDescent="0.25">
      <c r="B2013" s="19"/>
      <c r="C2013" s="19"/>
      <c r="D2013" s="19"/>
      <c r="E2013" s="19"/>
      <c r="F2013" s="19"/>
      <c r="G2013" s="19"/>
      <c r="H2013" s="19"/>
      <c r="I2013" s="19"/>
      <c r="J2013" s="19"/>
      <c r="K2013" s="19"/>
      <c r="L2013" s="19"/>
      <c r="M2013" s="19"/>
      <c r="N2013" s="19"/>
      <c r="O2013" s="19"/>
      <c r="P2013" s="19"/>
      <c r="Q2013" s="19"/>
      <c r="R2013" s="19"/>
      <c r="S2013" s="19"/>
      <c r="T2013" s="19"/>
      <c r="U2013" s="19"/>
      <c r="V2013" s="19"/>
      <c r="W2013" s="19"/>
      <c r="X2013" s="19"/>
      <c r="Y2013" s="19"/>
      <c r="Z2013" s="19"/>
      <c r="AA2013" s="19"/>
      <c r="AB2013" s="19"/>
      <c r="AC2013" s="19"/>
    </row>
    <row r="2014" spans="2:29" x14ac:dyDescent="0.25">
      <c r="B2014" s="19"/>
      <c r="C2014" s="19"/>
      <c r="D2014" s="19"/>
      <c r="E2014" s="19"/>
      <c r="F2014" s="19"/>
      <c r="G2014" s="19"/>
      <c r="H2014" s="19"/>
      <c r="I2014" s="19"/>
      <c r="J2014" s="19"/>
      <c r="K2014" s="19"/>
      <c r="L2014" s="19"/>
      <c r="M2014" s="19"/>
      <c r="N2014" s="19"/>
      <c r="O2014" s="19"/>
      <c r="P2014" s="19"/>
      <c r="Q2014" s="19"/>
      <c r="R2014" s="19"/>
      <c r="S2014" s="19"/>
      <c r="T2014" s="19"/>
      <c r="U2014" s="19"/>
      <c r="V2014" s="19"/>
      <c r="W2014" s="19"/>
      <c r="X2014" s="19"/>
      <c r="Y2014" s="19"/>
      <c r="Z2014" s="19"/>
      <c r="AA2014" s="19"/>
      <c r="AB2014" s="19"/>
      <c r="AC2014" s="19"/>
    </row>
    <row r="2015" spans="2:29" x14ac:dyDescent="0.25">
      <c r="B2015" s="19"/>
      <c r="C2015" s="19"/>
      <c r="D2015" s="19"/>
      <c r="E2015" s="19"/>
      <c r="F2015" s="19"/>
      <c r="G2015" s="19"/>
      <c r="H2015" s="19"/>
      <c r="I2015" s="19"/>
      <c r="J2015" s="19"/>
      <c r="K2015" s="19"/>
      <c r="L2015" s="19"/>
      <c r="M2015" s="19"/>
      <c r="N2015" s="19"/>
      <c r="O2015" s="19"/>
      <c r="P2015" s="19"/>
      <c r="Q2015" s="19"/>
      <c r="R2015" s="19"/>
      <c r="S2015" s="19"/>
      <c r="T2015" s="19"/>
      <c r="U2015" s="19"/>
      <c r="V2015" s="19"/>
      <c r="W2015" s="19"/>
      <c r="X2015" s="19"/>
      <c r="Y2015" s="19"/>
      <c r="Z2015" s="19"/>
      <c r="AA2015" s="19"/>
      <c r="AB2015" s="19"/>
      <c r="AC2015" s="19"/>
    </row>
    <row r="2016" spans="2:29" x14ac:dyDescent="0.25">
      <c r="B2016" s="19"/>
      <c r="C2016" s="19"/>
      <c r="D2016" s="19"/>
      <c r="E2016" s="19"/>
      <c r="F2016" s="19"/>
      <c r="G2016" s="19"/>
      <c r="H2016" s="19"/>
      <c r="I2016" s="19"/>
      <c r="J2016" s="19"/>
      <c r="K2016" s="19"/>
      <c r="L2016" s="19"/>
      <c r="M2016" s="19"/>
      <c r="N2016" s="19"/>
      <c r="O2016" s="19"/>
      <c r="P2016" s="19"/>
      <c r="Q2016" s="19"/>
      <c r="R2016" s="19"/>
      <c r="S2016" s="19"/>
      <c r="T2016" s="19"/>
      <c r="U2016" s="19"/>
      <c r="V2016" s="19"/>
      <c r="W2016" s="19"/>
      <c r="X2016" s="19"/>
      <c r="Y2016" s="19"/>
      <c r="Z2016" s="19"/>
      <c r="AA2016" s="19"/>
      <c r="AB2016" s="19"/>
      <c r="AC2016" s="19"/>
    </row>
    <row r="2017" spans="2:29" x14ac:dyDescent="0.25">
      <c r="B2017" s="19"/>
      <c r="C2017" s="19"/>
      <c r="D2017" s="19"/>
      <c r="E2017" s="19"/>
      <c r="F2017" s="19"/>
      <c r="G2017" s="19"/>
      <c r="H2017" s="19"/>
      <c r="I2017" s="19"/>
      <c r="J2017" s="19"/>
      <c r="K2017" s="19"/>
      <c r="L2017" s="19"/>
      <c r="M2017" s="19"/>
      <c r="N2017" s="19"/>
      <c r="O2017" s="19"/>
      <c r="P2017" s="19"/>
      <c r="Q2017" s="19"/>
      <c r="R2017" s="19"/>
      <c r="S2017" s="19"/>
      <c r="T2017" s="19"/>
      <c r="U2017" s="19"/>
      <c r="V2017" s="19"/>
      <c r="W2017" s="19"/>
      <c r="X2017" s="19"/>
      <c r="Y2017" s="19"/>
      <c r="Z2017" s="19"/>
      <c r="AA2017" s="19"/>
      <c r="AB2017" s="19"/>
      <c r="AC2017" s="19"/>
    </row>
    <row r="2018" spans="2:29" x14ac:dyDescent="0.25">
      <c r="B2018" s="19"/>
      <c r="C2018" s="19"/>
      <c r="D2018" s="19"/>
      <c r="E2018" s="19"/>
      <c r="F2018" s="19"/>
      <c r="G2018" s="19"/>
      <c r="H2018" s="19"/>
      <c r="I2018" s="19"/>
      <c r="J2018" s="19"/>
      <c r="K2018" s="19"/>
      <c r="L2018" s="19"/>
      <c r="M2018" s="19"/>
      <c r="N2018" s="19"/>
      <c r="O2018" s="19"/>
      <c r="P2018" s="19"/>
      <c r="Q2018" s="19"/>
      <c r="R2018" s="19"/>
      <c r="S2018" s="19"/>
      <c r="T2018" s="19"/>
      <c r="U2018" s="19"/>
      <c r="V2018" s="19"/>
      <c r="W2018" s="19"/>
      <c r="X2018" s="19"/>
      <c r="Y2018" s="19"/>
      <c r="Z2018" s="19"/>
      <c r="AA2018" s="19"/>
      <c r="AB2018" s="19"/>
      <c r="AC2018" s="19"/>
    </row>
    <row r="2019" spans="2:29" x14ac:dyDescent="0.25">
      <c r="B2019" s="19"/>
      <c r="C2019" s="19"/>
      <c r="D2019" s="19"/>
      <c r="E2019" s="19"/>
      <c r="F2019" s="19"/>
      <c r="G2019" s="19"/>
      <c r="H2019" s="19"/>
      <c r="I2019" s="19"/>
      <c r="J2019" s="19"/>
      <c r="K2019" s="19"/>
      <c r="L2019" s="19"/>
      <c r="M2019" s="19"/>
      <c r="N2019" s="19"/>
      <c r="O2019" s="19"/>
      <c r="P2019" s="19"/>
      <c r="Q2019" s="19"/>
      <c r="R2019" s="19"/>
      <c r="S2019" s="19"/>
      <c r="T2019" s="19"/>
      <c r="U2019" s="19"/>
      <c r="V2019" s="19"/>
      <c r="W2019" s="19"/>
      <c r="X2019" s="19"/>
      <c r="Y2019" s="19"/>
      <c r="Z2019" s="19"/>
      <c r="AA2019" s="19"/>
      <c r="AB2019" s="19"/>
      <c r="AC2019" s="19"/>
    </row>
    <row r="2020" spans="2:29" x14ac:dyDescent="0.25">
      <c r="B2020" s="19"/>
      <c r="C2020" s="19"/>
      <c r="D2020" s="19"/>
      <c r="E2020" s="19"/>
      <c r="F2020" s="19"/>
      <c r="G2020" s="19"/>
      <c r="H2020" s="19"/>
      <c r="I2020" s="19"/>
      <c r="J2020" s="19"/>
      <c r="K2020" s="19"/>
      <c r="L2020" s="19"/>
      <c r="M2020" s="19"/>
      <c r="N2020" s="19"/>
      <c r="O2020" s="19"/>
      <c r="P2020" s="19"/>
      <c r="Q2020" s="19"/>
      <c r="R2020" s="19"/>
      <c r="S2020" s="19"/>
      <c r="T2020" s="19"/>
      <c r="U2020" s="19"/>
      <c r="V2020" s="19"/>
      <c r="W2020" s="19"/>
      <c r="X2020" s="19"/>
      <c r="Y2020" s="19"/>
      <c r="Z2020" s="19"/>
      <c r="AA2020" s="19"/>
      <c r="AB2020" s="19"/>
      <c r="AC2020" s="19"/>
    </row>
    <row r="2021" spans="2:29" x14ac:dyDescent="0.25">
      <c r="B2021" s="19"/>
      <c r="C2021" s="19"/>
      <c r="D2021" s="19"/>
      <c r="E2021" s="19"/>
      <c r="F2021" s="19"/>
      <c r="G2021" s="19"/>
      <c r="H2021" s="19"/>
      <c r="I2021" s="19"/>
      <c r="J2021" s="19"/>
      <c r="K2021" s="19"/>
      <c r="L2021" s="19"/>
      <c r="M2021" s="19"/>
      <c r="N2021" s="19"/>
      <c r="O2021" s="19"/>
      <c r="P2021" s="19"/>
      <c r="Q2021" s="19"/>
      <c r="R2021" s="19"/>
      <c r="S2021" s="19"/>
      <c r="T2021" s="19"/>
      <c r="U2021" s="19"/>
      <c r="V2021" s="19"/>
      <c r="W2021" s="19"/>
      <c r="X2021" s="19"/>
      <c r="Y2021" s="19"/>
      <c r="Z2021" s="19"/>
      <c r="AA2021" s="19"/>
      <c r="AB2021" s="19"/>
      <c r="AC2021" s="19"/>
    </row>
    <row r="2022" spans="2:29" x14ac:dyDescent="0.25">
      <c r="B2022" s="19"/>
      <c r="C2022" s="19"/>
      <c r="D2022" s="19"/>
      <c r="E2022" s="19"/>
      <c r="F2022" s="19"/>
      <c r="G2022" s="19"/>
      <c r="H2022" s="19"/>
      <c r="I2022" s="19"/>
      <c r="J2022" s="19"/>
      <c r="K2022" s="19"/>
      <c r="L2022" s="19"/>
      <c r="M2022" s="19"/>
      <c r="N2022" s="19"/>
      <c r="O2022" s="19"/>
      <c r="P2022" s="19"/>
      <c r="Q2022" s="19"/>
      <c r="R2022" s="19"/>
      <c r="S2022" s="19"/>
      <c r="T2022" s="19"/>
      <c r="U2022" s="19"/>
      <c r="V2022" s="19"/>
      <c r="W2022" s="19"/>
      <c r="X2022" s="19"/>
      <c r="Y2022" s="19"/>
      <c r="Z2022" s="19"/>
      <c r="AA2022" s="19"/>
      <c r="AB2022" s="19"/>
      <c r="AC2022" s="19"/>
    </row>
    <row r="2023" spans="2:29" x14ac:dyDescent="0.25">
      <c r="B2023" s="19"/>
      <c r="C2023" s="19"/>
      <c r="D2023" s="19"/>
      <c r="E2023" s="19"/>
      <c r="F2023" s="19"/>
      <c r="G2023" s="19"/>
      <c r="H2023" s="19"/>
      <c r="I2023" s="19"/>
      <c r="J2023" s="19"/>
      <c r="K2023" s="19"/>
      <c r="L2023" s="19"/>
      <c r="M2023" s="19"/>
      <c r="N2023" s="19"/>
      <c r="O2023" s="19"/>
      <c r="P2023" s="19"/>
      <c r="Q2023" s="19"/>
      <c r="R2023" s="19"/>
      <c r="S2023" s="19"/>
      <c r="T2023" s="19"/>
      <c r="U2023" s="19"/>
      <c r="V2023" s="19"/>
      <c r="W2023" s="19"/>
      <c r="X2023" s="19"/>
      <c r="Y2023" s="19"/>
      <c r="Z2023" s="19"/>
      <c r="AA2023" s="19"/>
      <c r="AB2023" s="19"/>
      <c r="AC2023" s="19"/>
    </row>
    <row r="2024" spans="2:29" x14ac:dyDescent="0.25">
      <c r="B2024" s="19"/>
      <c r="C2024" s="19"/>
      <c r="D2024" s="19"/>
      <c r="E2024" s="19"/>
      <c r="F2024" s="19"/>
      <c r="G2024" s="19"/>
      <c r="H2024" s="19"/>
      <c r="I2024" s="19"/>
      <c r="J2024" s="19"/>
      <c r="K2024" s="19"/>
      <c r="L2024" s="19"/>
      <c r="M2024" s="19"/>
      <c r="N2024" s="19"/>
      <c r="O2024" s="19"/>
      <c r="P2024" s="19"/>
      <c r="Q2024" s="19"/>
      <c r="R2024" s="19"/>
      <c r="S2024" s="19"/>
      <c r="T2024" s="19"/>
      <c r="U2024" s="19"/>
      <c r="V2024" s="19"/>
      <c r="W2024" s="19"/>
      <c r="X2024" s="19"/>
      <c r="Y2024" s="19"/>
      <c r="Z2024" s="19"/>
      <c r="AA2024" s="19"/>
      <c r="AB2024" s="19"/>
      <c r="AC2024" s="19"/>
    </row>
    <row r="2025" spans="2:29" x14ac:dyDescent="0.25">
      <c r="B2025" s="19"/>
      <c r="C2025" s="19"/>
      <c r="D2025" s="19"/>
      <c r="E2025" s="19"/>
      <c r="F2025" s="19"/>
      <c r="G2025" s="19"/>
      <c r="H2025" s="19"/>
      <c r="I2025" s="19"/>
      <c r="J2025" s="19"/>
      <c r="K2025" s="19"/>
      <c r="L2025" s="19"/>
      <c r="M2025" s="19"/>
      <c r="N2025" s="19"/>
      <c r="O2025" s="19"/>
      <c r="P2025" s="19"/>
      <c r="Q2025" s="19"/>
      <c r="R2025" s="19"/>
      <c r="S2025" s="19"/>
      <c r="T2025" s="19"/>
      <c r="U2025" s="19"/>
      <c r="V2025" s="19"/>
      <c r="W2025" s="19"/>
      <c r="X2025" s="19"/>
      <c r="Y2025" s="19"/>
      <c r="Z2025" s="19"/>
      <c r="AA2025" s="19"/>
      <c r="AB2025" s="19"/>
      <c r="AC2025" s="19"/>
    </row>
    <row r="2026" spans="2:29" x14ac:dyDescent="0.25">
      <c r="B2026" s="19"/>
      <c r="C2026" s="19"/>
      <c r="D2026" s="19"/>
      <c r="E2026" s="19"/>
      <c r="F2026" s="19"/>
      <c r="G2026" s="19"/>
      <c r="H2026" s="19"/>
      <c r="I2026" s="19"/>
      <c r="J2026" s="19"/>
      <c r="K2026" s="19"/>
      <c r="L2026" s="19"/>
      <c r="M2026" s="19"/>
      <c r="N2026" s="19"/>
      <c r="O2026" s="19"/>
      <c r="P2026" s="19"/>
      <c r="Q2026" s="19"/>
      <c r="R2026" s="19"/>
      <c r="S2026" s="19"/>
      <c r="T2026" s="19"/>
      <c r="U2026" s="19"/>
      <c r="V2026" s="19"/>
      <c r="W2026" s="19"/>
      <c r="X2026" s="19"/>
      <c r="Y2026" s="19"/>
      <c r="Z2026" s="19"/>
      <c r="AA2026" s="19"/>
      <c r="AB2026" s="19"/>
      <c r="AC2026" s="19"/>
    </row>
    <row r="2027" spans="2:29" x14ac:dyDescent="0.25">
      <c r="B2027" s="19"/>
      <c r="C2027" s="19"/>
      <c r="D2027" s="19"/>
      <c r="E2027" s="19"/>
      <c r="F2027" s="19"/>
      <c r="G2027" s="19"/>
      <c r="H2027" s="19"/>
      <c r="I2027" s="19"/>
      <c r="J2027" s="19"/>
      <c r="K2027" s="19"/>
      <c r="L2027" s="19"/>
      <c r="M2027" s="19"/>
      <c r="N2027" s="19"/>
      <c r="O2027" s="19"/>
      <c r="P2027" s="19"/>
      <c r="Q2027" s="19"/>
      <c r="R2027" s="19"/>
      <c r="S2027" s="19"/>
      <c r="T2027" s="19"/>
      <c r="U2027" s="19"/>
      <c r="V2027" s="19"/>
      <c r="W2027" s="19"/>
      <c r="X2027" s="19"/>
      <c r="Y2027" s="19"/>
      <c r="Z2027" s="19"/>
      <c r="AA2027" s="19"/>
      <c r="AB2027" s="19"/>
      <c r="AC2027" s="19"/>
    </row>
    <row r="2028" spans="2:29" x14ac:dyDescent="0.25">
      <c r="B2028" s="19"/>
      <c r="C2028" s="19"/>
      <c r="D2028" s="19"/>
      <c r="E2028" s="19"/>
      <c r="F2028" s="19"/>
      <c r="G2028" s="19"/>
      <c r="H2028" s="19"/>
      <c r="I2028" s="19"/>
      <c r="J2028" s="19"/>
      <c r="K2028" s="19"/>
      <c r="L2028" s="19"/>
      <c r="M2028" s="19"/>
      <c r="N2028" s="19"/>
      <c r="O2028" s="19"/>
      <c r="P2028" s="19"/>
      <c r="Q2028" s="19"/>
      <c r="R2028" s="19"/>
      <c r="S2028" s="19"/>
      <c r="T2028" s="19"/>
      <c r="U2028" s="19"/>
      <c r="V2028" s="19"/>
      <c r="W2028" s="19"/>
      <c r="X2028" s="19"/>
      <c r="Y2028" s="19"/>
      <c r="Z2028" s="19"/>
      <c r="AA2028" s="19"/>
      <c r="AB2028" s="19"/>
      <c r="AC2028" s="19"/>
    </row>
    <row r="2029" spans="2:29" x14ac:dyDescent="0.25">
      <c r="B2029" s="19"/>
      <c r="C2029" s="19"/>
      <c r="D2029" s="19"/>
      <c r="E2029" s="19"/>
      <c r="F2029" s="19"/>
      <c r="G2029" s="19"/>
      <c r="H2029" s="19"/>
      <c r="I2029" s="19"/>
      <c r="J2029" s="19"/>
      <c r="K2029" s="19"/>
      <c r="L2029" s="19"/>
      <c r="M2029" s="19"/>
      <c r="N2029" s="19"/>
      <c r="O2029" s="19"/>
      <c r="P2029" s="19"/>
      <c r="Q2029" s="19"/>
      <c r="R2029" s="19"/>
      <c r="S2029" s="19"/>
      <c r="T2029" s="19"/>
      <c r="U2029" s="19"/>
      <c r="V2029" s="19"/>
      <c r="W2029" s="19"/>
      <c r="X2029" s="19"/>
      <c r="Y2029" s="19"/>
      <c r="Z2029" s="19"/>
      <c r="AA2029" s="19"/>
      <c r="AB2029" s="19"/>
      <c r="AC2029" s="19"/>
    </row>
    <row r="2030" spans="2:29" x14ac:dyDescent="0.25">
      <c r="B2030" s="19"/>
      <c r="C2030" s="19"/>
      <c r="D2030" s="19"/>
      <c r="E2030" s="19"/>
      <c r="F2030" s="19"/>
      <c r="G2030" s="19"/>
      <c r="H2030" s="19"/>
      <c r="I2030" s="19"/>
      <c r="J2030" s="19"/>
      <c r="K2030" s="19"/>
      <c r="L2030" s="19"/>
      <c r="M2030" s="19"/>
      <c r="N2030" s="19"/>
      <c r="O2030" s="19"/>
      <c r="P2030" s="19"/>
      <c r="Q2030" s="19"/>
      <c r="R2030" s="19"/>
      <c r="S2030" s="19"/>
      <c r="T2030" s="19"/>
      <c r="U2030" s="19"/>
      <c r="V2030" s="19"/>
      <c r="W2030" s="19"/>
      <c r="X2030" s="19"/>
      <c r="Y2030" s="19"/>
      <c r="Z2030" s="19"/>
      <c r="AA2030" s="19"/>
      <c r="AB2030" s="19"/>
      <c r="AC2030" s="19"/>
    </row>
    <row r="2031" spans="2:29" x14ac:dyDescent="0.25">
      <c r="B2031" s="19"/>
      <c r="C2031" s="19"/>
      <c r="D2031" s="19"/>
      <c r="E2031" s="19"/>
      <c r="F2031" s="19"/>
      <c r="G2031" s="19"/>
      <c r="H2031" s="19"/>
      <c r="I2031" s="19"/>
      <c r="J2031" s="19"/>
      <c r="K2031" s="19"/>
      <c r="L2031" s="19"/>
      <c r="M2031" s="19"/>
      <c r="N2031" s="19"/>
      <c r="O2031" s="19"/>
      <c r="P2031" s="19"/>
      <c r="Q2031" s="19"/>
      <c r="R2031" s="19"/>
      <c r="S2031" s="19"/>
      <c r="T2031" s="19"/>
      <c r="U2031" s="19"/>
      <c r="V2031" s="19"/>
      <c r="W2031" s="19"/>
      <c r="X2031" s="19"/>
      <c r="Y2031" s="19"/>
      <c r="Z2031" s="19"/>
      <c r="AA2031" s="19"/>
      <c r="AB2031" s="19"/>
      <c r="AC2031" s="19"/>
    </row>
    <row r="2032" spans="2:29" x14ac:dyDescent="0.25">
      <c r="B2032" s="19"/>
      <c r="C2032" s="19"/>
      <c r="D2032" s="19"/>
      <c r="E2032" s="19"/>
      <c r="F2032" s="19"/>
      <c r="G2032" s="19"/>
      <c r="H2032" s="19"/>
      <c r="I2032" s="19"/>
      <c r="J2032" s="19"/>
      <c r="K2032" s="19"/>
      <c r="L2032" s="19"/>
      <c r="M2032" s="19"/>
      <c r="N2032" s="19"/>
      <c r="O2032" s="19"/>
      <c r="P2032" s="19"/>
      <c r="Q2032" s="19"/>
      <c r="R2032" s="19"/>
      <c r="S2032" s="19"/>
      <c r="T2032" s="19"/>
      <c r="U2032" s="19"/>
      <c r="V2032" s="19"/>
      <c r="W2032" s="19"/>
      <c r="X2032" s="19"/>
      <c r="Y2032" s="19"/>
      <c r="Z2032" s="19"/>
      <c r="AA2032" s="19"/>
      <c r="AB2032" s="19"/>
      <c r="AC2032" s="19"/>
    </row>
    <row r="2033" spans="2:29" x14ac:dyDescent="0.25">
      <c r="B2033" s="19"/>
      <c r="C2033" s="19"/>
      <c r="D2033" s="19"/>
      <c r="E2033" s="19"/>
      <c r="F2033" s="19"/>
      <c r="G2033" s="19"/>
      <c r="H2033" s="19"/>
      <c r="I2033" s="19"/>
      <c r="J2033" s="19"/>
      <c r="K2033" s="19"/>
      <c r="L2033" s="19"/>
      <c r="M2033" s="19"/>
      <c r="N2033" s="19"/>
      <c r="O2033" s="19"/>
      <c r="P2033" s="19"/>
      <c r="Q2033" s="19"/>
      <c r="R2033" s="19"/>
      <c r="S2033" s="19"/>
      <c r="T2033" s="19"/>
      <c r="U2033" s="19"/>
      <c r="V2033" s="19"/>
      <c r="W2033" s="19"/>
      <c r="X2033" s="19"/>
      <c r="Y2033" s="19"/>
      <c r="Z2033" s="19"/>
      <c r="AA2033" s="19"/>
      <c r="AB2033" s="19"/>
      <c r="AC2033" s="19"/>
    </row>
    <row r="2034" spans="2:29" x14ac:dyDescent="0.25">
      <c r="B2034" s="19"/>
      <c r="C2034" s="19"/>
      <c r="D2034" s="19"/>
      <c r="E2034" s="19"/>
      <c r="F2034" s="19"/>
      <c r="G2034" s="19"/>
      <c r="H2034" s="19"/>
      <c r="I2034" s="19"/>
      <c r="J2034" s="19"/>
      <c r="K2034" s="19"/>
      <c r="L2034" s="19"/>
      <c r="M2034" s="19"/>
      <c r="N2034" s="19"/>
      <c r="O2034" s="19"/>
      <c r="P2034" s="19"/>
      <c r="Q2034" s="19"/>
      <c r="R2034" s="19"/>
      <c r="S2034" s="19"/>
      <c r="T2034" s="19"/>
      <c r="U2034" s="19"/>
      <c r="V2034" s="19"/>
      <c r="W2034" s="19"/>
      <c r="X2034" s="19"/>
      <c r="Y2034" s="19"/>
      <c r="Z2034" s="19"/>
      <c r="AA2034" s="19"/>
      <c r="AB2034" s="19"/>
      <c r="AC2034" s="19"/>
    </row>
    <row r="2035" spans="2:29" x14ac:dyDescent="0.25">
      <c r="B2035" s="19"/>
      <c r="C2035" s="19"/>
      <c r="D2035" s="19"/>
      <c r="E2035" s="19"/>
      <c r="F2035" s="19"/>
      <c r="G2035" s="19"/>
      <c r="H2035" s="19"/>
      <c r="I2035" s="19"/>
      <c r="J2035" s="19"/>
      <c r="K2035" s="19"/>
      <c r="L2035" s="19"/>
      <c r="M2035" s="19"/>
      <c r="N2035" s="19"/>
      <c r="O2035" s="19"/>
      <c r="P2035" s="19"/>
      <c r="Q2035" s="19"/>
      <c r="R2035" s="19"/>
      <c r="S2035" s="19"/>
      <c r="T2035" s="19"/>
      <c r="U2035" s="19"/>
      <c r="V2035" s="19"/>
      <c r="W2035" s="19"/>
      <c r="X2035" s="19"/>
      <c r="Y2035" s="19"/>
      <c r="Z2035" s="19"/>
      <c r="AA2035" s="19"/>
      <c r="AB2035" s="19"/>
      <c r="AC2035" s="19"/>
    </row>
    <row r="2036" spans="2:29" x14ac:dyDescent="0.25">
      <c r="B2036" s="19"/>
      <c r="C2036" s="19"/>
      <c r="D2036" s="19"/>
      <c r="E2036" s="19"/>
      <c r="F2036" s="19"/>
      <c r="G2036" s="19"/>
      <c r="H2036" s="19"/>
      <c r="I2036" s="19"/>
      <c r="J2036" s="19"/>
      <c r="K2036" s="19"/>
      <c r="L2036" s="19"/>
      <c r="M2036" s="19"/>
      <c r="N2036" s="19"/>
      <c r="O2036" s="19"/>
      <c r="P2036" s="19"/>
      <c r="Q2036" s="19"/>
      <c r="R2036" s="19"/>
      <c r="S2036" s="19"/>
      <c r="T2036" s="19"/>
      <c r="U2036" s="19"/>
      <c r="V2036" s="19"/>
      <c r="W2036" s="19"/>
      <c r="X2036" s="19"/>
      <c r="Y2036" s="19"/>
      <c r="Z2036" s="19"/>
      <c r="AA2036" s="19"/>
      <c r="AB2036" s="19"/>
      <c r="AC2036" s="19"/>
    </row>
    <row r="2037" spans="2:29" x14ac:dyDescent="0.25">
      <c r="B2037" s="19"/>
      <c r="C2037" s="19"/>
      <c r="D2037" s="19"/>
      <c r="E2037" s="19"/>
      <c r="F2037" s="19"/>
      <c r="G2037" s="19"/>
      <c r="H2037" s="19"/>
      <c r="I2037" s="19"/>
      <c r="J2037" s="19"/>
      <c r="K2037" s="19"/>
      <c r="L2037" s="19"/>
      <c r="M2037" s="19"/>
      <c r="N2037" s="19"/>
      <c r="O2037" s="19"/>
      <c r="P2037" s="19"/>
      <c r="Q2037" s="19"/>
      <c r="R2037" s="19"/>
      <c r="S2037" s="19"/>
      <c r="T2037" s="19"/>
      <c r="U2037" s="19"/>
      <c r="V2037" s="19"/>
      <c r="W2037" s="19"/>
      <c r="X2037" s="19"/>
      <c r="Y2037" s="19"/>
      <c r="Z2037" s="19"/>
      <c r="AA2037" s="19"/>
      <c r="AB2037" s="19"/>
      <c r="AC2037" s="19"/>
    </row>
    <row r="2038" spans="2:29" x14ac:dyDescent="0.25">
      <c r="B2038" s="19"/>
      <c r="C2038" s="19"/>
      <c r="D2038" s="19"/>
      <c r="E2038" s="19"/>
      <c r="F2038" s="19"/>
      <c r="G2038" s="19"/>
      <c r="H2038" s="19"/>
      <c r="I2038" s="19"/>
      <c r="J2038" s="19"/>
      <c r="K2038" s="19"/>
      <c r="L2038" s="19"/>
      <c r="M2038" s="19"/>
      <c r="N2038" s="19"/>
      <c r="O2038" s="19"/>
      <c r="P2038" s="19"/>
      <c r="Q2038" s="19"/>
      <c r="R2038" s="19"/>
      <c r="S2038" s="19"/>
      <c r="T2038" s="19"/>
      <c r="U2038" s="19"/>
      <c r="V2038" s="19"/>
      <c r="W2038" s="19"/>
      <c r="X2038" s="19"/>
      <c r="Y2038" s="19"/>
      <c r="Z2038" s="19"/>
      <c r="AA2038" s="19"/>
      <c r="AB2038" s="19"/>
      <c r="AC2038" s="19"/>
    </row>
    <row r="2039" spans="2:29" x14ac:dyDescent="0.25">
      <c r="B2039" s="19"/>
      <c r="C2039" s="19"/>
      <c r="D2039" s="19"/>
      <c r="E2039" s="19"/>
      <c r="F2039" s="19"/>
      <c r="G2039" s="19"/>
      <c r="H2039" s="19"/>
      <c r="I2039" s="19"/>
      <c r="J2039" s="19"/>
      <c r="K2039" s="19"/>
      <c r="L2039" s="19"/>
      <c r="M2039" s="19"/>
      <c r="N2039" s="19"/>
      <c r="O2039" s="19"/>
      <c r="P2039" s="19"/>
      <c r="Q2039" s="19"/>
      <c r="R2039" s="19"/>
      <c r="S2039" s="19"/>
      <c r="T2039" s="19"/>
      <c r="U2039" s="19"/>
      <c r="V2039" s="19"/>
      <c r="W2039" s="19"/>
      <c r="X2039" s="19"/>
      <c r="Y2039" s="19"/>
      <c r="Z2039" s="19"/>
      <c r="AA2039" s="19"/>
      <c r="AB2039" s="19"/>
      <c r="AC2039" s="19"/>
    </row>
    <row r="2040" spans="2:29" x14ac:dyDescent="0.25">
      <c r="B2040" s="19"/>
      <c r="C2040" s="19"/>
      <c r="D2040" s="19"/>
      <c r="E2040" s="19"/>
      <c r="F2040" s="19"/>
      <c r="G2040" s="19"/>
      <c r="H2040" s="19"/>
      <c r="I2040" s="19"/>
      <c r="J2040" s="19"/>
      <c r="K2040" s="19"/>
      <c r="L2040" s="19"/>
      <c r="M2040" s="19"/>
      <c r="N2040" s="19"/>
      <c r="O2040" s="19"/>
      <c r="P2040" s="19"/>
      <c r="Q2040" s="19"/>
      <c r="R2040" s="19"/>
      <c r="S2040" s="19"/>
      <c r="T2040" s="19"/>
      <c r="U2040" s="19"/>
      <c r="V2040" s="19"/>
      <c r="W2040" s="19"/>
      <c r="X2040" s="19"/>
      <c r="Y2040" s="19"/>
      <c r="Z2040" s="19"/>
      <c r="AA2040" s="19"/>
      <c r="AB2040" s="19"/>
      <c r="AC2040" s="19"/>
    </row>
    <row r="2041" spans="2:29" x14ac:dyDescent="0.25">
      <c r="B2041" s="19"/>
      <c r="C2041" s="19"/>
      <c r="D2041" s="19"/>
      <c r="E2041" s="19"/>
      <c r="F2041" s="19"/>
      <c r="G2041" s="19"/>
      <c r="H2041" s="19"/>
      <c r="I2041" s="19"/>
      <c r="J2041" s="19"/>
      <c r="K2041" s="19"/>
      <c r="L2041" s="19"/>
      <c r="M2041" s="19"/>
      <c r="N2041" s="19"/>
      <c r="O2041" s="19"/>
      <c r="P2041" s="19"/>
      <c r="Q2041" s="19"/>
      <c r="R2041" s="19"/>
      <c r="S2041" s="19"/>
      <c r="T2041" s="19"/>
      <c r="U2041" s="19"/>
      <c r="V2041" s="19"/>
      <c r="W2041" s="19"/>
      <c r="X2041" s="19"/>
      <c r="Y2041" s="19"/>
      <c r="Z2041" s="19"/>
      <c r="AA2041" s="19"/>
      <c r="AB2041" s="19"/>
      <c r="AC2041" s="19"/>
    </row>
    <row r="2042" spans="2:29" x14ac:dyDescent="0.25">
      <c r="B2042" s="19"/>
      <c r="C2042" s="19"/>
      <c r="D2042" s="19"/>
      <c r="E2042" s="19"/>
      <c r="F2042" s="19"/>
      <c r="G2042" s="19"/>
      <c r="H2042" s="19"/>
      <c r="I2042" s="19"/>
      <c r="J2042" s="19"/>
      <c r="K2042" s="19"/>
      <c r="L2042" s="19"/>
      <c r="M2042" s="19"/>
      <c r="N2042" s="19"/>
      <c r="O2042" s="19"/>
      <c r="P2042" s="19"/>
      <c r="Q2042" s="19"/>
      <c r="R2042" s="19"/>
      <c r="S2042" s="19"/>
      <c r="T2042" s="19"/>
      <c r="U2042" s="19"/>
      <c r="V2042" s="19"/>
      <c r="W2042" s="19"/>
      <c r="X2042" s="19"/>
      <c r="Y2042" s="19"/>
      <c r="Z2042" s="19"/>
      <c r="AA2042" s="19"/>
      <c r="AB2042" s="19"/>
      <c r="AC2042" s="19"/>
    </row>
    <row r="2043" spans="2:29" x14ac:dyDescent="0.25">
      <c r="B2043" s="19"/>
      <c r="C2043" s="19"/>
      <c r="D2043" s="19"/>
      <c r="E2043" s="19"/>
      <c r="F2043" s="19"/>
      <c r="G2043" s="19"/>
      <c r="H2043" s="19"/>
      <c r="I2043" s="19"/>
      <c r="J2043" s="19"/>
      <c r="K2043" s="19"/>
      <c r="L2043" s="19"/>
      <c r="M2043" s="19"/>
      <c r="N2043" s="19"/>
      <c r="O2043" s="19"/>
      <c r="P2043" s="19"/>
      <c r="Q2043" s="19"/>
      <c r="R2043" s="19"/>
      <c r="S2043" s="19"/>
      <c r="T2043" s="19"/>
      <c r="U2043" s="19"/>
      <c r="V2043" s="19"/>
      <c r="W2043" s="19"/>
      <c r="X2043" s="19"/>
      <c r="Y2043" s="19"/>
      <c r="Z2043" s="19"/>
      <c r="AA2043" s="19"/>
      <c r="AB2043" s="19"/>
      <c r="AC2043" s="19"/>
    </row>
    <row r="2044" spans="2:29" x14ac:dyDescent="0.25">
      <c r="B2044" s="19"/>
      <c r="C2044" s="19"/>
      <c r="D2044" s="19"/>
      <c r="E2044" s="19"/>
      <c r="F2044" s="19"/>
      <c r="G2044" s="19"/>
      <c r="H2044" s="19"/>
      <c r="I2044" s="19"/>
      <c r="J2044" s="19"/>
      <c r="K2044" s="19"/>
      <c r="L2044" s="19"/>
      <c r="M2044" s="19"/>
      <c r="N2044" s="19"/>
      <c r="O2044" s="19"/>
      <c r="P2044" s="19"/>
      <c r="Q2044" s="19"/>
      <c r="R2044" s="19"/>
      <c r="S2044" s="19"/>
      <c r="T2044" s="19"/>
      <c r="U2044" s="19"/>
      <c r="V2044" s="19"/>
      <c r="W2044" s="19"/>
      <c r="X2044" s="19"/>
      <c r="Y2044" s="19"/>
      <c r="Z2044" s="19"/>
      <c r="AA2044" s="19"/>
      <c r="AB2044" s="19"/>
      <c r="AC2044" s="19"/>
    </row>
    <row r="2045" spans="2:29" x14ac:dyDescent="0.25">
      <c r="B2045" s="19"/>
      <c r="C2045" s="19"/>
      <c r="D2045" s="19"/>
      <c r="E2045" s="19"/>
      <c r="F2045" s="19"/>
      <c r="G2045" s="19"/>
      <c r="H2045" s="19"/>
      <c r="I2045" s="19"/>
      <c r="J2045" s="19"/>
      <c r="K2045" s="19"/>
      <c r="L2045" s="19"/>
      <c r="M2045" s="19"/>
      <c r="N2045" s="19"/>
      <c r="O2045" s="19"/>
      <c r="P2045" s="19"/>
      <c r="Q2045" s="19"/>
      <c r="R2045" s="19"/>
      <c r="S2045" s="19"/>
      <c r="T2045" s="19"/>
      <c r="U2045" s="19"/>
      <c r="V2045" s="19"/>
      <c r="W2045" s="19"/>
      <c r="X2045" s="19"/>
      <c r="Y2045" s="19"/>
      <c r="Z2045" s="19"/>
      <c r="AA2045" s="19"/>
      <c r="AB2045" s="19"/>
      <c r="AC2045" s="19"/>
    </row>
    <row r="2046" spans="2:29" x14ac:dyDescent="0.25">
      <c r="B2046" s="19"/>
      <c r="C2046" s="19"/>
      <c r="D2046" s="19"/>
      <c r="E2046" s="19"/>
      <c r="F2046" s="19"/>
      <c r="G2046" s="19"/>
      <c r="H2046" s="19"/>
      <c r="I2046" s="19"/>
      <c r="J2046" s="19"/>
      <c r="K2046" s="19"/>
      <c r="L2046" s="19"/>
      <c r="M2046" s="19"/>
      <c r="N2046" s="19"/>
      <c r="O2046" s="19"/>
      <c r="P2046" s="19"/>
      <c r="Q2046" s="19"/>
      <c r="R2046" s="19"/>
      <c r="S2046" s="19"/>
      <c r="T2046" s="19"/>
      <c r="U2046" s="19"/>
      <c r="V2046" s="19"/>
      <c r="W2046" s="19"/>
      <c r="X2046" s="19"/>
      <c r="Y2046" s="19"/>
      <c r="Z2046" s="19"/>
      <c r="AA2046" s="19"/>
      <c r="AB2046" s="19"/>
      <c r="AC2046" s="19"/>
    </row>
    <row r="2047" spans="2:29" x14ac:dyDescent="0.25">
      <c r="B2047" s="19"/>
      <c r="C2047" s="19"/>
      <c r="D2047" s="19"/>
      <c r="E2047" s="19"/>
      <c r="F2047" s="19"/>
      <c r="G2047" s="19"/>
      <c r="H2047" s="19"/>
      <c r="I2047" s="19"/>
      <c r="J2047" s="19"/>
      <c r="K2047" s="19"/>
      <c r="L2047" s="19"/>
      <c r="M2047" s="19"/>
      <c r="N2047" s="19"/>
      <c r="O2047" s="19"/>
      <c r="P2047" s="19"/>
      <c r="Q2047" s="19"/>
      <c r="R2047" s="19"/>
      <c r="S2047" s="19"/>
      <c r="T2047" s="19"/>
      <c r="U2047" s="19"/>
      <c r="V2047" s="19"/>
      <c r="W2047" s="19"/>
      <c r="X2047" s="19"/>
      <c r="Y2047" s="19"/>
      <c r="Z2047" s="19"/>
      <c r="AA2047" s="19"/>
      <c r="AB2047" s="19"/>
      <c r="AC2047" s="19"/>
    </row>
    <row r="2048" spans="2:29" x14ac:dyDescent="0.25">
      <c r="B2048" s="19"/>
      <c r="C2048" s="19"/>
      <c r="D2048" s="19"/>
      <c r="E2048" s="19"/>
      <c r="F2048" s="19"/>
      <c r="G2048" s="19"/>
      <c r="H2048" s="19"/>
      <c r="I2048" s="19"/>
      <c r="J2048" s="19"/>
      <c r="K2048" s="19"/>
      <c r="L2048" s="19"/>
      <c r="M2048" s="19"/>
      <c r="N2048" s="19"/>
      <c r="O2048" s="19"/>
      <c r="P2048" s="19"/>
      <c r="Q2048" s="19"/>
      <c r="R2048" s="19"/>
      <c r="S2048" s="19"/>
      <c r="T2048" s="19"/>
      <c r="U2048" s="19"/>
      <c r="V2048" s="19"/>
      <c r="W2048" s="19"/>
      <c r="X2048" s="19"/>
      <c r="Y2048" s="19"/>
      <c r="Z2048" s="19"/>
      <c r="AA2048" s="19"/>
      <c r="AB2048" s="19"/>
      <c r="AC2048" s="19"/>
    </row>
    <row r="2049" spans="2:29" x14ac:dyDescent="0.25">
      <c r="B2049" s="19"/>
      <c r="C2049" s="19"/>
      <c r="D2049" s="19"/>
      <c r="E2049" s="19"/>
      <c r="F2049" s="19"/>
      <c r="G2049" s="19"/>
      <c r="H2049" s="19"/>
      <c r="I2049" s="19"/>
      <c r="J2049" s="19"/>
      <c r="K2049" s="19"/>
      <c r="L2049" s="19"/>
      <c r="M2049" s="19"/>
      <c r="N2049" s="19"/>
      <c r="O2049" s="19"/>
      <c r="P2049" s="19"/>
      <c r="Q2049" s="19"/>
      <c r="R2049" s="19"/>
      <c r="S2049" s="19"/>
      <c r="T2049" s="19"/>
      <c r="U2049" s="19"/>
      <c r="V2049" s="19"/>
      <c r="W2049" s="19"/>
      <c r="X2049" s="19"/>
      <c r="Y2049" s="19"/>
      <c r="Z2049" s="19"/>
      <c r="AA2049" s="19"/>
      <c r="AB2049" s="19"/>
      <c r="AC2049" s="19"/>
    </row>
    <row r="2050" spans="2:29" x14ac:dyDescent="0.25">
      <c r="B2050" s="19"/>
      <c r="C2050" s="19"/>
      <c r="D2050" s="19"/>
      <c r="E2050" s="19"/>
      <c r="F2050" s="19"/>
      <c r="G2050" s="19"/>
      <c r="H2050" s="19"/>
      <c r="I2050" s="19"/>
      <c r="J2050" s="19"/>
      <c r="K2050" s="19"/>
      <c r="L2050" s="19"/>
      <c r="M2050" s="19"/>
      <c r="N2050" s="19"/>
      <c r="O2050" s="19"/>
      <c r="P2050" s="19"/>
      <c r="Q2050" s="19"/>
      <c r="R2050" s="19"/>
      <c r="S2050" s="19"/>
      <c r="T2050" s="19"/>
      <c r="U2050" s="19"/>
      <c r="V2050" s="19"/>
      <c r="W2050" s="19"/>
      <c r="X2050" s="19"/>
      <c r="Y2050" s="19"/>
      <c r="Z2050" s="19"/>
      <c r="AA2050" s="19"/>
      <c r="AB2050" s="19"/>
      <c r="AC2050" s="19"/>
    </row>
    <row r="2051" spans="2:29" x14ac:dyDescent="0.25">
      <c r="B2051" s="19"/>
      <c r="C2051" s="19"/>
      <c r="D2051" s="19"/>
      <c r="E2051" s="19"/>
      <c r="F2051" s="19"/>
      <c r="G2051" s="19"/>
      <c r="H2051" s="19"/>
      <c r="I2051" s="19"/>
      <c r="J2051" s="19"/>
      <c r="K2051" s="19"/>
      <c r="L2051" s="19"/>
      <c r="M2051" s="19"/>
      <c r="N2051" s="19"/>
      <c r="O2051" s="19"/>
      <c r="P2051" s="19"/>
      <c r="Q2051" s="19"/>
      <c r="R2051" s="19"/>
      <c r="S2051" s="19"/>
      <c r="T2051" s="19"/>
      <c r="U2051" s="19"/>
      <c r="V2051" s="19"/>
      <c r="W2051" s="19"/>
      <c r="X2051" s="19"/>
      <c r="Y2051" s="19"/>
      <c r="Z2051" s="19"/>
      <c r="AA2051" s="19"/>
      <c r="AB2051" s="19"/>
      <c r="AC2051" s="19"/>
    </row>
    <row r="2052" spans="2:29" x14ac:dyDescent="0.25">
      <c r="B2052" s="19"/>
      <c r="C2052" s="19"/>
      <c r="D2052" s="19"/>
      <c r="E2052" s="19"/>
      <c r="F2052" s="19"/>
      <c r="G2052" s="19"/>
      <c r="H2052" s="19"/>
      <c r="I2052" s="19"/>
      <c r="J2052" s="19"/>
      <c r="K2052" s="19"/>
      <c r="L2052" s="19"/>
      <c r="M2052" s="19"/>
      <c r="N2052" s="19"/>
      <c r="O2052" s="19"/>
      <c r="P2052" s="19"/>
      <c r="Q2052" s="19"/>
      <c r="R2052" s="19"/>
      <c r="S2052" s="19"/>
      <c r="T2052" s="19"/>
      <c r="U2052" s="19"/>
      <c r="V2052" s="19"/>
      <c r="W2052" s="19"/>
      <c r="X2052" s="19"/>
      <c r="Y2052" s="19"/>
      <c r="Z2052" s="19"/>
      <c r="AA2052" s="19"/>
      <c r="AB2052" s="19"/>
      <c r="AC2052" s="19"/>
    </row>
    <row r="2053" spans="2:29" x14ac:dyDescent="0.25">
      <c r="B2053" s="19"/>
      <c r="C2053" s="19"/>
      <c r="D2053" s="19"/>
      <c r="E2053" s="19"/>
      <c r="F2053" s="19"/>
      <c r="G2053" s="19"/>
      <c r="H2053" s="19"/>
      <c r="I2053" s="19"/>
      <c r="J2053" s="19"/>
      <c r="K2053" s="19"/>
      <c r="L2053" s="19"/>
      <c r="M2053" s="19"/>
      <c r="N2053" s="19"/>
      <c r="O2053" s="19"/>
      <c r="P2053" s="19"/>
      <c r="Q2053" s="19"/>
      <c r="R2053" s="19"/>
      <c r="S2053" s="19"/>
      <c r="T2053" s="19"/>
      <c r="U2053" s="19"/>
      <c r="V2053" s="19"/>
      <c r="W2053" s="19"/>
      <c r="X2053" s="19"/>
      <c r="Y2053" s="19"/>
      <c r="Z2053" s="19"/>
      <c r="AA2053" s="19"/>
      <c r="AB2053" s="19"/>
      <c r="AC2053" s="19"/>
    </row>
    <row r="2054" spans="2:29" x14ac:dyDescent="0.25">
      <c r="B2054" s="19"/>
      <c r="C2054" s="19"/>
      <c r="D2054" s="19"/>
      <c r="E2054" s="19"/>
      <c r="F2054" s="19"/>
      <c r="G2054" s="19"/>
      <c r="H2054" s="19"/>
      <c r="I2054" s="19"/>
      <c r="J2054" s="19"/>
      <c r="K2054" s="19"/>
      <c r="L2054" s="19"/>
      <c r="M2054" s="19"/>
      <c r="N2054" s="19"/>
      <c r="O2054" s="19"/>
      <c r="P2054" s="19"/>
      <c r="Q2054" s="19"/>
      <c r="R2054" s="19"/>
      <c r="S2054" s="19"/>
      <c r="T2054" s="19"/>
      <c r="U2054" s="19"/>
      <c r="V2054" s="19"/>
      <c r="W2054" s="19"/>
      <c r="X2054" s="19"/>
      <c r="Y2054" s="19"/>
      <c r="Z2054" s="19"/>
      <c r="AA2054" s="19"/>
      <c r="AB2054" s="19"/>
      <c r="AC2054" s="19"/>
    </row>
    <row r="2055" spans="2:29" x14ac:dyDescent="0.25">
      <c r="B2055" s="19"/>
      <c r="C2055" s="19"/>
      <c r="D2055" s="19"/>
      <c r="E2055" s="19"/>
      <c r="F2055" s="19"/>
      <c r="G2055" s="19"/>
      <c r="H2055" s="19"/>
      <c r="I2055" s="19"/>
      <c r="J2055" s="19"/>
      <c r="K2055" s="19"/>
      <c r="L2055" s="19"/>
      <c r="M2055" s="19"/>
      <c r="N2055" s="19"/>
      <c r="O2055" s="19"/>
      <c r="P2055" s="19"/>
      <c r="Q2055" s="19"/>
      <c r="R2055" s="19"/>
      <c r="S2055" s="19"/>
      <c r="T2055" s="19"/>
      <c r="U2055" s="19"/>
      <c r="V2055" s="19"/>
      <c r="W2055" s="19"/>
      <c r="X2055" s="19"/>
      <c r="Y2055" s="19"/>
      <c r="Z2055" s="19"/>
      <c r="AA2055" s="19"/>
      <c r="AB2055" s="19"/>
      <c r="AC2055" s="19"/>
    </row>
    <row r="2056" spans="2:29" x14ac:dyDescent="0.25">
      <c r="B2056" s="19"/>
      <c r="C2056" s="19"/>
      <c r="D2056" s="19"/>
      <c r="E2056" s="19"/>
      <c r="F2056" s="19"/>
      <c r="G2056" s="19"/>
      <c r="H2056" s="19"/>
      <c r="I2056" s="19"/>
      <c r="J2056" s="19"/>
      <c r="K2056" s="19"/>
      <c r="L2056" s="19"/>
      <c r="M2056" s="19"/>
      <c r="N2056" s="19"/>
      <c r="O2056" s="19"/>
      <c r="P2056" s="19"/>
      <c r="Q2056" s="19"/>
      <c r="R2056" s="19"/>
      <c r="S2056" s="19"/>
      <c r="T2056" s="19"/>
      <c r="U2056" s="19"/>
      <c r="V2056" s="19"/>
      <c r="W2056" s="19"/>
      <c r="X2056" s="19"/>
      <c r="Y2056" s="19"/>
      <c r="Z2056" s="19"/>
      <c r="AA2056" s="19"/>
      <c r="AB2056" s="19"/>
      <c r="AC2056" s="19"/>
    </row>
    <row r="2057" spans="2:29" x14ac:dyDescent="0.25">
      <c r="B2057" s="19"/>
      <c r="C2057" s="19"/>
      <c r="D2057" s="19"/>
      <c r="E2057" s="19"/>
      <c r="F2057" s="19"/>
      <c r="G2057" s="19"/>
      <c r="H2057" s="19"/>
      <c r="I2057" s="19"/>
      <c r="J2057" s="19"/>
      <c r="K2057" s="19"/>
      <c r="L2057" s="19"/>
      <c r="M2057" s="19"/>
      <c r="N2057" s="19"/>
      <c r="O2057" s="19"/>
      <c r="P2057" s="19"/>
      <c r="Q2057" s="19"/>
      <c r="R2057" s="19"/>
      <c r="S2057" s="19"/>
      <c r="T2057" s="19"/>
      <c r="U2057" s="19"/>
      <c r="V2057" s="19"/>
      <c r="W2057" s="19"/>
      <c r="X2057" s="19"/>
      <c r="Y2057" s="19"/>
      <c r="Z2057" s="19"/>
      <c r="AA2057" s="19"/>
      <c r="AB2057" s="19"/>
      <c r="AC2057" s="19"/>
    </row>
    <row r="2058" spans="2:29" x14ac:dyDescent="0.25">
      <c r="B2058" s="19"/>
      <c r="C2058" s="19"/>
      <c r="D2058" s="19"/>
      <c r="E2058" s="19"/>
      <c r="F2058" s="19"/>
      <c r="G2058" s="19"/>
      <c r="H2058" s="19"/>
      <c r="I2058" s="19"/>
      <c r="J2058" s="19"/>
      <c r="K2058" s="19"/>
      <c r="L2058" s="19"/>
      <c r="M2058" s="19"/>
      <c r="N2058" s="19"/>
      <c r="O2058" s="19"/>
      <c r="P2058" s="19"/>
      <c r="Q2058" s="19"/>
      <c r="R2058" s="19"/>
      <c r="S2058" s="19"/>
      <c r="T2058" s="19"/>
      <c r="U2058" s="19"/>
      <c r="V2058" s="19"/>
      <c r="W2058" s="19"/>
      <c r="X2058" s="19"/>
      <c r="Y2058" s="19"/>
      <c r="Z2058" s="19"/>
      <c r="AA2058" s="19"/>
      <c r="AB2058" s="19"/>
      <c r="AC2058" s="19"/>
    </row>
    <row r="2059" spans="2:29" x14ac:dyDescent="0.25">
      <c r="B2059" s="19"/>
      <c r="C2059" s="19"/>
      <c r="D2059" s="19"/>
      <c r="E2059" s="19"/>
      <c r="F2059" s="19"/>
      <c r="G2059" s="19"/>
      <c r="H2059" s="19"/>
      <c r="I2059" s="19"/>
      <c r="J2059" s="19"/>
      <c r="K2059" s="19"/>
      <c r="L2059" s="19"/>
      <c r="M2059" s="19"/>
      <c r="N2059" s="19"/>
      <c r="O2059" s="19"/>
      <c r="P2059" s="19"/>
      <c r="Q2059" s="19"/>
      <c r="R2059" s="19"/>
      <c r="S2059" s="19"/>
      <c r="T2059" s="19"/>
      <c r="U2059" s="19"/>
      <c r="V2059" s="19"/>
      <c r="W2059" s="19"/>
      <c r="X2059" s="19"/>
      <c r="Y2059" s="19"/>
      <c r="Z2059" s="19"/>
      <c r="AA2059" s="19"/>
      <c r="AB2059" s="19"/>
      <c r="AC2059" s="19"/>
    </row>
    <row r="2060" spans="2:29" x14ac:dyDescent="0.25">
      <c r="B2060" s="19"/>
      <c r="C2060" s="19"/>
      <c r="D2060" s="19"/>
      <c r="E2060" s="19"/>
      <c r="F2060" s="19"/>
      <c r="G2060" s="19"/>
      <c r="H2060" s="19"/>
      <c r="I2060" s="19"/>
      <c r="J2060" s="19"/>
      <c r="K2060" s="19"/>
      <c r="L2060" s="19"/>
      <c r="M2060" s="19"/>
      <c r="N2060" s="19"/>
      <c r="O2060" s="19"/>
      <c r="P2060" s="19"/>
      <c r="Q2060" s="19"/>
      <c r="R2060" s="19"/>
      <c r="S2060" s="19"/>
      <c r="T2060" s="19"/>
      <c r="U2060" s="19"/>
      <c r="V2060" s="19"/>
      <c r="W2060" s="19"/>
      <c r="X2060" s="19"/>
      <c r="Y2060" s="19"/>
      <c r="Z2060" s="19"/>
      <c r="AA2060" s="19"/>
      <c r="AB2060" s="19"/>
      <c r="AC2060" s="19"/>
    </row>
    <row r="2061" spans="2:29" x14ac:dyDescent="0.25">
      <c r="B2061" s="19"/>
      <c r="C2061" s="19"/>
      <c r="D2061" s="19"/>
      <c r="E2061" s="19"/>
      <c r="F2061" s="19"/>
      <c r="G2061" s="19"/>
      <c r="H2061" s="19"/>
      <c r="I2061" s="19"/>
      <c r="J2061" s="19"/>
      <c r="K2061" s="19"/>
      <c r="L2061" s="19"/>
      <c r="M2061" s="19"/>
      <c r="N2061" s="19"/>
      <c r="O2061" s="19"/>
      <c r="P2061" s="19"/>
      <c r="Q2061" s="19"/>
      <c r="R2061" s="19"/>
      <c r="S2061" s="19"/>
      <c r="T2061" s="19"/>
      <c r="U2061" s="19"/>
      <c r="V2061" s="19"/>
      <c r="W2061" s="19"/>
      <c r="X2061" s="19"/>
      <c r="Y2061" s="19"/>
      <c r="Z2061" s="19"/>
      <c r="AA2061" s="19"/>
      <c r="AB2061" s="19"/>
      <c r="AC2061" s="19"/>
    </row>
    <row r="2062" spans="2:29" x14ac:dyDescent="0.25">
      <c r="B2062" s="19"/>
      <c r="C2062" s="19"/>
      <c r="D2062" s="19"/>
      <c r="E2062" s="19"/>
      <c r="F2062" s="19"/>
      <c r="G2062" s="19"/>
      <c r="H2062" s="19"/>
      <c r="I2062" s="19"/>
      <c r="J2062" s="19"/>
      <c r="K2062" s="19"/>
      <c r="L2062" s="19"/>
      <c r="M2062" s="19"/>
      <c r="N2062" s="19"/>
      <c r="O2062" s="19"/>
      <c r="P2062" s="19"/>
      <c r="Q2062" s="19"/>
      <c r="R2062" s="19"/>
      <c r="S2062" s="19"/>
      <c r="T2062" s="19"/>
      <c r="U2062" s="19"/>
      <c r="V2062" s="19"/>
      <c r="W2062" s="19"/>
      <c r="X2062" s="19"/>
      <c r="Y2062" s="19"/>
      <c r="Z2062" s="19"/>
      <c r="AA2062" s="19"/>
      <c r="AB2062" s="19"/>
      <c r="AC2062" s="19"/>
    </row>
    <row r="2063" spans="2:29" x14ac:dyDescent="0.25">
      <c r="B2063" s="19"/>
      <c r="C2063" s="19"/>
      <c r="D2063" s="19"/>
      <c r="E2063" s="19"/>
      <c r="F2063" s="19"/>
      <c r="G2063" s="19"/>
      <c r="H2063" s="19"/>
      <c r="I2063" s="19"/>
      <c r="J2063" s="19"/>
      <c r="K2063" s="19"/>
      <c r="L2063" s="19"/>
      <c r="M2063" s="19"/>
      <c r="N2063" s="19"/>
      <c r="O2063" s="19"/>
      <c r="P2063" s="19"/>
      <c r="Q2063" s="19"/>
      <c r="R2063" s="19"/>
      <c r="S2063" s="19"/>
      <c r="T2063" s="19"/>
      <c r="U2063" s="19"/>
      <c r="V2063" s="19"/>
      <c r="W2063" s="19"/>
      <c r="X2063" s="19"/>
      <c r="Y2063" s="19"/>
      <c r="Z2063" s="19"/>
      <c r="AA2063" s="19"/>
      <c r="AB2063" s="19"/>
      <c r="AC2063" s="19"/>
    </row>
    <row r="2064" spans="2:29" x14ac:dyDescent="0.25">
      <c r="B2064" s="19"/>
      <c r="C2064" s="19"/>
      <c r="D2064" s="19"/>
      <c r="E2064" s="19"/>
      <c r="F2064" s="19"/>
      <c r="G2064" s="19"/>
      <c r="H2064" s="19"/>
      <c r="I2064" s="19"/>
      <c r="J2064" s="19"/>
      <c r="K2064" s="19"/>
      <c r="L2064" s="19"/>
      <c r="M2064" s="19"/>
      <c r="N2064" s="19"/>
      <c r="O2064" s="19"/>
      <c r="P2064" s="19"/>
      <c r="Q2064" s="19"/>
      <c r="R2064" s="19"/>
      <c r="S2064" s="19"/>
      <c r="T2064" s="19"/>
      <c r="U2064" s="19"/>
      <c r="V2064" s="19"/>
      <c r="W2064" s="19"/>
      <c r="X2064" s="19"/>
      <c r="Y2064" s="19"/>
      <c r="Z2064" s="19"/>
      <c r="AA2064" s="19"/>
      <c r="AB2064" s="19"/>
      <c r="AC2064" s="19"/>
    </row>
    <row r="2065" spans="2:29" x14ac:dyDescent="0.25">
      <c r="B2065" s="19"/>
      <c r="C2065" s="19"/>
      <c r="D2065" s="19"/>
      <c r="E2065" s="19"/>
      <c r="F2065" s="19"/>
      <c r="G2065" s="19"/>
      <c r="H2065" s="19"/>
      <c r="I2065" s="19"/>
      <c r="J2065" s="19"/>
      <c r="K2065" s="19"/>
      <c r="L2065" s="19"/>
      <c r="M2065" s="19"/>
      <c r="N2065" s="19"/>
      <c r="O2065" s="19"/>
      <c r="P2065" s="19"/>
      <c r="Q2065" s="19"/>
      <c r="R2065" s="19"/>
      <c r="S2065" s="19"/>
      <c r="T2065" s="19"/>
      <c r="U2065" s="19"/>
      <c r="V2065" s="19"/>
      <c r="W2065" s="19"/>
      <c r="X2065" s="19"/>
      <c r="Y2065" s="19"/>
      <c r="Z2065" s="19"/>
      <c r="AA2065" s="19"/>
      <c r="AB2065" s="19"/>
      <c r="AC2065" s="19"/>
    </row>
    <row r="2066" spans="2:29" x14ac:dyDescent="0.25">
      <c r="B2066" s="19"/>
      <c r="C2066" s="19"/>
      <c r="D2066" s="19"/>
      <c r="E2066" s="19"/>
      <c r="F2066" s="19"/>
      <c r="G2066" s="19"/>
      <c r="H2066" s="19"/>
      <c r="I2066" s="19"/>
      <c r="J2066" s="19"/>
      <c r="K2066" s="19"/>
      <c r="L2066" s="19"/>
      <c r="M2066" s="19"/>
      <c r="N2066" s="19"/>
      <c r="O2066" s="19"/>
      <c r="P2066" s="19"/>
      <c r="Q2066" s="19"/>
      <c r="R2066" s="19"/>
      <c r="S2066" s="19"/>
      <c r="T2066" s="19"/>
      <c r="U2066" s="19"/>
      <c r="V2066" s="19"/>
      <c r="W2066" s="19"/>
      <c r="X2066" s="19"/>
      <c r="Y2066" s="19"/>
      <c r="Z2066" s="19"/>
      <c r="AA2066" s="19"/>
      <c r="AB2066" s="19"/>
      <c r="AC2066" s="19"/>
    </row>
    <row r="2067" spans="2:29" x14ac:dyDescent="0.25">
      <c r="B2067" s="19"/>
      <c r="C2067" s="19"/>
      <c r="D2067" s="19"/>
      <c r="E2067" s="19"/>
      <c r="F2067" s="19"/>
      <c r="G2067" s="19"/>
      <c r="H2067" s="19"/>
      <c r="I2067" s="19"/>
      <c r="J2067" s="19"/>
      <c r="K2067" s="19"/>
      <c r="L2067" s="19"/>
      <c r="M2067" s="19"/>
      <c r="N2067" s="19"/>
      <c r="O2067" s="19"/>
      <c r="P2067" s="19"/>
      <c r="Q2067" s="19"/>
      <c r="R2067" s="19"/>
      <c r="S2067" s="19"/>
      <c r="T2067" s="19"/>
      <c r="U2067" s="19"/>
      <c r="V2067" s="19"/>
      <c r="W2067" s="19"/>
      <c r="X2067" s="19"/>
      <c r="Y2067" s="19"/>
      <c r="Z2067" s="19"/>
      <c r="AA2067" s="19"/>
      <c r="AB2067" s="19"/>
      <c r="AC2067" s="19"/>
    </row>
    <row r="2068" spans="2:29" x14ac:dyDescent="0.25">
      <c r="B2068" s="19"/>
      <c r="C2068" s="19"/>
      <c r="D2068" s="19"/>
      <c r="E2068" s="19"/>
      <c r="F2068" s="19"/>
      <c r="G2068" s="19"/>
      <c r="H2068" s="19"/>
      <c r="I2068" s="19"/>
      <c r="J2068" s="19"/>
      <c r="K2068" s="19"/>
      <c r="L2068" s="19"/>
      <c r="M2068" s="19"/>
      <c r="N2068" s="19"/>
      <c r="O2068" s="19"/>
      <c r="P2068" s="19"/>
      <c r="Q2068" s="19"/>
      <c r="R2068" s="19"/>
      <c r="S2068" s="19"/>
      <c r="T2068" s="19"/>
      <c r="U2068" s="19"/>
      <c r="V2068" s="19"/>
      <c r="W2068" s="19"/>
      <c r="X2068" s="19"/>
      <c r="Y2068" s="19"/>
      <c r="Z2068" s="19"/>
      <c r="AA2068" s="19"/>
      <c r="AB2068" s="19"/>
      <c r="AC2068" s="19"/>
    </row>
    <row r="2069" spans="2:29" x14ac:dyDescent="0.25">
      <c r="B2069" s="19"/>
      <c r="C2069" s="19"/>
      <c r="D2069" s="19"/>
      <c r="E2069" s="19"/>
      <c r="F2069" s="19"/>
      <c r="G2069" s="19"/>
      <c r="H2069" s="19"/>
      <c r="I2069" s="19"/>
      <c r="J2069" s="19"/>
      <c r="K2069" s="19"/>
      <c r="L2069" s="19"/>
      <c r="M2069" s="19"/>
      <c r="N2069" s="19"/>
      <c r="O2069" s="19"/>
      <c r="P2069" s="19"/>
      <c r="Q2069" s="19"/>
      <c r="R2069" s="19"/>
      <c r="S2069" s="19"/>
      <c r="T2069" s="19"/>
      <c r="U2069" s="19"/>
      <c r="V2069" s="19"/>
      <c r="W2069" s="19"/>
      <c r="X2069" s="19"/>
      <c r="Y2069" s="19"/>
      <c r="Z2069" s="19"/>
      <c r="AA2069" s="19"/>
      <c r="AB2069" s="19"/>
      <c r="AC2069" s="19"/>
    </row>
    <row r="2070" spans="2:29" x14ac:dyDescent="0.25">
      <c r="B2070" s="19"/>
      <c r="C2070" s="19"/>
      <c r="D2070" s="19"/>
      <c r="E2070" s="19"/>
      <c r="F2070" s="19"/>
      <c r="G2070" s="19"/>
      <c r="H2070" s="19"/>
      <c r="I2070" s="19"/>
      <c r="J2070" s="19"/>
      <c r="K2070" s="19"/>
      <c r="L2070" s="19"/>
      <c r="M2070" s="19"/>
      <c r="N2070" s="19"/>
      <c r="O2070" s="19"/>
      <c r="P2070" s="19"/>
      <c r="Q2070" s="19"/>
      <c r="R2070" s="19"/>
      <c r="S2070" s="19"/>
      <c r="T2070" s="19"/>
      <c r="U2070" s="19"/>
      <c r="V2070" s="19"/>
      <c r="W2070" s="19"/>
      <c r="X2070" s="19"/>
      <c r="Y2070" s="19"/>
      <c r="Z2070" s="19"/>
      <c r="AA2070" s="19"/>
      <c r="AB2070" s="19"/>
      <c r="AC2070" s="19"/>
    </row>
    <row r="2071" spans="2:29" x14ac:dyDescent="0.25">
      <c r="B2071" s="19"/>
      <c r="C2071" s="19"/>
      <c r="D2071" s="19"/>
      <c r="E2071" s="19"/>
      <c r="F2071" s="19"/>
      <c r="G2071" s="19"/>
      <c r="H2071" s="19"/>
      <c r="I2071" s="19"/>
      <c r="J2071" s="19"/>
      <c r="K2071" s="19"/>
      <c r="L2071" s="19"/>
      <c r="M2071" s="19"/>
      <c r="N2071" s="19"/>
      <c r="O2071" s="19"/>
      <c r="P2071" s="19"/>
      <c r="Q2071" s="19"/>
      <c r="R2071" s="19"/>
      <c r="S2071" s="19"/>
      <c r="T2071" s="19"/>
      <c r="U2071" s="19"/>
      <c r="V2071" s="19"/>
      <c r="W2071" s="19"/>
      <c r="X2071" s="19"/>
      <c r="Y2071" s="19"/>
      <c r="Z2071" s="19"/>
      <c r="AA2071" s="19"/>
      <c r="AB2071" s="19"/>
      <c r="AC2071" s="19"/>
    </row>
    <row r="2072" spans="2:29" x14ac:dyDescent="0.25">
      <c r="B2072" s="19"/>
      <c r="C2072" s="19"/>
      <c r="D2072" s="19"/>
      <c r="E2072" s="19"/>
      <c r="F2072" s="19"/>
      <c r="G2072" s="19"/>
      <c r="H2072" s="19"/>
      <c r="I2072" s="19"/>
      <c r="J2072" s="19"/>
      <c r="K2072" s="19"/>
      <c r="L2072" s="19"/>
      <c r="M2072" s="19"/>
      <c r="N2072" s="19"/>
      <c r="O2072" s="19"/>
      <c r="P2072" s="19"/>
      <c r="Q2072" s="19"/>
      <c r="R2072" s="19"/>
      <c r="S2072" s="19"/>
      <c r="T2072" s="19"/>
      <c r="U2072" s="19"/>
      <c r="V2072" s="19"/>
      <c r="W2072" s="19"/>
      <c r="X2072" s="19"/>
      <c r="Y2072" s="19"/>
      <c r="Z2072" s="19"/>
      <c r="AA2072" s="19"/>
      <c r="AB2072" s="19"/>
      <c r="AC2072" s="19"/>
    </row>
    <row r="2073" spans="2:29" x14ac:dyDescent="0.25">
      <c r="B2073" s="19"/>
      <c r="C2073" s="19"/>
      <c r="D2073" s="19"/>
      <c r="E2073" s="19"/>
      <c r="F2073" s="19"/>
      <c r="G2073" s="19"/>
      <c r="H2073" s="19"/>
      <c r="I2073" s="19"/>
      <c r="J2073" s="19"/>
      <c r="K2073" s="19"/>
      <c r="L2073" s="19"/>
      <c r="M2073" s="19"/>
      <c r="N2073" s="19"/>
      <c r="O2073" s="19"/>
      <c r="P2073" s="19"/>
      <c r="Q2073" s="19"/>
      <c r="R2073" s="19"/>
      <c r="S2073" s="19"/>
      <c r="T2073" s="19"/>
      <c r="U2073" s="19"/>
      <c r="V2073" s="19"/>
      <c r="W2073" s="19"/>
      <c r="X2073" s="19"/>
      <c r="Y2073" s="19"/>
      <c r="Z2073" s="19"/>
      <c r="AA2073" s="19"/>
      <c r="AB2073" s="19"/>
      <c r="AC2073" s="19"/>
    </row>
    <row r="2074" spans="2:29" x14ac:dyDescent="0.25">
      <c r="B2074" s="19"/>
      <c r="C2074" s="19"/>
      <c r="D2074" s="19"/>
      <c r="E2074" s="19"/>
      <c r="F2074" s="19"/>
      <c r="G2074" s="19"/>
      <c r="H2074" s="19"/>
      <c r="I2074" s="19"/>
      <c r="J2074" s="19"/>
      <c r="K2074" s="19"/>
      <c r="L2074" s="19"/>
      <c r="M2074" s="19"/>
      <c r="N2074" s="19"/>
      <c r="O2074" s="19"/>
      <c r="P2074" s="19"/>
      <c r="Q2074" s="19"/>
      <c r="R2074" s="19"/>
      <c r="S2074" s="19"/>
      <c r="T2074" s="19"/>
      <c r="U2074" s="19"/>
      <c r="V2074" s="19"/>
      <c r="W2074" s="19"/>
      <c r="X2074" s="19"/>
      <c r="Y2074" s="19"/>
      <c r="Z2074" s="19"/>
      <c r="AA2074" s="19"/>
      <c r="AB2074" s="19"/>
      <c r="AC2074" s="19"/>
    </row>
    <row r="2075" spans="2:29" x14ac:dyDescent="0.25">
      <c r="B2075" s="19"/>
      <c r="C2075" s="19"/>
      <c r="D2075" s="19"/>
      <c r="E2075" s="19"/>
      <c r="F2075" s="19"/>
      <c r="G2075" s="19"/>
      <c r="H2075" s="19"/>
      <c r="I2075" s="19"/>
      <c r="J2075" s="19"/>
      <c r="K2075" s="19"/>
      <c r="L2075" s="19"/>
      <c r="M2075" s="19"/>
      <c r="N2075" s="19"/>
      <c r="O2075" s="19"/>
      <c r="P2075" s="19"/>
      <c r="Q2075" s="19"/>
      <c r="R2075" s="19"/>
      <c r="S2075" s="19"/>
      <c r="T2075" s="19"/>
      <c r="U2075" s="19"/>
      <c r="V2075" s="19"/>
      <c r="W2075" s="19"/>
      <c r="X2075" s="19"/>
      <c r="Y2075" s="19"/>
      <c r="Z2075" s="19"/>
      <c r="AA2075" s="19"/>
      <c r="AB2075" s="19"/>
      <c r="AC2075" s="19"/>
    </row>
    <row r="2076" spans="2:29" x14ac:dyDescent="0.25">
      <c r="B2076" s="19"/>
      <c r="C2076" s="19"/>
      <c r="D2076" s="19"/>
      <c r="E2076" s="19"/>
      <c r="F2076" s="19"/>
      <c r="G2076" s="19"/>
      <c r="H2076" s="19"/>
      <c r="I2076" s="19"/>
      <c r="J2076" s="19"/>
      <c r="K2076" s="19"/>
      <c r="L2076" s="19"/>
      <c r="M2076" s="19"/>
      <c r="N2076" s="19"/>
      <c r="O2076" s="19"/>
      <c r="P2076" s="19"/>
      <c r="Q2076" s="19"/>
      <c r="R2076" s="19"/>
      <c r="S2076" s="19"/>
      <c r="T2076" s="19"/>
      <c r="U2076" s="19"/>
      <c r="V2076" s="19"/>
      <c r="W2076" s="19"/>
      <c r="X2076" s="19"/>
      <c r="Y2076" s="19"/>
      <c r="Z2076" s="19"/>
      <c r="AA2076" s="19"/>
      <c r="AB2076" s="19"/>
      <c r="AC2076" s="19"/>
    </row>
    <row r="2077" spans="2:29" x14ac:dyDescent="0.25">
      <c r="B2077" s="19"/>
      <c r="C2077" s="19"/>
      <c r="D2077" s="19"/>
      <c r="E2077" s="19"/>
      <c r="F2077" s="19"/>
      <c r="G2077" s="19"/>
      <c r="H2077" s="19"/>
      <c r="I2077" s="19"/>
      <c r="J2077" s="19"/>
      <c r="K2077" s="19"/>
      <c r="L2077" s="19"/>
      <c r="M2077" s="19"/>
      <c r="N2077" s="19"/>
      <c r="O2077" s="19"/>
      <c r="P2077" s="19"/>
      <c r="Q2077" s="19"/>
      <c r="R2077" s="19"/>
      <c r="S2077" s="19"/>
      <c r="T2077" s="19"/>
      <c r="U2077" s="19"/>
      <c r="V2077" s="19"/>
      <c r="W2077" s="19"/>
      <c r="X2077" s="19"/>
      <c r="Y2077" s="19"/>
      <c r="Z2077" s="19"/>
      <c r="AA2077" s="19"/>
      <c r="AB2077" s="19"/>
      <c r="AC2077" s="19"/>
    </row>
    <row r="2078" spans="2:29" x14ac:dyDescent="0.25">
      <c r="B2078" s="19"/>
      <c r="C2078" s="19"/>
      <c r="D2078" s="19"/>
      <c r="E2078" s="19"/>
      <c r="F2078" s="19"/>
      <c r="G2078" s="19"/>
      <c r="H2078" s="19"/>
      <c r="I2078" s="19"/>
      <c r="J2078" s="19"/>
      <c r="K2078" s="19"/>
      <c r="L2078" s="19"/>
      <c r="M2078" s="19"/>
      <c r="N2078" s="19"/>
      <c r="O2078" s="19"/>
      <c r="P2078" s="19"/>
      <c r="Q2078" s="19"/>
      <c r="R2078" s="19"/>
      <c r="S2078" s="19"/>
      <c r="T2078" s="19"/>
      <c r="U2078" s="19"/>
      <c r="V2078" s="19"/>
      <c r="W2078" s="19"/>
      <c r="X2078" s="19"/>
      <c r="Y2078" s="19"/>
      <c r="Z2078" s="19"/>
      <c r="AA2078" s="19"/>
      <c r="AB2078" s="19"/>
      <c r="AC2078" s="19"/>
    </row>
    <row r="2079" spans="2:29" x14ac:dyDescent="0.25">
      <c r="B2079" s="19"/>
      <c r="C2079" s="19"/>
      <c r="D2079" s="19"/>
      <c r="E2079" s="19"/>
      <c r="F2079" s="19"/>
      <c r="G2079" s="19"/>
      <c r="H2079" s="19"/>
      <c r="I2079" s="19"/>
      <c r="J2079" s="19"/>
      <c r="K2079" s="19"/>
      <c r="L2079" s="19"/>
      <c r="M2079" s="19"/>
      <c r="N2079" s="19"/>
      <c r="O2079" s="19"/>
      <c r="P2079" s="19"/>
      <c r="Q2079" s="19"/>
      <c r="R2079" s="19"/>
      <c r="S2079" s="19"/>
      <c r="T2079" s="19"/>
      <c r="U2079" s="19"/>
      <c r="V2079" s="19"/>
      <c r="W2079" s="19"/>
      <c r="X2079" s="19"/>
      <c r="Y2079" s="19"/>
      <c r="Z2079" s="19"/>
      <c r="AA2079" s="19"/>
      <c r="AB2079" s="19"/>
      <c r="AC2079" s="19"/>
    </row>
    <row r="2080" spans="2:29" x14ac:dyDescent="0.25">
      <c r="B2080" s="19"/>
      <c r="C2080" s="19"/>
      <c r="D2080" s="19"/>
      <c r="E2080" s="19"/>
      <c r="F2080" s="19"/>
      <c r="G2080" s="19"/>
      <c r="H2080" s="19"/>
      <c r="I2080" s="19"/>
      <c r="J2080" s="19"/>
      <c r="K2080" s="19"/>
      <c r="L2080" s="19"/>
      <c r="M2080" s="19"/>
      <c r="N2080" s="19"/>
      <c r="O2080" s="19"/>
      <c r="P2080" s="19"/>
      <c r="Q2080" s="19"/>
      <c r="R2080" s="19"/>
      <c r="S2080" s="19"/>
      <c r="T2080" s="19"/>
      <c r="U2080" s="19"/>
      <c r="V2080" s="19"/>
      <c r="W2080" s="19"/>
      <c r="X2080" s="19"/>
      <c r="Y2080" s="19"/>
      <c r="Z2080" s="19"/>
      <c r="AA2080" s="19"/>
      <c r="AB2080" s="19"/>
      <c r="AC2080" s="19"/>
    </row>
    <row r="2081" spans="2:29" x14ac:dyDescent="0.25">
      <c r="B2081" s="19"/>
      <c r="C2081" s="19"/>
      <c r="D2081" s="19"/>
      <c r="E2081" s="19"/>
      <c r="F2081" s="19"/>
      <c r="G2081" s="19"/>
      <c r="H2081" s="19"/>
      <c r="I2081" s="19"/>
      <c r="J2081" s="19"/>
      <c r="K2081" s="19"/>
      <c r="L2081" s="19"/>
      <c r="M2081" s="19"/>
      <c r="N2081" s="19"/>
      <c r="O2081" s="19"/>
      <c r="P2081" s="19"/>
      <c r="Q2081" s="19"/>
      <c r="R2081" s="19"/>
      <c r="S2081" s="19"/>
      <c r="T2081" s="19"/>
      <c r="U2081" s="19"/>
      <c r="V2081" s="19"/>
      <c r="W2081" s="19"/>
      <c r="X2081" s="19"/>
      <c r="Y2081" s="19"/>
      <c r="Z2081" s="19"/>
      <c r="AA2081" s="19"/>
      <c r="AB2081" s="19"/>
      <c r="AC2081" s="19"/>
    </row>
    <row r="2082" spans="2:29" x14ac:dyDescent="0.25">
      <c r="B2082" s="19"/>
      <c r="C2082" s="19"/>
      <c r="D2082" s="19"/>
      <c r="E2082" s="19"/>
      <c r="F2082" s="19"/>
      <c r="G2082" s="19"/>
      <c r="H2082" s="19"/>
      <c r="I2082" s="19"/>
      <c r="J2082" s="19"/>
      <c r="K2082" s="19"/>
      <c r="L2082" s="19"/>
      <c r="M2082" s="19"/>
      <c r="N2082" s="19"/>
      <c r="O2082" s="19"/>
      <c r="P2082" s="19"/>
      <c r="Q2082" s="19"/>
      <c r="R2082" s="19"/>
      <c r="S2082" s="19"/>
      <c r="T2082" s="19"/>
      <c r="U2082" s="19"/>
      <c r="V2082" s="19"/>
      <c r="W2082" s="19"/>
      <c r="X2082" s="19"/>
      <c r="Y2082" s="19"/>
      <c r="Z2082" s="19"/>
      <c r="AA2082" s="19"/>
      <c r="AB2082" s="19"/>
      <c r="AC2082" s="19"/>
    </row>
    <row r="2083" spans="2:29" x14ac:dyDescent="0.25">
      <c r="B2083" s="19"/>
      <c r="C2083" s="19"/>
      <c r="D2083" s="19"/>
      <c r="E2083" s="19"/>
      <c r="F2083" s="19"/>
      <c r="G2083" s="19"/>
      <c r="H2083" s="19"/>
      <c r="I2083" s="19"/>
      <c r="J2083" s="19"/>
      <c r="K2083" s="19"/>
      <c r="L2083" s="19"/>
      <c r="M2083" s="19"/>
      <c r="N2083" s="19"/>
      <c r="O2083" s="19"/>
      <c r="P2083" s="19"/>
      <c r="Q2083" s="19"/>
      <c r="R2083" s="19"/>
      <c r="S2083" s="19"/>
      <c r="T2083" s="19"/>
      <c r="U2083" s="19"/>
      <c r="V2083" s="19"/>
      <c r="W2083" s="19"/>
      <c r="X2083" s="19"/>
      <c r="Y2083" s="19"/>
      <c r="Z2083" s="19"/>
      <c r="AA2083" s="19"/>
      <c r="AB2083" s="19"/>
      <c r="AC2083" s="19"/>
    </row>
    <row r="2084" spans="2:29" x14ac:dyDescent="0.25">
      <c r="B2084" s="19"/>
      <c r="C2084" s="19"/>
      <c r="D2084" s="19"/>
      <c r="E2084" s="19"/>
      <c r="F2084" s="19"/>
      <c r="G2084" s="19"/>
      <c r="H2084" s="19"/>
      <c r="I2084" s="19"/>
      <c r="J2084" s="19"/>
      <c r="K2084" s="19"/>
      <c r="L2084" s="19"/>
      <c r="M2084" s="19"/>
      <c r="N2084" s="19"/>
      <c r="O2084" s="19"/>
      <c r="P2084" s="19"/>
      <c r="Q2084" s="19"/>
      <c r="R2084" s="19"/>
      <c r="S2084" s="19"/>
      <c r="T2084" s="19"/>
      <c r="U2084" s="19"/>
      <c r="V2084" s="19"/>
      <c r="W2084" s="19"/>
      <c r="X2084" s="19"/>
      <c r="Y2084" s="19"/>
      <c r="Z2084" s="19"/>
      <c r="AA2084" s="19"/>
      <c r="AB2084" s="19"/>
      <c r="AC2084" s="19"/>
    </row>
    <row r="2085" spans="2:29" x14ac:dyDescent="0.25">
      <c r="B2085" s="19"/>
      <c r="C2085" s="19"/>
      <c r="D2085" s="19"/>
      <c r="E2085" s="19"/>
      <c r="F2085" s="19"/>
      <c r="G2085" s="19"/>
      <c r="H2085" s="19"/>
      <c r="I2085" s="19"/>
      <c r="J2085" s="19"/>
      <c r="K2085" s="19"/>
      <c r="L2085" s="19"/>
      <c r="M2085" s="19"/>
      <c r="N2085" s="19"/>
      <c r="O2085" s="19"/>
      <c r="P2085" s="19"/>
      <c r="Q2085" s="19"/>
      <c r="R2085" s="19"/>
      <c r="S2085" s="19"/>
      <c r="T2085" s="19"/>
      <c r="U2085" s="19"/>
      <c r="V2085" s="19"/>
      <c r="W2085" s="19"/>
      <c r="X2085" s="19"/>
      <c r="Y2085" s="19"/>
      <c r="Z2085" s="19"/>
      <c r="AA2085" s="19"/>
      <c r="AB2085" s="19"/>
      <c r="AC2085" s="19"/>
    </row>
    <row r="2086" spans="2:29" x14ac:dyDescent="0.25">
      <c r="B2086" s="19"/>
      <c r="C2086" s="19"/>
      <c r="D2086" s="19"/>
      <c r="E2086" s="19"/>
      <c r="F2086" s="19"/>
      <c r="G2086" s="19"/>
      <c r="H2086" s="19"/>
      <c r="I2086" s="19"/>
      <c r="J2086" s="19"/>
      <c r="K2086" s="19"/>
      <c r="L2086" s="19"/>
      <c r="M2086" s="19"/>
      <c r="N2086" s="19"/>
      <c r="O2086" s="19"/>
      <c r="P2086" s="19"/>
      <c r="Q2086" s="19"/>
      <c r="R2086" s="19"/>
      <c r="S2086" s="19"/>
      <c r="T2086" s="19"/>
      <c r="U2086" s="19"/>
      <c r="V2086" s="19"/>
      <c r="W2086" s="19"/>
      <c r="X2086" s="19"/>
      <c r="Y2086" s="19"/>
      <c r="Z2086" s="19"/>
      <c r="AA2086" s="19"/>
      <c r="AB2086" s="19"/>
      <c r="AC2086" s="19"/>
    </row>
    <row r="2087" spans="2:29" x14ac:dyDescent="0.25">
      <c r="B2087" s="19"/>
      <c r="C2087" s="19"/>
      <c r="D2087" s="19"/>
      <c r="E2087" s="19"/>
      <c r="F2087" s="19"/>
      <c r="G2087" s="19"/>
      <c r="H2087" s="19"/>
      <c r="I2087" s="19"/>
      <c r="J2087" s="19"/>
      <c r="K2087" s="19"/>
      <c r="L2087" s="19"/>
      <c r="M2087" s="19"/>
      <c r="N2087" s="19"/>
      <c r="O2087" s="19"/>
      <c r="P2087" s="19"/>
      <c r="Q2087" s="19"/>
      <c r="R2087" s="19"/>
      <c r="S2087" s="19"/>
      <c r="T2087" s="19"/>
      <c r="U2087" s="19"/>
      <c r="V2087" s="19"/>
      <c r="W2087" s="19"/>
      <c r="X2087" s="19"/>
      <c r="Y2087" s="19"/>
      <c r="Z2087" s="19"/>
      <c r="AA2087" s="19"/>
      <c r="AB2087" s="19"/>
      <c r="AC2087" s="19"/>
    </row>
    <row r="2088" spans="2:29" x14ac:dyDescent="0.25">
      <c r="B2088" s="19"/>
      <c r="C2088" s="19"/>
      <c r="D2088" s="19"/>
      <c r="E2088" s="19"/>
      <c r="F2088" s="19"/>
      <c r="G2088" s="19"/>
      <c r="H2088" s="19"/>
      <c r="I2088" s="19"/>
      <c r="J2088" s="19"/>
      <c r="K2088" s="19"/>
      <c r="L2088" s="19"/>
      <c r="M2088" s="19"/>
      <c r="N2088" s="19"/>
      <c r="O2088" s="19"/>
      <c r="P2088" s="19"/>
      <c r="Q2088" s="19"/>
      <c r="R2088" s="19"/>
      <c r="S2088" s="19"/>
      <c r="T2088" s="19"/>
      <c r="U2088" s="19"/>
      <c r="V2088" s="19"/>
      <c r="W2088" s="19"/>
      <c r="X2088" s="19"/>
      <c r="Y2088" s="19"/>
      <c r="Z2088" s="19"/>
      <c r="AA2088" s="19"/>
      <c r="AB2088" s="19"/>
      <c r="AC2088" s="19"/>
    </row>
    <row r="2089" spans="2:29" x14ac:dyDescent="0.25">
      <c r="B2089" s="19"/>
      <c r="C2089" s="19"/>
      <c r="D2089" s="19"/>
      <c r="E2089" s="19"/>
      <c r="F2089" s="19"/>
      <c r="G2089" s="19"/>
      <c r="H2089" s="19"/>
      <c r="I2089" s="19"/>
      <c r="J2089" s="19"/>
      <c r="K2089" s="19"/>
      <c r="L2089" s="19"/>
      <c r="M2089" s="19"/>
      <c r="N2089" s="19"/>
      <c r="O2089" s="19"/>
      <c r="P2089" s="19"/>
      <c r="Q2089" s="19"/>
      <c r="R2089" s="19"/>
      <c r="S2089" s="19"/>
      <c r="T2089" s="19"/>
      <c r="U2089" s="19"/>
      <c r="V2089" s="19"/>
      <c r="W2089" s="19"/>
      <c r="X2089" s="19"/>
      <c r="Y2089" s="19"/>
      <c r="Z2089" s="19"/>
      <c r="AA2089" s="19"/>
      <c r="AB2089" s="19"/>
      <c r="AC2089" s="19"/>
    </row>
    <row r="2090" spans="2:29" x14ac:dyDescent="0.25">
      <c r="B2090" s="19"/>
      <c r="C2090" s="19"/>
      <c r="D2090" s="19"/>
      <c r="E2090" s="19"/>
      <c r="F2090" s="19"/>
      <c r="G2090" s="19"/>
      <c r="H2090" s="19"/>
      <c r="I2090" s="19"/>
      <c r="J2090" s="19"/>
      <c r="K2090" s="19"/>
      <c r="L2090" s="19"/>
      <c r="M2090" s="19"/>
      <c r="N2090" s="19"/>
      <c r="O2090" s="19"/>
      <c r="P2090" s="19"/>
      <c r="Q2090" s="19"/>
      <c r="R2090" s="19"/>
      <c r="S2090" s="19"/>
      <c r="T2090" s="19"/>
      <c r="U2090" s="19"/>
      <c r="V2090" s="19"/>
      <c r="W2090" s="19"/>
      <c r="X2090" s="19"/>
      <c r="Y2090" s="19"/>
      <c r="Z2090" s="19"/>
      <c r="AA2090" s="19"/>
      <c r="AB2090" s="19"/>
      <c r="AC2090" s="19"/>
    </row>
    <row r="2091" spans="2:29" x14ac:dyDescent="0.25">
      <c r="B2091" s="19"/>
      <c r="C2091" s="19"/>
      <c r="D2091" s="19"/>
      <c r="E2091" s="19"/>
      <c r="F2091" s="19"/>
      <c r="G2091" s="19"/>
      <c r="H2091" s="19"/>
      <c r="I2091" s="19"/>
      <c r="J2091" s="19"/>
      <c r="K2091" s="19"/>
      <c r="L2091" s="19"/>
      <c r="M2091" s="19"/>
      <c r="N2091" s="19"/>
      <c r="O2091" s="19"/>
      <c r="P2091" s="19"/>
      <c r="Q2091" s="19"/>
      <c r="R2091" s="19"/>
      <c r="S2091" s="19"/>
      <c r="T2091" s="19"/>
      <c r="U2091" s="19"/>
      <c r="V2091" s="19"/>
      <c r="W2091" s="19"/>
      <c r="X2091" s="19"/>
      <c r="Y2091" s="19"/>
      <c r="Z2091" s="19"/>
      <c r="AA2091" s="19"/>
      <c r="AB2091" s="19"/>
      <c r="AC2091" s="19"/>
    </row>
    <row r="2092" spans="2:29" x14ac:dyDescent="0.25">
      <c r="B2092" s="19"/>
      <c r="C2092" s="19"/>
      <c r="D2092" s="19"/>
      <c r="E2092" s="19"/>
      <c r="F2092" s="19"/>
      <c r="G2092" s="19"/>
      <c r="H2092" s="19"/>
      <c r="I2092" s="19"/>
      <c r="J2092" s="19"/>
      <c r="K2092" s="19"/>
      <c r="L2092" s="19"/>
      <c r="M2092" s="19"/>
      <c r="N2092" s="19"/>
      <c r="O2092" s="19"/>
      <c r="P2092" s="19"/>
      <c r="Q2092" s="19"/>
      <c r="R2092" s="19"/>
      <c r="S2092" s="19"/>
      <c r="T2092" s="19"/>
      <c r="U2092" s="19"/>
      <c r="V2092" s="19"/>
      <c r="W2092" s="19"/>
      <c r="X2092" s="19"/>
      <c r="Y2092" s="19"/>
      <c r="Z2092" s="19"/>
      <c r="AA2092" s="19"/>
      <c r="AB2092" s="19"/>
      <c r="AC2092" s="19"/>
    </row>
    <row r="2093" spans="2:29" x14ac:dyDescent="0.25">
      <c r="B2093" s="19"/>
      <c r="C2093" s="19"/>
      <c r="D2093" s="19"/>
      <c r="E2093" s="19"/>
      <c r="F2093" s="19"/>
      <c r="G2093" s="19"/>
      <c r="H2093" s="19"/>
      <c r="I2093" s="19"/>
      <c r="J2093" s="19"/>
      <c r="K2093" s="19"/>
      <c r="L2093" s="19"/>
      <c r="M2093" s="19"/>
      <c r="N2093" s="19"/>
      <c r="O2093" s="19"/>
      <c r="P2093" s="19"/>
      <c r="Q2093" s="19"/>
      <c r="R2093" s="19"/>
      <c r="S2093" s="19"/>
      <c r="T2093" s="19"/>
      <c r="U2093" s="19"/>
      <c r="V2093" s="19"/>
      <c r="W2093" s="19"/>
      <c r="X2093" s="19"/>
      <c r="Y2093" s="19"/>
      <c r="Z2093" s="19"/>
      <c r="AA2093" s="19"/>
      <c r="AB2093" s="19"/>
      <c r="AC2093" s="19"/>
    </row>
    <row r="2094" spans="2:29" x14ac:dyDescent="0.25">
      <c r="B2094" s="19"/>
      <c r="C2094" s="19"/>
      <c r="D2094" s="19"/>
      <c r="E2094" s="19"/>
      <c r="F2094" s="19"/>
      <c r="G2094" s="19"/>
      <c r="H2094" s="19"/>
      <c r="I2094" s="19"/>
      <c r="J2094" s="19"/>
      <c r="K2094" s="19"/>
      <c r="L2094" s="19"/>
      <c r="M2094" s="19"/>
      <c r="N2094" s="19"/>
      <c r="O2094" s="19"/>
      <c r="P2094" s="19"/>
      <c r="Q2094" s="19"/>
      <c r="R2094" s="19"/>
      <c r="S2094" s="19"/>
      <c r="T2094" s="19"/>
      <c r="U2094" s="19"/>
      <c r="V2094" s="19"/>
      <c r="W2094" s="19"/>
      <c r="X2094" s="19"/>
      <c r="Y2094" s="19"/>
      <c r="Z2094" s="19"/>
      <c r="AA2094" s="19"/>
      <c r="AB2094" s="19"/>
      <c r="AC2094" s="19"/>
    </row>
    <row r="2095" spans="2:29" x14ac:dyDescent="0.25">
      <c r="B2095" s="19"/>
      <c r="C2095" s="19"/>
      <c r="D2095" s="19"/>
      <c r="E2095" s="19"/>
      <c r="F2095" s="19"/>
      <c r="G2095" s="19"/>
      <c r="H2095" s="19"/>
      <c r="I2095" s="19"/>
      <c r="J2095" s="19"/>
      <c r="K2095" s="19"/>
      <c r="L2095" s="19"/>
      <c r="M2095" s="19"/>
      <c r="N2095" s="19"/>
      <c r="O2095" s="19"/>
      <c r="P2095" s="19"/>
      <c r="Q2095" s="19"/>
      <c r="R2095" s="19"/>
      <c r="S2095" s="19"/>
      <c r="T2095" s="19"/>
      <c r="U2095" s="19"/>
      <c r="V2095" s="19"/>
      <c r="W2095" s="19"/>
      <c r="X2095" s="19"/>
      <c r="Y2095" s="19"/>
      <c r="Z2095" s="19"/>
      <c r="AA2095" s="19"/>
      <c r="AB2095" s="19"/>
      <c r="AC2095" s="19"/>
    </row>
    <row r="2096" spans="2:29" x14ac:dyDescent="0.25">
      <c r="B2096" s="19"/>
      <c r="C2096" s="19"/>
      <c r="D2096" s="19"/>
      <c r="E2096" s="19"/>
      <c r="F2096" s="19"/>
      <c r="G2096" s="19"/>
      <c r="H2096" s="19"/>
      <c r="I2096" s="19"/>
      <c r="J2096" s="19"/>
      <c r="K2096" s="19"/>
      <c r="L2096" s="19"/>
      <c r="M2096" s="19"/>
      <c r="N2096" s="19"/>
      <c r="O2096" s="19"/>
      <c r="P2096" s="19"/>
      <c r="Q2096" s="19"/>
      <c r="R2096" s="19"/>
      <c r="S2096" s="19"/>
      <c r="T2096" s="19"/>
      <c r="U2096" s="19"/>
      <c r="V2096" s="19"/>
      <c r="W2096" s="19"/>
      <c r="X2096" s="19"/>
      <c r="Y2096" s="19"/>
      <c r="Z2096" s="19"/>
      <c r="AA2096" s="19"/>
      <c r="AB2096" s="19"/>
      <c r="AC2096" s="19"/>
    </row>
    <row r="2097" spans="2:29" x14ac:dyDescent="0.25">
      <c r="B2097" s="19"/>
      <c r="C2097" s="19"/>
      <c r="D2097" s="19"/>
      <c r="E2097" s="19"/>
      <c r="F2097" s="19"/>
      <c r="G2097" s="19"/>
      <c r="H2097" s="19"/>
      <c r="I2097" s="19"/>
      <c r="J2097" s="19"/>
      <c r="K2097" s="19"/>
      <c r="L2097" s="19"/>
      <c r="M2097" s="19"/>
      <c r="N2097" s="19"/>
      <c r="O2097" s="19"/>
      <c r="P2097" s="19"/>
      <c r="Q2097" s="19"/>
      <c r="R2097" s="19"/>
      <c r="S2097" s="19"/>
      <c r="T2097" s="19"/>
      <c r="U2097" s="19"/>
      <c r="V2097" s="19"/>
      <c r="W2097" s="19"/>
      <c r="X2097" s="19"/>
      <c r="Y2097" s="19"/>
      <c r="Z2097" s="19"/>
      <c r="AA2097" s="19"/>
      <c r="AB2097" s="19"/>
      <c r="AC2097" s="19"/>
    </row>
    <row r="2098" spans="2:29" x14ac:dyDescent="0.25">
      <c r="B2098" s="19"/>
      <c r="C2098" s="19"/>
      <c r="D2098" s="19"/>
      <c r="E2098" s="19"/>
      <c r="F2098" s="19"/>
      <c r="G2098" s="19"/>
      <c r="H2098" s="19"/>
      <c r="I2098" s="19"/>
      <c r="J2098" s="19"/>
      <c r="K2098" s="19"/>
      <c r="L2098" s="19"/>
      <c r="M2098" s="19"/>
      <c r="N2098" s="19"/>
      <c r="O2098" s="19"/>
      <c r="P2098" s="19"/>
      <c r="Q2098" s="19"/>
      <c r="R2098" s="19"/>
      <c r="S2098" s="19"/>
      <c r="T2098" s="19"/>
      <c r="U2098" s="19"/>
      <c r="V2098" s="19"/>
      <c r="W2098" s="19"/>
      <c r="X2098" s="19"/>
      <c r="Y2098" s="19"/>
      <c r="Z2098" s="19"/>
      <c r="AA2098" s="19"/>
      <c r="AB2098" s="19"/>
      <c r="AC2098" s="19"/>
    </row>
    <row r="2099" spans="2:29" x14ac:dyDescent="0.25">
      <c r="B2099" s="19"/>
      <c r="C2099" s="19"/>
      <c r="D2099" s="19"/>
      <c r="E2099" s="19"/>
      <c r="F2099" s="19"/>
      <c r="G2099" s="19"/>
      <c r="H2099" s="19"/>
      <c r="I2099" s="19"/>
      <c r="J2099" s="19"/>
      <c r="K2099" s="19"/>
      <c r="L2099" s="19"/>
      <c r="M2099" s="19"/>
      <c r="N2099" s="19"/>
      <c r="O2099" s="19"/>
      <c r="P2099" s="19"/>
      <c r="Q2099" s="19"/>
      <c r="R2099" s="19"/>
      <c r="S2099" s="19"/>
      <c r="T2099" s="19"/>
      <c r="U2099" s="19"/>
      <c r="V2099" s="19"/>
      <c r="W2099" s="19"/>
      <c r="X2099" s="19"/>
      <c r="Y2099" s="19"/>
      <c r="Z2099" s="19"/>
      <c r="AA2099" s="19"/>
      <c r="AB2099" s="19"/>
      <c r="AC2099" s="19"/>
    </row>
    <row r="2100" spans="2:29" x14ac:dyDescent="0.25">
      <c r="B2100" s="19"/>
      <c r="C2100" s="19"/>
      <c r="D2100" s="19"/>
      <c r="E2100" s="19"/>
      <c r="F2100" s="19"/>
      <c r="G2100" s="19"/>
      <c r="H2100" s="19"/>
      <c r="I2100" s="19"/>
      <c r="J2100" s="19"/>
      <c r="K2100" s="19"/>
      <c r="L2100" s="19"/>
      <c r="M2100" s="19"/>
      <c r="N2100" s="19"/>
      <c r="O2100" s="19"/>
      <c r="P2100" s="19"/>
      <c r="Q2100" s="19"/>
      <c r="R2100" s="19"/>
      <c r="S2100" s="19"/>
      <c r="T2100" s="19"/>
      <c r="U2100" s="19"/>
      <c r="V2100" s="19"/>
      <c r="W2100" s="19"/>
      <c r="X2100" s="19"/>
      <c r="Y2100" s="19"/>
      <c r="Z2100" s="19"/>
      <c r="AA2100" s="19"/>
      <c r="AB2100" s="19"/>
      <c r="AC2100" s="19"/>
    </row>
    <row r="2101" spans="2:29" x14ac:dyDescent="0.25">
      <c r="B2101" s="19"/>
      <c r="C2101" s="19"/>
      <c r="D2101" s="19"/>
      <c r="E2101" s="19"/>
      <c r="F2101" s="19"/>
      <c r="G2101" s="19"/>
      <c r="H2101" s="19"/>
      <c r="I2101" s="19"/>
      <c r="J2101" s="19"/>
      <c r="K2101" s="19"/>
      <c r="L2101" s="19"/>
      <c r="M2101" s="19"/>
      <c r="N2101" s="19"/>
      <c r="O2101" s="19"/>
      <c r="P2101" s="19"/>
      <c r="Q2101" s="19"/>
      <c r="R2101" s="19"/>
      <c r="S2101" s="19"/>
      <c r="T2101" s="19"/>
      <c r="U2101" s="19"/>
      <c r="V2101" s="19"/>
      <c r="W2101" s="19"/>
      <c r="X2101" s="19"/>
      <c r="Y2101" s="19"/>
      <c r="Z2101" s="19"/>
      <c r="AA2101" s="19"/>
      <c r="AB2101" s="19"/>
      <c r="AC2101" s="19"/>
    </row>
    <row r="2102" spans="2:29" x14ac:dyDescent="0.25">
      <c r="B2102" s="19"/>
      <c r="C2102" s="19"/>
      <c r="D2102" s="19"/>
      <c r="E2102" s="19"/>
      <c r="F2102" s="19"/>
      <c r="G2102" s="19"/>
      <c r="H2102" s="19"/>
      <c r="I2102" s="19"/>
      <c r="J2102" s="19"/>
      <c r="K2102" s="19"/>
      <c r="L2102" s="19"/>
      <c r="M2102" s="19"/>
      <c r="N2102" s="19"/>
      <c r="O2102" s="19"/>
      <c r="P2102" s="19"/>
      <c r="Q2102" s="19"/>
      <c r="R2102" s="19"/>
      <c r="S2102" s="19"/>
      <c r="T2102" s="19"/>
      <c r="U2102" s="19"/>
      <c r="V2102" s="19"/>
      <c r="W2102" s="19"/>
      <c r="X2102" s="19"/>
      <c r="Y2102" s="19"/>
      <c r="Z2102" s="19"/>
      <c r="AA2102" s="19"/>
      <c r="AB2102" s="19"/>
      <c r="AC2102" s="19"/>
    </row>
    <row r="2103" spans="2:29" x14ac:dyDescent="0.25">
      <c r="B2103" s="19"/>
      <c r="C2103" s="19"/>
      <c r="D2103" s="19"/>
      <c r="E2103" s="19"/>
      <c r="F2103" s="19"/>
      <c r="G2103" s="19"/>
      <c r="H2103" s="19"/>
      <c r="I2103" s="19"/>
      <c r="J2103" s="19"/>
      <c r="K2103" s="19"/>
      <c r="L2103" s="19"/>
      <c r="M2103" s="19"/>
      <c r="N2103" s="19"/>
      <c r="O2103" s="19"/>
      <c r="P2103" s="19"/>
      <c r="Q2103" s="19"/>
      <c r="R2103" s="19"/>
      <c r="S2103" s="19"/>
      <c r="T2103" s="19"/>
      <c r="U2103" s="19"/>
      <c r="V2103" s="19"/>
      <c r="W2103" s="19"/>
      <c r="X2103" s="19"/>
      <c r="Y2103" s="19"/>
      <c r="Z2103" s="19"/>
      <c r="AA2103" s="19"/>
      <c r="AB2103" s="19"/>
      <c r="AC2103" s="19"/>
    </row>
    <row r="2104" spans="2:29" x14ac:dyDescent="0.25">
      <c r="B2104" s="19"/>
      <c r="C2104" s="19"/>
      <c r="D2104" s="19"/>
      <c r="E2104" s="19"/>
      <c r="F2104" s="19"/>
      <c r="G2104" s="19"/>
      <c r="H2104" s="19"/>
      <c r="I2104" s="19"/>
      <c r="J2104" s="19"/>
      <c r="K2104" s="19"/>
      <c r="L2104" s="19"/>
      <c r="M2104" s="19"/>
      <c r="N2104" s="19"/>
      <c r="O2104" s="19"/>
      <c r="P2104" s="19"/>
      <c r="Q2104" s="19"/>
      <c r="R2104" s="19"/>
      <c r="S2104" s="19"/>
      <c r="T2104" s="19"/>
      <c r="U2104" s="19"/>
      <c r="V2104" s="19"/>
      <c r="W2104" s="19"/>
      <c r="X2104" s="19"/>
      <c r="Y2104" s="19"/>
      <c r="Z2104" s="19"/>
      <c r="AA2104" s="19"/>
      <c r="AB2104" s="19"/>
      <c r="AC2104" s="19"/>
    </row>
    <row r="2105" spans="2:29" x14ac:dyDescent="0.25">
      <c r="B2105" s="19"/>
      <c r="C2105" s="19"/>
      <c r="D2105" s="19"/>
      <c r="E2105" s="19"/>
      <c r="F2105" s="19"/>
      <c r="G2105" s="19"/>
      <c r="H2105" s="19"/>
      <c r="I2105" s="19"/>
      <c r="J2105" s="19"/>
      <c r="K2105" s="19"/>
      <c r="L2105" s="19"/>
      <c r="M2105" s="19"/>
      <c r="N2105" s="19"/>
      <c r="O2105" s="19"/>
      <c r="P2105" s="19"/>
      <c r="Q2105" s="19"/>
      <c r="R2105" s="19"/>
      <c r="S2105" s="19"/>
      <c r="T2105" s="19"/>
      <c r="U2105" s="19"/>
      <c r="V2105" s="19"/>
      <c r="W2105" s="19"/>
      <c r="X2105" s="19"/>
      <c r="Y2105" s="19"/>
      <c r="Z2105" s="19"/>
      <c r="AA2105" s="19"/>
      <c r="AB2105" s="19"/>
      <c r="AC2105" s="19"/>
    </row>
    <row r="2106" spans="2:29" x14ac:dyDescent="0.25">
      <c r="B2106" s="19"/>
      <c r="C2106" s="19"/>
      <c r="D2106" s="19"/>
      <c r="E2106" s="19"/>
      <c r="F2106" s="19"/>
      <c r="G2106" s="19"/>
      <c r="H2106" s="19"/>
      <c r="I2106" s="19"/>
      <c r="J2106" s="19"/>
      <c r="K2106" s="19"/>
      <c r="L2106" s="19"/>
      <c r="M2106" s="19"/>
      <c r="N2106" s="19"/>
      <c r="O2106" s="19"/>
      <c r="P2106" s="19"/>
      <c r="Q2106" s="19"/>
      <c r="R2106" s="19"/>
      <c r="S2106" s="19"/>
      <c r="T2106" s="19"/>
      <c r="U2106" s="19"/>
      <c r="V2106" s="19"/>
      <c r="W2106" s="19"/>
      <c r="X2106" s="19"/>
      <c r="Y2106" s="19"/>
      <c r="Z2106" s="19"/>
      <c r="AA2106" s="19"/>
      <c r="AB2106" s="19"/>
      <c r="AC2106" s="19"/>
    </row>
    <row r="2107" spans="2:29" x14ac:dyDescent="0.25">
      <c r="B2107" s="19"/>
      <c r="C2107" s="19"/>
      <c r="D2107" s="19"/>
      <c r="E2107" s="19"/>
      <c r="F2107" s="19"/>
      <c r="G2107" s="19"/>
      <c r="H2107" s="19"/>
      <c r="I2107" s="19"/>
      <c r="J2107" s="19"/>
      <c r="K2107" s="19"/>
      <c r="L2107" s="19"/>
      <c r="M2107" s="19"/>
      <c r="N2107" s="19"/>
      <c r="O2107" s="19"/>
      <c r="P2107" s="19"/>
      <c r="Q2107" s="19"/>
      <c r="R2107" s="19"/>
      <c r="S2107" s="19"/>
      <c r="T2107" s="19"/>
      <c r="U2107" s="19"/>
      <c r="V2107" s="19"/>
      <c r="W2107" s="19"/>
      <c r="X2107" s="19"/>
      <c r="Y2107" s="19"/>
      <c r="Z2107" s="19"/>
      <c r="AA2107" s="19"/>
      <c r="AB2107" s="19"/>
      <c r="AC2107" s="19"/>
    </row>
    <row r="2108" spans="2:29" x14ac:dyDescent="0.25">
      <c r="B2108" s="19"/>
      <c r="C2108" s="19"/>
      <c r="D2108" s="19"/>
      <c r="E2108" s="19"/>
      <c r="F2108" s="19"/>
      <c r="G2108" s="19"/>
      <c r="H2108" s="19"/>
      <c r="I2108" s="19"/>
      <c r="J2108" s="19"/>
      <c r="K2108" s="19"/>
      <c r="L2108" s="19"/>
      <c r="M2108" s="19"/>
      <c r="N2108" s="19"/>
      <c r="O2108" s="19"/>
      <c r="P2108" s="19"/>
      <c r="Q2108" s="19"/>
      <c r="R2108" s="19"/>
      <c r="S2108" s="19"/>
      <c r="T2108" s="19"/>
      <c r="U2108" s="19"/>
      <c r="V2108" s="19"/>
      <c r="W2108" s="19"/>
      <c r="X2108" s="19"/>
      <c r="Y2108" s="19"/>
      <c r="Z2108" s="19"/>
      <c r="AA2108" s="19"/>
      <c r="AB2108" s="19"/>
      <c r="AC2108" s="19"/>
    </row>
    <row r="2109" spans="2:29" x14ac:dyDescent="0.25">
      <c r="B2109" s="19"/>
      <c r="C2109" s="19"/>
      <c r="D2109" s="19"/>
      <c r="E2109" s="19"/>
      <c r="F2109" s="19"/>
      <c r="G2109" s="19"/>
      <c r="H2109" s="19"/>
      <c r="I2109" s="19"/>
      <c r="J2109" s="19"/>
      <c r="K2109" s="19"/>
      <c r="L2109" s="19"/>
      <c r="M2109" s="19"/>
      <c r="N2109" s="19"/>
      <c r="O2109" s="19"/>
      <c r="P2109" s="19"/>
      <c r="Q2109" s="19"/>
      <c r="R2109" s="19"/>
      <c r="S2109" s="19"/>
      <c r="T2109" s="19"/>
      <c r="U2109" s="19"/>
      <c r="V2109" s="19"/>
      <c r="W2109" s="19"/>
      <c r="X2109" s="19"/>
      <c r="Y2109" s="19"/>
      <c r="Z2109" s="19"/>
      <c r="AA2109" s="19"/>
      <c r="AB2109" s="19"/>
      <c r="AC2109" s="19"/>
    </row>
    <row r="2110" spans="2:29" x14ac:dyDescent="0.25">
      <c r="B2110" s="19"/>
      <c r="C2110" s="19"/>
      <c r="D2110" s="19"/>
      <c r="E2110" s="19"/>
      <c r="F2110" s="19"/>
      <c r="G2110" s="19"/>
      <c r="H2110" s="19"/>
      <c r="I2110" s="19"/>
      <c r="J2110" s="19"/>
      <c r="K2110" s="19"/>
      <c r="L2110" s="19"/>
      <c r="M2110" s="19"/>
      <c r="N2110" s="19"/>
      <c r="O2110" s="19"/>
      <c r="P2110" s="19"/>
      <c r="Q2110" s="19"/>
      <c r="R2110" s="19"/>
      <c r="S2110" s="19"/>
      <c r="T2110" s="19"/>
      <c r="U2110" s="19"/>
      <c r="V2110" s="19"/>
      <c r="W2110" s="19"/>
      <c r="X2110" s="19"/>
      <c r="Y2110" s="19"/>
      <c r="Z2110" s="19"/>
      <c r="AA2110" s="19"/>
      <c r="AB2110" s="19"/>
      <c r="AC2110" s="19"/>
    </row>
    <row r="2111" spans="2:29" x14ac:dyDescent="0.25">
      <c r="B2111" s="19"/>
      <c r="C2111" s="19"/>
      <c r="D2111" s="19"/>
      <c r="E2111" s="19"/>
      <c r="F2111" s="19"/>
      <c r="G2111" s="19"/>
      <c r="H2111" s="19"/>
      <c r="I2111" s="19"/>
      <c r="J2111" s="19"/>
      <c r="K2111" s="19"/>
      <c r="L2111" s="19"/>
      <c r="M2111" s="19"/>
      <c r="N2111" s="19"/>
      <c r="O2111" s="19"/>
      <c r="P2111" s="19"/>
      <c r="Q2111" s="19"/>
      <c r="R2111" s="19"/>
      <c r="S2111" s="19"/>
      <c r="T2111" s="19"/>
      <c r="U2111" s="19"/>
      <c r="V2111" s="19"/>
      <c r="W2111" s="19"/>
      <c r="X2111" s="19"/>
      <c r="Y2111" s="19"/>
      <c r="Z2111" s="19"/>
      <c r="AA2111" s="19"/>
      <c r="AB2111" s="19"/>
      <c r="AC2111" s="19"/>
    </row>
    <row r="2112" spans="2:29" x14ac:dyDescent="0.25">
      <c r="B2112" s="19"/>
      <c r="C2112" s="19"/>
      <c r="D2112" s="19"/>
      <c r="E2112" s="19"/>
      <c r="F2112" s="19"/>
      <c r="G2112" s="19"/>
      <c r="H2112" s="19"/>
      <c r="I2112" s="19"/>
      <c r="J2112" s="19"/>
      <c r="K2112" s="19"/>
      <c r="L2112" s="19"/>
      <c r="M2112" s="19"/>
      <c r="N2112" s="19"/>
      <c r="O2112" s="19"/>
      <c r="P2112" s="19"/>
      <c r="Q2112" s="19"/>
      <c r="R2112" s="19"/>
      <c r="S2112" s="19"/>
      <c r="T2112" s="19"/>
      <c r="U2112" s="19"/>
      <c r="V2112" s="19"/>
      <c r="W2112" s="19"/>
      <c r="X2112" s="19"/>
      <c r="Y2112" s="19"/>
      <c r="Z2112" s="19"/>
      <c r="AA2112" s="19"/>
      <c r="AB2112" s="19"/>
      <c r="AC2112" s="19"/>
    </row>
    <row r="2113" spans="2:29" x14ac:dyDescent="0.25">
      <c r="B2113" s="19"/>
      <c r="C2113" s="19"/>
      <c r="D2113" s="19"/>
      <c r="E2113" s="19"/>
      <c r="F2113" s="19"/>
      <c r="G2113" s="19"/>
      <c r="H2113" s="19"/>
      <c r="I2113" s="19"/>
      <c r="J2113" s="19"/>
      <c r="K2113" s="19"/>
      <c r="L2113" s="19"/>
      <c r="M2113" s="19"/>
      <c r="N2113" s="19"/>
      <c r="O2113" s="19"/>
      <c r="P2113" s="19"/>
      <c r="Q2113" s="19"/>
      <c r="R2113" s="19"/>
      <c r="S2113" s="19"/>
      <c r="T2113" s="19"/>
      <c r="U2113" s="19"/>
      <c r="V2113" s="19"/>
      <c r="W2113" s="19"/>
      <c r="X2113" s="19"/>
      <c r="Y2113" s="19"/>
      <c r="Z2113" s="19"/>
      <c r="AA2113" s="19"/>
      <c r="AB2113" s="19"/>
      <c r="AC2113" s="19"/>
    </row>
    <row r="2114" spans="2:29" x14ac:dyDescent="0.25">
      <c r="B2114" s="19"/>
      <c r="C2114" s="19"/>
      <c r="D2114" s="19"/>
      <c r="E2114" s="19"/>
      <c r="F2114" s="19"/>
      <c r="G2114" s="19"/>
      <c r="H2114" s="19"/>
      <c r="I2114" s="19"/>
      <c r="J2114" s="19"/>
      <c r="K2114" s="19"/>
      <c r="L2114" s="19"/>
      <c r="M2114" s="19"/>
      <c r="N2114" s="19"/>
      <c r="O2114" s="19"/>
      <c r="P2114" s="19"/>
      <c r="Q2114" s="19"/>
      <c r="R2114" s="19"/>
      <c r="S2114" s="19"/>
      <c r="T2114" s="19"/>
      <c r="U2114" s="19"/>
      <c r="V2114" s="19"/>
      <c r="W2114" s="19"/>
      <c r="X2114" s="19"/>
      <c r="Y2114" s="19"/>
      <c r="Z2114" s="19"/>
      <c r="AA2114" s="19"/>
      <c r="AB2114" s="19"/>
      <c r="AC2114" s="19"/>
    </row>
    <row r="2115" spans="2:29" x14ac:dyDescent="0.25">
      <c r="B2115" s="19"/>
      <c r="C2115" s="19"/>
      <c r="D2115" s="19"/>
      <c r="E2115" s="19"/>
      <c r="F2115" s="19"/>
      <c r="G2115" s="19"/>
      <c r="H2115" s="19"/>
      <c r="I2115" s="19"/>
      <c r="J2115" s="19"/>
      <c r="K2115" s="19"/>
      <c r="L2115" s="19"/>
      <c r="M2115" s="19"/>
      <c r="N2115" s="19"/>
      <c r="O2115" s="19"/>
      <c r="P2115" s="19"/>
      <c r="Q2115" s="19"/>
      <c r="R2115" s="19"/>
      <c r="S2115" s="19"/>
      <c r="T2115" s="19"/>
      <c r="U2115" s="19"/>
      <c r="V2115" s="19"/>
      <c r="W2115" s="19"/>
      <c r="X2115" s="19"/>
      <c r="Y2115" s="19"/>
      <c r="Z2115" s="19"/>
      <c r="AA2115" s="19"/>
      <c r="AB2115" s="19"/>
      <c r="AC2115" s="19"/>
    </row>
    <row r="2116" spans="2:29" x14ac:dyDescent="0.25">
      <c r="B2116" s="19"/>
      <c r="C2116" s="19"/>
      <c r="D2116" s="19"/>
      <c r="E2116" s="19"/>
      <c r="F2116" s="19"/>
      <c r="G2116" s="19"/>
      <c r="H2116" s="19"/>
      <c r="I2116" s="19"/>
      <c r="J2116" s="19"/>
      <c r="K2116" s="19"/>
      <c r="L2116" s="19"/>
      <c r="M2116" s="19"/>
      <c r="N2116" s="19"/>
      <c r="O2116" s="19"/>
      <c r="P2116" s="19"/>
      <c r="Q2116" s="19"/>
      <c r="R2116" s="19"/>
      <c r="S2116" s="19"/>
      <c r="T2116" s="19"/>
      <c r="U2116" s="19"/>
      <c r="V2116" s="19"/>
      <c r="W2116" s="19"/>
      <c r="X2116" s="19"/>
      <c r="Y2116" s="19"/>
      <c r="Z2116" s="19"/>
      <c r="AA2116" s="19"/>
      <c r="AB2116" s="19"/>
      <c r="AC2116" s="19"/>
    </row>
    <row r="2117" spans="2:29" x14ac:dyDescent="0.25">
      <c r="B2117" s="19"/>
      <c r="C2117" s="19"/>
      <c r="D2117" s="19"/>
      <c r="E2117" s="19"/>
      <c r="F2117" s="19"/>
      <c r="G2117" s="19"/>
      <c r="H2117" s="19"/>
      <c r="I2117" s="19"/>
      <c r="J2117" s="19"/>
      <c r="K2117" s="19"/>
      <c r="L2117" s="19"/>
      <c r="M2117" s="19"/>
      <c r="N2117" s="19"/>
      <c r="O2117" s="19"/>
      <c r="P2117" s="19"/>
      <c r="Q2117" s="19"/>
      <c r="R2117" s="19"/>
      <c r="S2117" s="19"/>
      <c r="T2117" s="19"/>
      <c r="U2117" s="19"/>
      <c r="V2117" s="19"/>
      <c r="W2117" s="19"/>
      <c r="X2117" s="19"/>
      <c r="Y2117" s="19"/>
      <c r="Z2117" s="19"/>
      <c r="AA2117" s="19"/>
      <c r="AB2117" s="19"/>
      <c r="AC2117" s="19"/>
    </row>
    <row r="2118" spans="2:29" x14ac:dyDescent="0.25">
      <c r="B2118" s="19"/>
      <c r="C2118" s="19"/>
      <c r="D2118" s="19"/>
      <c r="E2118" s="19"/>
      <c r="F2118" s="19"/>
      <c r="G2118" s="19"/>
      <c r="H2118" s="19"/>
      <c r="I2118" s="19"/>
      <c r="J2118" s="19"/>
      <c r="K2118" s="19"/>
      <c r="L2118" s="19"/>
      <c r="M2118" s="19"/>
      <c r="N2118" s="19"/>
      <c r="O2118" s="19"/>
      <c r="P2118" s="19"/>
      <c r="Q2118" s="19"/>
      <c r="R2118" s="19"/>
      <c r="S2118" s="19"/>
      <c r="T2118" s="19"/>
      <c r="U2118" s="19"/>
      <c r="V2118" s="19"/>
      <c r="W2118" s="19"/>
      <c r="X2118" s="19"/>
      <c r="Y2118" s="19"/>
      <c r="Z2118" s="19"/>
      <c r="AA2118" s="19"/>
      <c r="AB2118" s="19"/>
      <c r="AC2118" s="19"/>
    </row>
    <row r="2119" spans="2:29" x14ac:dyDescent="0.25">
      <c r="B2119" s="19"/>
      <c r="C2119" s="19"/>
      <c r="D2119" s="19"/>
      <c r="E2119" s="19"/>
      <c r="F2119" s="19"/>
      <c r="G2119" s="19"/>
      <c r="H2119" s="19"/>
      <c r="I2119" s="19"/>
      <c r="J2119" s="19"/>
      <c r="K2119" s="19"/>
      <c r="L2119" s="19"/>
      <c r="M2119" s="19"/>
      <c r="N2119" s="19"/>
      <c r="O2119" s="19"/>
      <c r="P2119" s="19"/>
      <c r="Q2119" s="19"/>
      <c r="R2119" s="19"/>
      <c r="S2119" s="19"/>
      <c r="T2119" s="19"/>
      <c r="U2119" s="19"/>
      <c r="V2119" s="19"/>
      <c r="W2119" s="19"/>
      <c r="X2119" s="19"/>
      <c r="Y2119" s="19"/>
      <c r="Z2119" s="19"/>
      <c r="AA2119" s="19"/>
      <c r="AB2119" s="19"/>
      <c r="AC2119" s="19"/>
    </row>
    <row r="2120" spans="2:29" x14ac:dyDescent="0.25">
      <c r="B2120" s="19"/>
      <c r="C2120" s="19"/>
      <c r="D2120" s="19"/>
      <c r="E2120" s="19"/>
      <c r="F2120" s="19"/>
      <c r="G2120" s="19"/>
      <c r="H2120" s="19"/>
      <c r="I2120" s="19"/>
      <c r="J2120" s="19"/>
      <c r="K2120" s="19"/>
      <c r="L2120" s="19"/>
      <c r="M2120" s="19"/>
      <c r="N2120" s="19"/>
      <c r="O2120" s="19"/>
      <c r="P2120" s="19"/>
      <c r="Q2120" s="19"/>
      <c r="R2120" s="19"/>
      <c r="S2120" s="19"/>
      <c r="T2120" s="19"/>
      <c r="U2120" s="19"/>
      <c r="V2120" s="19"/>
      <c r="W2120" s="19"/>
      <c r="X2120" s="19"/>
      <c r="Y2120" s="19"/>
      <c r="Z2120" s="19"/>
      <c r="AA2120" s="19"/>
      <c r="AB2120" s="19"/>
      <c r="AC2120" s="19"/>
    </row>
    <row r="2121" spans="2:29" x14ac:dyDescent="0.25">
      <c r="B2121" s="19"/>
      <c r="C2121" s="19"/>
      <c r="D2121" s="19"/>
      <c r="E2121" s="19"/>
      <c r="F2121" s="19"/>
      <c r="G2121" s="19"/>
      <c r="H2121" s="19"/>
      <c r="I2121" s="19"/>
      <c r="J2121" s="19"/>
      <c r="K2121" s="19"/>
      <c r="L2121" s="19"/>
      <c r="M2121" s="19"/>
      <c r="N2121" s="19"/>
      <c r="O2121" s="19"/>
      <c r="P2121" s="19"/>
      <c r="Q2121" s="19"/>
      <c r="R2121" s="19"/>
      <c r="S2121" s="19"/>
      <c r="T2121" s="19"/>
      <c r="U2121" s="19"/>
      <c r="V2121" s="19"/>
      <c r="W2121" s="19"/>
      <c r="X2121" s="19"/>
      <c r="Y2121" s="19"/>
      <c r="Z2121" s="19"/>
      <c r="AA2121" s="19"/>
      <c r="AB2121" s="19"/>
      <c r="AC2121" s="19"/>
    </row>
    <row r="2122" spans="2:29" x14ac:dyDescent="0.25">
      <c r="B2122" s="19"/>
      <c r="C2122" s="19"/>
      <c r="D2122" s="19"/>
      <c r="E2122" s="19"/>
      <c r="F2122" s="19"/>
      <c r="G2122" s="19"/>
      <c r="H2122" s="19"/>
      <c r="I2122" s="19"/>
      <c r="J2122" s="19"/>
      <c r="K2122" s="19"/>
      <c r="L2122" s="19"/>
      <c r="M2122" s="19"/>
      <c r="N2122" s="19"/>
      <c r="O2122" s="19"/>
      <c r="P2122" s="19"/>
      <c r="Q2122" s="19"/>
      <c r="R2122" s="19"/>
      <c r="S2122" s="19"/>
      <c r="T2122" s="19"/>
      <c r="U2122" s="19"/>
      <c r="V2122" s="19"/>
      <c r="W2122" s="19"/>
      <c r="X2122" s="19"/>
      <c r="Y2122" s="19"/>
      <c r="Z2122" s="19"/>
      <c r="AA2122" s="19"/>
      <c r="AB2122" s="19"/>
      <c r="AC2122" s="19"/>
    </row>
    <row r="2123" spans="2:29" x14ac:dyDescent="0.25">
      <c r="B2123" s="19"/>
      <c r="C2123" s="19"/>
      <c r="D2123" s="19"/>
      <c r="E2123" s="19"/>
      <c r="F2123" s="19"/>
      <c r="G2123" s="19"/>
      <c r="H2123" s="19"/>
      <c r="I2123" s="19"/>
      <c r="J2123" s="19"/>
      <c r="K2123" s="19"/>
      <c r="L2123" s="19"/>
      <c r="M2123" s="19"/>
      <c r="N2123" s="19"/>
      <c r="O2123" s="19"/>
      <c r="P2123" s="19"/>
      <c r="Q2123" s="19"/>
      <c r="R2123" s="19"/>
      <c r="S2123" s="19"/>
      <c r="T2123" s="19"/>
      <c r="U2123" s="19"/>
      <c r="V2123" s="19"/>
      <c r="W2123" s="19"/>
      <c r="X2123" s="19"/>
      <c r="Y2123" s="19"/>
      <c r="Z2123" s="19"/>
      <c r="AA2123" s="19"/>
      <c r="AB2123" s="19"/>
      <c r="AC2123" s="19"/>
    </row>
    <row r="2124" spans="2:29" x14ac:dyDescent="0.25">
      <c r="B2124" s="19"/>
      <c r="C2124" s="19"/>
      <c r="D2124" s="19"/>
      <c r="E2124" s="19"/>
      <c r="F2124" s="19"/>
      <c r="G2124" s="19"/>
      <c r="H2124" s="19"/>
      <c r="I2124" s="19"/>
      <c r="J2124" s="19"/>
      <c r="K2124" s="19"/>
      <c r="L2124" s="19"/>
      <c r="M2124" s="19"/>
      <c r="N2124" s="19"/>
      <c r="O2124" s="19"/>
      <c r="P2124" s="19"/>
      <c r="Q2124" s="19"/>
      <c r="R2124" s="19"/>
      <c r="S2124" s="19"/>
      <c r="T2124" s="19"/>
      <c r="U2124" s="19"/>
      <c r="V2124" s="19"/>
      <c r="W2124" s="19"/>
      <c r="X2124" s="19"/>
      <c r="Y2124" s="19"/>
      <c r="Z2124" s="19"/>
      <c r="AA2124" s="19"/>
      <c r="AB2124" s="19"/>
      <c r="AC2124" s="19"/>
    </row>
    <row r="2125" spans="2:29" x14ac:dyDescent="0.25">
      <c r="B2125" s="19"/>
      <c r="C2125" s="19"/>
      <c r="D2125" s="19"/>
      <c r="E2125" s="19"/>
      <c r="F2125" s="19"/>
      <c r="G2125" s="19"/>
      <c r="H2125" s="19"/>
      <c r="I2125" s="19"/>
      <c r="J2125" s="19"/>
      <c r="K2125" s="19"/>
      <c r="L2125" s="19"/>
      <c r="M2125" s="19"/>
      <c r="N2125" s="19"/>
      <c r="O2125" s="19"/>
      <c r="P2125" s="19"/>
      <c r="Q2125" s="19"/>
      <c r="R2125" s="19"/>
      <c r="S2125" s="19"/>
      <c r="T2125" s="19"/>
      <c r="U2125" s="19"/>
      <c r="V2125" s="19"/>
      <c r="W2125" s="19"/>
      <c r="X2125" s="19"/>
      <c r="Y2125" s="19"/>
      <c r="Z2125" s="19"/>
      <c r="AA2125" s="19"/>
      <c r="AB2125" s="19"/>
      <c r="AC2125" s="19"/>
    </row>
    <row r="2126" spans="2:29" x14ac:dyDescent="0.25">
      <c r="B2126" s="19"/>
      <c r="C2126" s="19"/>
      <c r="D2126" s="19"/>
      <c r="E2126" s="19"/>
      <c r="F2126" s="19"/>
      <c r="G2126" s="19"/>
      <c r="H2126" s="19"/>
      <c r="I2126" s="19"/>
      <c r="J2126" s="19"/>
      <c r="K2126" s="19"/>
      <c r="L2126" s="19"/>
      <c r="M2126" s="19"/>
      <c r="N2126" s="19"/>
      <c r="O2126" s="19"/>
      <c r="P2126" s="19"/>
      <c r="Q2126" s="19"/>
      <c r="R2126" s="19"/>
      <c r="S2126" s="19"/>
      <c r="T2126" s="19"/>
      <c r="U2126" s="19"/>
      <c r="V2126" s="19"/>
      <c r="W2126" s="19"/>
      <c r="X2126" s="19"/>
      <c r="Y2126" s="19"/>
      <c r="Z2126" s="19"/>
      <c r="AA2126" s="19"/>
      <c r="AB2126" s="19"/>
      <c r="AC2126" s="19"/>
    </row>
    <row r="2127" spans="2:29" x14ac:dyDescent="0.25">
      <c r="B2127" s="19"/>
      <c r="C2127" s="19"/>
      <c r="D2127" s="19"/>
      <c r="E2127" s="19"/>
      <c r="F2127" s="19"/>
      <c r="G2127" s="19"/>
      <c r="H2127" s="19"/>
      <c r="I2127" s="19"/>
      <c r="J2127" s="19"/>
      <c r="K2127" s="19"/>
      <c r="L2127" s="19"/>
      <c r="M2127" s="19"/>
      <c r="N2127" s="19"/>
      <c r="O2127" s="19"/>
      <c r="P2127" s="19"/>
      <c r="Q2127" s="19"/>
      <c r="R2127" s="19"/>
      <c r="S2127" s="19"/>
      <c r="T2127" s="19"/>
      <c r="U2127" s="19"/>
      <c r="V2127" s="19"/>
      <c r="W2127" s="19"/>
      <c r="X2127" s="19"/>
      <c r="Y2127" s="19"/>
      <c r="Z2127" s="19"/>
      <c r="AA2127" s="19"/>
      <c r="AB2127" s="19"/>
      <c r="AC2127" s="19"/>
    </row>
    <row r="2128" spans="2:29" x14ac:dyDescent="0.25">
      <c r="B2128" s="19"/>
      <c r="C2128" s="19"/>
      <c r="D2128" s="19"/>
      <c r="E2128" s="19"/>
      <c r="F2128" s="19"/>
      <c r="G2128" s="19"/>
      <c r="H2128" s="19"/>
      <c r="I2128" s="19"/>
      <c r="J2128" s="19"/>
      <c r="K2128" s="19"/>
      <c r="L2128" s="19"/>
      <c r="M2128" s="19"/>
      <c r="N2128" s="19"/>
      <c r="O2128" s="19"/>
      <c r="P2128" s="19"/>
      <c r="Q2128" s="19"/>
      <c r="R2128" s="19"/>
      <c r="S2128" s="19"/>
      <c r="T2128" s="19"/>
      <c r="U2128" s="19"/>
      <c r="V2128" s="19"/>
      <c r="W2128" s="19"/>
      <c r="X2128" s="19"/>
      <c r="Y2128" s="19"/>
      <c r="Z2128" s="19"/>
      <c r="AA2128" s="19"/>
      <c r="AB2128" s="19"/>
      <c r="AC2128" s="19"/>
    </row>
    <row r="2129" spans="2:29" x14ac:dyDescent="0.25">
      <c r="B2129" s="19"/>
      <c r="C2129" s="19"/>
      <c r="D2129" s="19"/>
      <c r="E2129" s="19"/>
      <c r="F2129" s="19"/>
      <c r="G2129" s="19"/>
      <c r="H2129" s="19"/>
      <c r="I2129" s="19"/>
      <c r="J2129" s="19"/>
      <c r="K2129" s="19"/>
      <c r="L2129" s="19"/>
      <c r="M2129" s="19"/>
      <c r="N2129" s="19"/>
      <c r="O2129" s="19"/>
      <c r="P2129" s="19"/>
      <c r="Q2129" s="19"/>
      <c r="R2129" s="19"/>
      <c r="S2129" s="19"/>
      <c r="T2129" s="19"/>
      <c r="U2129" s="19"/>
      <c r="V2129" s="19"/>
      <c r="W2129" s="19"/>
      <c r="X2129" s="19"/>
      <c r="Y2129" s="19"/>
      <c r="Z2129" s="19"/>
      <c r="AA2129" s="19"/>
      <c r="AB2129" s="19"/>
      <c r="AC2129" s="19"/>
    </row>
    <row r="2130" spans="2:29" x14ac:dyDescent="0.25">
      <c r="B2130" s="19"/>
      <c r="C2130" s="19"/>
      <c r="D2130" s="19"/>
      <c r="E2130" s="19"/>
      <c r="F2130" s="19"/>
      <c r="G2130" s="19"/>
      <c r="H2130" s="19"/>
      <c r="I2130" s="19"/>
      <c r="J2130" s="19"/>
      <c r="K2130" s="19"/>
      <c r="L2130" s="19"/>
      <c r="M2130" s="19"/>
      <c r="N2130" s="19"/>
      <c r="O2130" s="19"/>
      <c r="P2130" s="19"/>
      <c r="Q2130" s="19"/>
      <c r="R2130" s="19"/>
      <c r="S2130" s="19"/>
      <c r="T2130" s="19"/>
      <c r="U2130" s="19"/>
      <c r="V2130" s="19"/>
      <c r="W2130" s="19"/>
      <c r="X2130" s="19"/>
      <c r="Y2130" s="19"/>
      <c r="Z2130" s="19"/>
      <c r="AA2130" s="19"/>
      <c r="AB2130" s="19"/>
      <c r="AC2130" s="19"/>
    </row>
    <row r="2131" spans="2:29" x14ac:dyDescent="0.25">
      <c r="B2131" s="19"/>
      <c r="C2131" s="19"/>
      <c r="D2131" s="19"/>
      <c r="E2131" s="19"/>
      <c r="F2131" s="19"/>
      <c r="G2131" s="19"/>
      <c r="H2131" s="19"/>
      <c r="I2131" s="19"/>
      <c r="J2131" s="19"/>
      <c r="K2131" s="19"/>
      <c r="L2131" s="19"/>
      <c r="M2131" s="19"/>
      <c r="N2131" s="19"/>
      <c r="O2131" s="19"/>
      <c r="P2131" s="19"/>
      <c r="Q2131" s="19"/>
      <c r="R2131" s="19"/>
      <c r="S2131" s="19"/>
      <c r="T2131" s="19"/>
      <c r="U2131" s="19"/>
      <c r="V2131" s="19"/>
      <c r="W2131" s="19"/>
      <c r="X2131" s="19"/>
      <c r="Y2131" s="19"/>
      <c r="Z2131" s="19"/>
      <c r="AA2131" s="19"/>
      <c r="AB2131" s="19"/>
      <c r="AC2131" s="19"/>
    </row>
    <row r="2132" spans="2:29" x14ac:dyDescent="0.25">
      <c r="B2132" s="19"/>
      <c r="C2132" s="19"/>
      <c r="D2132" s="19"/>
      <c r="E2132" s="19"/>
      <c r="F2132" s="19"/>
      <c r="G2132" s="19"/>
      <c r="H2132" s="19"/>
      <c r="I2132" s="19"/>
      <c r="J2132" s="19"/>
      <c r="K2132" s="19"/>
      <c r="L2132" s="19"/>
      <c r="M2132" s="19"/>
      <c r="N2132" s="19"/>
      <c r="O2132" s="19"/>
      <c r="P2132" s="19"/>
      <c r="Q2132" s="19"/>
      <c r="R2132" s="19"/>
      <c r="S2132" s="19"/>
      <c r="T2132" s="19"/>
      <c r="U2132" s="19"/>
      <c r="V2132" s="19"/>
      <c r="W2132" s="19"/>
      <c r="X2132" s="19"/>
      <c r="Y2132" s="19"/>
      <c r="Z2132" s="19"/>
      <c r="AA2132" s="19"/>
      <c r="AB2132" s="19"/>
      <c r="AC2132" s="19"/>
    </row>
    <row r="2133" spans="2:29" x14ac:dyDescent="0.25">
      <c r="B2133" s="19"/>
      <c r="C2133" s="19"/>
      <c r="D2133" s="19"/>
      <c r="E2133" s="19"/>
      <c r="F2133" s="19"/>
      <c r="G2133" s="19"/>
      <c r="H2133" s="19"/>
      <c r="I2133" s="19"/>
      <c r="J2133" s="19"/>
      <c r="K2133" s="19"/>
      <c r="L2133" s="19"/>
      <c r="M2133" s="19"/>
      <c r="N2133" s="19"/>
      <c r="O2133" s="19"/>
      <c r="P2133" s="19"/>
      <c r="Q2133" s="19"/>
      <c r="R2133" s="19"/>
      <c r="S2133" s="19"/>
      <c r="T2133" s="19"/>
      <c r="U2133" s="19"/>
      <c r="V2133" s="19"/>
      <c r="W2133" s="19"/>
      <c r="X2133" s="19"/>
      <c r="Y2133" s="19"/>
      <c r="Z2133" s="19"/>
      <c r="AA2133" s="19"/>
      <c r="AB2133" s="19"/>
      <c r="AC2133" s="19"/>
    </row>
    <row r="2134" spans="2:29" x14ac:dyDescent="0.25">
      <c r="B2134" s="19"/>
      <c r="C2134" s="19"/>
      <c r="D2134" s="19"/>
      <c r="E2134" s="19"/>
      <c r="F2134" s="19"/>
      <c r="G2134" s="19"/>
      <c r="H2134" s="19"/>
      <c r="I2134" s="19"/>
      <c r="J2134" s="19"/>
      <c r="K2134" s="19"/>
      <c r="L2134" s="19"/>
      <c r="M2134" s="19"/>
      <c r="N2134" s="19"/>
      <c r="O2134" s="19"/>
      <c r="P2134" s="19"/>
      <c r="Q2134" s="19"/>
      <c r="R2134" s="19"/>
      <c r="S2134" s="19"/>
      <c r="T2134" s="19"/>
      <c r="U2134" s="19"/>
      <c r="V2134" s="19"/>
      <c r="W2134" s="19"/>
      <c r="X2134" s="19"/>
      <c r="Y2134" s="19"/>
      <c r="Z2134" s="19"/>
      <c r="AA2134" s="19"/>
      <c r="AB2134" s="19"/>
      <c r="AC2134" s="19"/>
    </row>
    <row r="2135" spans="2:29" x14ac:dyDescent="0.25">
      <c r="B2135" s="19"/>
      <c r="C2135" s="19"/>
      <c r="D2135" s="19"/>
      <c r="E2135" s="19"/>
      <c r="F2135" s="19"/>
      <c r="G2135" s="19"/>
      <c r="H2135" s="19"/>
      <c r="I2135" s="19"/>
      <c r="J2135" s="19"/>
      <c r="K2135" s="19"/>
      <c r="L2135" s="19"/>
      <c r="M2135" s="19"/>
      <c r="N2135" s="19"/>
      <c r="O2135" s="19"/>
      <c r="P2135" s="19"/>
      <c r="Q2135" s="19"/>
      <c r="R2135" s="19"/>
      <c r="S2135" s="19"/>
      <c r="T2135" s="19"/>
      <c r="U2135" s="19"/>
      <c r="V2135" s="19"/>
      <c r="W2135" s="19"/>
      <c r="X2135" s="19"/>
      <c r="Y2135" s="19"/>
      <c r="Z2135" s="19"/>
      <c r="AA2135" s="19"/>
      <c r="AB2135" s="19"/>
      <c r="AC2135" s="19"/>
    </row>
    <row r="2136" spans="2:29" x14ac:dyDescent="0.25">
      <c r="B2136" s="19"/>
      <c r="C2136" s="19"/>
      <c r="D2136" s="19"/>
      <c r="E2136" s="19"/>
      <c r="F2136" s="19"/>
      <c r="G2136" s="19"/>
      <c r="H2136" s="19"/>
      <c r="I2136" s="19"/>
      <c r="J2136" s="19"/>
      <c r="K2136" s="19"/>
      <c r="L2136" s="19"/>
      <c r="M2136" s="19"/>
      <c r="N2136" s="19"/>
      <c r="O2136" s="19"/>
      <c r="P2136" s="19"/>
      <c r="Q2136" s="19"/>
      <c r="R2136" s="19"/>
      <c r="S2136" s="19"/>
      <c r="T2136" s="19"/>
      <c r="U2136" s="19"/>
      <c r="V2136" s="19"/>
      <c r="W2136" s="19"/>
      <c r="X2136" s="19"/>
      <c r="Y2136" s="19"/>
      <c r="Z2136" s="19"/>
      <c r="AA2136" s="19"/>
      <c r="AB2136" s="19"/>
      <c r="AC2136" s="19"/>
    </row>
    <row r="2137" spans="2:29" x14ac:dyDescent="0.25">
      <c r="B2137" s="19"/>
      <c r="C2137" s="19"/>
      <c r="D2137" s="19"/>
      <c r="E2137" s="19"/>
      <c r="F2137" s="19"/>
      <c r="G2137" s="19"/>
      <c r="H2137" s="19"/>
      <c r="I2137" s="19"/>
      <c r="J2137" s="19"/>
      <c r="K2137" s="19"/>
      <c r="L2137" s="19"/>
      <c r="M2137" s="19"/>
      <c r="N2137" s="19"/>
      <c r="O2137" s="19"/>
      <c r="P2137" s="19"/>
      <c r="Q2137" s="19"/>
      <c r="R2137" s="19"/>
      <c r="S2137" s="19"/>
      <c r="T2137" s="19"/>
      <c r="U2137" s="19"/>
      <c r="V2137" s="19"/>
      <c r="W2137" s="19"/>
      <c r="X2137" s="19"/>
      <c r="Y2137" s="19"/>
      <c r="Z2137" s="19"/>
      <c r="AA2137" s="19"/>
      <c r="AB2137" s="19"/>
      <c r="AC2137" s="19"/>
    </row>
    <row r="2138" spans="2:29" x14ac:dyDescent="0.25">
      <c r="B2138" s="19"/>
      <c r="C2138" s="19"/>
      <c r="D2138" s="19"/>
      <c r="E2138" s="19"/>
      <c r="F2138" s="19"/>
      <c r="G2138" s="19"/>
      <c r="H2138" s="19"/>
      <c r="I2138" s="19"/>
      <c r="J2138" s="19"/>
      <c r="K2138" s="19"/>
      <c r="L2138" s="19"/>
      <c r="M2138" s="19"/>
      <c r="N2138" s="19"/>
      <c r="O2138" s="19"/>
      <c r="P2138" s="19"/>
      <c r="Q2138" s="19"/>
      <c r="R2138" s="19"/>
      <c r="S2138" s="19"/>
      <c r="T2138" s="19"/>
      <c r="U2138" s="19"/>
      <c r="V2138" s="19"/>
      <c r="W2138" s="19"/>
      <c r="X2138" s="19"/>
      <c r="Y2138" s="19"/>
      <c r="Z2138" s="19"/>
      <c r="AA2138" s="19"/>
      <c r="AB2138" s="19"/>
      <c r="AC2138" s="19"/>
    </row>
    <row r="2139" spans="2:29" x14ac:dyDescent="0.25">
      <c r="B2139" s="19"/>
      <c r="C2139" s="19"/>
      <c r="D2139" s="19"/>
      <c r="E2139" s="19"/>
      <c r="F2139" s="19"/>
      <c r="G2139" s="19"/>
      <c r="H2139" s="19"/>
      <c r="I2139" s="19"/>
      <c r="J2139" s="19"/>
      <c r="K2139" s="19"/>
      <c r="L2139" s="19"/>
      <c r="M2139" s="19"/>
      <c r="N2139" s="19"/>
      <c r="O2139" s="19"/>
      <c r="P2139" s="19"/>
      <c r="Q2139" s="19"/>
      <c r="R2139" s="19"/>
      <c r="S2139" s="19"/>
      <c r="T2139" s="19"/>
      <c r="U2139" s="19"/>
      <c r="V2139" s="19"/>
      <c r="W2139" s="19"/>
      <c r="X2139" s="19"/>
      <c r="Y2139" s="19"/>
      <c r="Z2139" s="19"/>
      <c r="AA2139" s="19"/>
      <c r="AB2139" s="19"/>
      <c r="AC2139" s="19"/>
    </row>
    <row r="2140" spans="2:29" x14ac:dyDescent="0.25">
      <c r="B2140" s="19"/>
      <c r="C2140" s="19"/>
      <c r="D2140" s="19"/>
      <c r="E2140" s="19"/>
      <c r="F2140" s="19"/>
      <c r="G2140" s="19"/>
      <c r="H2140" s="19"/>
      <c r="I2140" s="19"/>
      <c r="J2140" s="19"/>
      <c r="K2140" s="19"/>
      <c r="L2140" s="19"/>
      <c r="M2140" s="19"/>
      <c r="N2140" s="19"/>
      <c r="O2140" s="19"/>
      <c r="P2140" s="19"/>
      <c r="Q2140" s="19"/>
      <c r="R2140" s="19"/>
      <c r="S2140" s="19"/>
      <c r="T2140" s="19"/>
      <c r="U2140" s="19"/>
      <c r="V2140" s="19"/>
      <c r="W2140" s="19"/>
      <c r="X2140" s="19"/>
      <c r="Y2140" s="19"/>
      <c r="Z2140" s="19"/>
      <c r="AA2140" s="19"/>
      <c r="AB2140" s="19"/>
      <c r="AC2140" s="19"/>
    </row>
    <row r="2141" spans="2:29" x14ac:dyDescent="0.25">
      <c r="B2141" s="19"/>
      <c r="C2141" s="19"/>
      <c r="D2141" s="19"/>
      <c r="E2141" s="19"/>
      <c r="F2141" s="19"/>
      <c r="G2141" s="19"/>
      <c r="H2141" s="19"/>
      <c r="I2141" s="19"/>
      <c r="J2141" s="19"/>
      <c r="K2141" s="19"/>
      <c r="L2141" s="19"/>
      <c r="M2141" s="19"/>
      <c r="N2141" s="19"/>
      <c r="O2141" s="19"/>
      <c r="P2141" s="19"/>
      <c r="Q2141" s="19"/>
      <c r="R2141" s="19"/>
      <c r="S2141" s="19"/>
      <c r="T2141" s="19"/>
      <c r="U2141" s="19"/>
      <c r="V2141" s="19"/>
      <c r="W2141" s="19"/>
      <c r="X2141" s="19"/>
      <c r="Y2141" s="19"/>
      <c r="Z2141" s="19"/>
      <c r="AA2141" s="19"/>
      <c r="AB2141" s="19"/>
      <c r="AC2141" s="19"/>
    </row>
    <row r="2142" spans="2:29" x14ac:dyDescent="0.25">
      <c r="B2142" s="19"/>
      <c r="C2142" s="19"/>
      <c r="D2142" s="19"/>
      <c r="E2142" s="19"/>
      <c r="F2142" s="19"/>
      <c r="G2142" s="19"/>
      <c r="H2142" s="19"/>
      <c r="I2142" s="19"/>
      <c r="J2142" s="19"/>
      <c r="K2142" s="19"/>
      <c r="L2142" s="19"/>
      <c r="M2142" s="19"/>
      <c r="N2142" s="19"/>
      <c r="O2142" s="19"/>
      <c r="P2142" s="19"/>
      <c r="Q2142" s="19"/>
      <c r="R2142" s="19"/>
      <c r="S2142" s="19"/>
      <c r="T2142" s="19"/>
      <c r="U2142" s="19"/>
      <c r="V2142" s="19"/>
      <c r="W2142" s="19"/>
      <c r="X2142" s="19"/>
      <c r="Y2142" s="19"/>
      <c r="Z2142" s="19"/>
      <c r="AA2142" s="19"/>
      <c r="AB2142" s="19"/>
      <c r="AC2142" s="19"/>
    </row>
    <row r="2143" spans="2:29" x14ac:dyDescent="0.25">
      <c r="B2143" s="19"/>
      <c r="C2143" s="19"/>
      <c r="D2143" s="19"/>
      <c r="E2143" s="19"/>
      <c r="F2143" s="19"/>
      <c r="G2143" s="19"/>
      <c r="H2143" s="19"/>
      <c r="I2143" s="19"/>
      <c r="J2143" s="19"/>
      <c r="K2143" s="19"/>
      <c r="L2143" s="19"/>
      <c r="M2143" s="19"/>
      <c r="N2143" s="19"/>
      <c r="O2143" s="19"/>
      <c r="P2143" s="19"/>
      <c r="Q2143" s="19"/>
      <c r="R2143" s="19"/>
      <c r="S2143" s="19"/>
      <c r="T2143" s="19"/>
      <c r="U2143" s="19"/>
      <c r="V2143" s="19"/>
      <c r="W2143" s="19"/>
      <c r="X2143" s="19"/>
      <c r="Y2143" s="19"/>
      <c r="Z2143" s="19"/>
      <c r="AA2143" s="19"/>
      <c r="AB2143" s="19"/>
      <c r="AC2143" s="19"/>
    </row>
    <row r="2144" spans="2:29" x14ac:dyDescent="0.25">
      <c r="B2144" s="19"/>
      <c r="C2144" s="19"/>
      <c r="D2144" s="19"/>
      <c r="E2144" s="19"/>
      <c r="F2144" s="19"/>
      <c r="G2144" s="19"/>
      <c r="H2144" s="19"/>
      <c r="I2144" s="19"/>
      <c r="J2144" s="19"/>
      <c r="K2144" s="19"/>
      <c r="L2144" s="19"/>
      <c r="M2144" s="19"/>
      <c r="N2144" s="19"/>
      <c r="O2144" s="19"/>
      <c r="P2144" s="19"/>
      <c r="Q2144" s="19"/>
      <c r="R2144" s="19"/>
      <c r="S2144" s="19"/>
      <c r="T2144" s="19"/>
      <c r="U2144" s="19"/>
      <c r="V2144" s="19"/>
      <c r="W2144" s="19"/>
      <c r="X2144" s="19"/>
      <c r="Y2144" s="19"/>
      <c r="Z2144" s="19"/>
      <c r="AA2144" s="19"/>
      <c r="AB2144" s="19"/>
      <c r="AC2144" s="19"/>
    </row>
    <row r="2145" spans="2:29" x14ac:dyDescent="0.25">
      <c r="B2145" s="19"/>
      <c r="C2145" s="19"/>
      <c r="D2145" s="19"/>
      <c r="E2145" s="19"/>
      <c r="F2145" s="19"/>
      <c r="G2145" s="19"/>
      <c r="H2145" s="19"/>
      <c r="I2145" s="19"/>
      <c r="J2145" s="19"/>
      <c r="K2145" s="19"/>
      <c r="L2145" s="19"/>
      <c r="M2145" s="19"/>
      <c r="N2145" s="19"/>
      <c r="O2145" s="19"/>
      <c r="P2145" s="19"/>
      <c r="Q2145" s="19"/>
      <c r="R2145" s="19"/>
      <c r="S2145" s="19"/>
      <c r="T2145" s="19"/>
      <c r="U2145" s="19"/>
      <c r="V2145" s="19"/>
      <c r="W2145" s="19"/>
      <c r="X2145" s="19"/>
      <c r="Y2145" s="19"/>
      <c r="Z2145" s="19"/>
      <c r="AA2145" s="19"/>
      <c r="AB2145" s="19"/>
      <c r="AC2145" s="19"/>
    </row>
    <row r="2146" spans="2:29" x14ac:dyDescent="0.25">
      <c r="B2146" s="19"/>
      <c r="C2146" s="19"/>
      <c r="D2146" s="19"/>
      <c r="E2146" s="19"/>
      <c r="F2146" s="19"/>
      <c r="G2146" s="19"/>
      <c r="H2146" s="19"/>
      <c r="I2146" s="19"/>
      <c r="J2146" s="19"/>
      <c r="K2146" s="19"/>
      <c r="L2146" s="19"/>
      <c r="M2146" s="19"/>
      <c r="N2146" s="19"/>
      <c r="O2146" s="19"/>
      <c r="P2146" s="19"/>
      <c r="Q2146" s="19"/>
      <c r="R2146" s="19"/>
      <c r="S2146" s="19"/>
      <c r="T2146" s="19"/>
      <c r="U2146" s="19"/>
      <c r="V2146" s="19"/>
      <c r="W2146" s="19"/>
      <c r="X2146" s="19"/>
      <c r="Y2146" s="19"/>
      <c r="Z2146" s="19"/>
      <c r="AA2146" s="19"/>
      <c r="AB2146" s="19"/>
      <c r="AC2146" s="19"/>
    </row>
    <row r="2147" spans="2:29" x14ac:dyDescent="0.25">
      <c r="B2147" s="19"/>
      <c r="C2147" s="19"/>
      <c r="D2147" s="19"/>
      <c r="E2147" s="19"/>
      <c r="F2147" s="19"/>
      <c r="G2147" s="19"/>
      <c r="H2147" s="19"/>
      <c r="I2147" s="19"/>
      <c r="J2147" s="19"/>
      <c r="K2147" s="19"/>
      <c r="L2147" s="19"/>
      <c r="M2147" s="19"/>
      <c r="N2147" s="19"/>
      <c r="O2147" s="19"/>
      <c r="P2147" s="19"/>
      <c r="Q2147" s="19"/>
      <c r="R2147" s="19"/>
      <c r="S2147" s="19"/>
      <c r="T2147" s="19"/>
      <c r="U2147" s="19"/>
      <c r="V2147" s="19"/>
      <c r="W2147" s="19"/>
      <c r="X2147" s="19"/>
      <c r="Y2147" s="19"/>
      <c r="Z2147" s="19"/>
      <c r="AA2147" s="19"/>
      <c r="AB2147" s="19"/>
      <c r="AC2147" s="19"/>
    </row>
    <row r="2148" spans="2:29" x14ac:dyDescent="0.25">
      <c r="B2148" s="19"/>
      <c r="C2148" s="19"/>
      <c r="D2148" s="19"/>
      <c r="E2148" s="19"/>
      <c r="F2148" s="19"/>
      <c r="G2148" s="19"/>
      <c r="H2148" s="19"/>
      <c r="I2148" s="19"/>
      <c r="J2148" s="19"/>
      <c r="K2148" s="19"/>
      <c r="L2148" s="19"/>
      <c r="M2148" s="19"/>
      <c r="N2148" s="19"/>
      <c r="O2148" s="19"/>
      <c r="P2148" s="19"/>
      <c r="Q2148" s="19"/>
      <c r="R2148" s="19"/>
      <c r="S2148" s="19"/>
      <c r="T2148" s="19"/>
      <c r="U2148" s="19"/>
      <c r="V2148" s="19"/>
      <c r="W2148" s="19"/>
      <c r="X2148" s="19"/>
      <c r="Y2148" s="19"/>
      <c r="Z2148" s="19"/>
      <c r="AA2148" s="19"/>
      <c r="AB2148" s="19"/>
      <c r="AC2148" s="19"/>
    </row>
    <row r="2149" spans="2:29" x14ac:dyDescent="0.25">
      <c r="B2149" s="19"/>
      <c r="C2149" s="19"/>
      <c r="D2149" s="19"/>
      <c r="E2149" s="19"/>
      <c r="F2149" s="19"/>
      <c r="G2149" s="19"/>
      <c r="H2149" s="19"/>
      <c r="I2149" s="19"/>
      <c r="J2149" s="19"/>
      <c r="K2149" s="19"/>
      <c r="L2149" s="19"/>
      <c r="M2149" s="19"/>
      <c r="N2149" s="19"/>
      <c r="O2149" s="19"/>
      <c r="P2149" s="19"/>
      <c r="Q2149" s="19"/>
      <c r="R2149" s="19"/>
      <c r="S2149" s="19"/>
      <c r="T2149" s="19"/>
      <c r="U2149" s="19"/>
      <c r="V2149" s="19"/>
      <c r="W2149" s="19"/>
      <c r="X2149" s="19"/>
      <c r="Y2149" s="19"/>
      <c r="Z2149" s="19"/>
      <c r="AA2149" s="19"/>
      <c r="AB2149" s="19"/>
      <c r="AC2149" s="19"/>
    </row>
    <row r="2150" spans="2:29" x14ac:dyDescent="0.25">
      <c r="B2150" s="19"/>
      <c r="C2150" s="19"/>
      <c r="D2150" s="19"/>
      <c r="E2150" s="19"/>
      <c r="F2150" s="19"/>
      <c r="G2150" s="19"/>
      <c r="H2150" s="19"/>
      <c r="I2150" s="19"/>
      <c r="J2150" s="19"/>
      <c r="K2150" s="19"/>
      <c r="L2150" s="19"/>
      <c r="M2150" s="19"/>
      <c r="N2150" s="19"/>
      <c r="O2150" s="19"/>
      <c r="P2150" s="19"/>
      <c r="Q2150" s="19"/>
      <c r="R2150" s="19"/>
      <c r="S2150" s="19"/>
      <c r="T2150" s="19"/>
      <c r="U2150" s="19"/>
      <c r="V2150" s="19"/>
      <c r="W2150" s="19"/>
      <c r="X2150" s="19"/>
      <c r="Y2150" s="19"/>
      <c r="Z2150" s="19"/>
      <c r="AA2150" s="19"/>
      <c r="AB2150" s="19"/>
      <c r="AC2150" s="19"/>
    </row>
    <row r="2151" spans="2:29" x14ac:dyDescent="0.25">
      <c r="B2151" s="19"/>
      <c r="C2151" s="19"/>
      <c r="D2151" s="19"/>
      <c r="E2151" s="19"/>
      <c r="F2151" s="19"/>
      <c r="G2151" s="19"/>
      <c r="H2151" s="19"/>
      <c r="I2151" s="19"/>
      <c r="J2151" s="19"/>
      <c r="K2151" s="19"/>
      <c r="L2151" s="19"/>
      <c r="M2151" s="19"/>
      <c r="N2151" s="19"/>
      <c r="O2151" s="19"/>
      <c r="P2151" s="19"/>
      <c r="Q2151" s="19"/>
      <c r="R2151" s="19"/>
      <c r="S2151" s="19"/>
      <c r="T2151" s="19"/>
      <c r="U2151" s="19"/>
      <c r="V2151" s="19"/>
      <c r="W2151" s="19"/>
      <c r="X2151" s="19"/>
      <c r="Y2151" s="19"/>
      <c r="Z2151" s="19"/>
      <c r="AA2151" s="19"/>
      <c r="AB2151" s="19"/>
      <c r="AC2151" s="19"/>
    </row>
    <row r="2152" spans="2:29" x14ac:dyDescent="0.25">
      <c r="B2152" s="19"/>
      <c r="C2152" s="19"/>
      <c r="D2152" s="19"/>
      <c r="E2152" s="19"/>
      <c r="F2152" s="19"/>
      <c r="G2152" s="19"/>
      <c r="H2152" s="19"/>
      <c r="I2152" s="19"/>
      <c r="J2152" s="19"/>
      <c r="K2152" s="19"/>
      <c r="L2152" s="19"/>
      <c r="M2152" s="19"/>
      <c r="N2152" s="19"/>
      <c r="O2152" s="19"/>
      <c r="P2152" s="19"/>
      <c r="Q2152" s="19"/>
      <c r="R2152" s="19"/>
      <c r="S2152" s="19"/>
      <c r="T2152" s="19"/>
      <c r="U2152" s="19"/>
      <c r="V2152" s="19"/>
      <c r="W2152" s="19"/>
      <c r="X2152" s="19"/>
      <c r="Y2152" s="19"/>
      <c r="Z2152" s="19"/>
      <c r="AA2152" s="19"/>
      <c r="AB2152" s="19"/>
      <c r="AC2152" s="19"/>
    </row>
    <row r="2153" spans="2:29" x14ac:dyDescent="0.25">
      <c r="B2153" s="19"/>
      <c r="C2153" s="19"/>
      <c r="D2153" s="19"/>
      <c r="E2153" s="19"/>
      <c r="F2153" s="19"/>
      <c r="G2153" s="19"/>
      <c r="H2153" s="19"/>
      <c r="I2153" s="19"/>
      <c r="J2153" s="19"/>
      <c r="K2153" s="19"/>
      <c r="L2153" s="19"/>
      <c r="M2153" s="19"/>
      <c r="N2153" s="19"/>
      <c r="O2153" s="19"/>
      <c r="P2153" s="19"/>
      <c r="Q2153" s="19"/>
      <c r="R2153" s="19"/>
      <c r="S2153" s="19"/>
      <c r="T2153" s="19"/>
      <c r="U2153" s="19"/>
      <c r="V2153" s="19"/>
      <c r="W2153" s="19"/>
      <c r="X2153" s="19"/>
      <c r="Y2153" s="19"/>
      <c r="Z2153" s="19"/>
      <c r="AA2153" s="19"/>
      <c r="AB2153" s="19"/>
      <c r="AC2153" s="19"/>
    </row>
    <row r="2154" spans="2:29" x14ac:dyDescent="0.25">
      <c r="B2154" s="19"/>
      <c r="C2154" s="19"/>
      <c r="D2154" s="19"/>
      <c r="E2154" s="19"/>
      <c r="F2154" s="19"/>
      <c r="G2154" s="19"/>
      <c r="H2154" s="19"/>
      <c r="I2154" s="19"/>
      <c r="J2154" s="19"/>
      <c r="K2154" s="19"/>
      <c r="L2154" s="19"/>
      <c r="M2154" s="19"/>
      <c r="N2154" s="19"/>
      <c r="O2154" s="19"/>
      <c r="P2154" s="19"/>
      <c r="Q2154" s="19"/>
      <c r="R2154" s="19"/>
      <c r="S2154" s="19"/>
      <c r="T2154" s="19"/>
      <c r="U2154" s="19"/>
      <c r="V2154" s="19"/>
      <c r="W2154" s="19"/>
      <c r="X2154" s="19"/>
      <c r="Y2154" s="19"/>
      <c r="Z2154" s="19"/>
      <c r="AA2154" s="19"/>
      <c r="AB2154" s="19"/>
      <c r="AC2154" s="19"/>
    </row>
    <row r="2155" spans="2:29" x14ac:dyDescent="0.25">
      <c r="B2155" s="19"/>
      <c r="C2155" s="19"/>
      <c r="D2155" s="19"/>
      <c r="E2155" s="19"/>
      <c r="F2155" s="19"/>
      <c r="G2155" s="19"/>
      <c r="H2155" s="19"/>
      <c r="I2155" s="19"/>
      <c r="J2155" s="19"/>
      <c r="K2155" s="19"/>
      <c r="L2155" s="19"/>
      <c r="M2155" s="19"/>
      <c r="N2155" s="19"/>
      <c r="O2155" s="19"/>
      <c r="P2155" s="19"/>
      <c r="Q2155" s="19"/>
      <c r="R2155" s="19"/>
      <c r="S2155" s="19"/>
      <c r="T2155" s="19"/>
      <c r="U2155" s="19"/>
      <c r="V2155" s="19"/>
      <c r="W2155" s="19"/>
      <c r="X2155" s="19"/>
      <c r="Y2155" s="19"/>
      <c r="Z2155" s="19"/>
      <c r="AA2155" s="19"/>
      <c r="AB2155" s="19"/>
      <c r="AC2155" s="19"/>
    </row>
    <row r="2156" spans="2:29" x14ac:dyDescent="0.25">
      <c r="B2156" s="19"/>
      <c r="C2156" s="19"/>
      <c r="D2156" s="19"/>
      <c r="E2156" s="19"/>
      <c r="F2156" s="19"/>
      <c r="G2156" s="19"/>
      <c r="H2156" s="19"/>
      <c r="I2156" s="19"/>
      <c r="J2156" s="19"/>
      <c r="K2156" s="19"/>
      <c r="L2156" s="19"/>
      <c r="M2156" s="19"/>
      <c r="N2156" s="19"/>
      <c r="O2156" s="19"/>
      <c r="P2156" s="19"/>
      <c r="Q2156" s="19"/>
      <c r="R2156" s="19"/>
      <c r="S2156" s="19"/>
      <c r="T2156" s="19"/>
      <c r="U2156" s="19"/>
      <c r="V2156" s="19"/>
      <c r="W2156" s="19"/>
      <c r="X2156" s="19"/>
      <c r="Y2156" s="19"/>
      <c r="Z2156" s="19"/>
      <c r="AA2156" s="19"/>
      <c r="AB2156" s="19"/>
      <c r="AC2156" s="19"/>
    </row>
    <row r="2157" spans="2:29" x14ac:dyDescent="0.25">
      <c r="B2157" s="19"/>
      <c r="C2157" s="19"/>
      <c r="D2157" s="19"/>
      <c r="E2157" s="19"/>
      <c r="F2157" s="19"/>
      <c r="G2157" s="19"/>
      <c r="H2157" s="19"/>
      <c r="I2157" s="19"/>
      <c r="J2157" s="19"/>
      <c r="K2157" s="19"/>
      <c r="L2157" s="19"/>
      <c r="M2157" s="19"/>
      <c r="N2157" s="19"/>
      <c r="O2157" s="19"/>
      <c r="P2157" s="19"/>
      <c r="Q2157" s="19"/>
      <c r="R2157" s="19"/>
      <c r="S2157" s="19"/>
      <c r="T2157" s="19"/>
      <c r="U2157" s="19"/>
      <c r="V2157" s="19"/>
      <c r="W2157" s="19"/>
      <c r="X2157" s="19"/>
      <c r="Y2157" s="19"/>
      <c r="Z2157" s="19"/>
      <c r="AA2157" s="19"/>
      <c r="AB2157" s="19"/>
      <c r="AC2157" s="19"/>
    </row>
    <row r="2158" spans="2:29" x14ac:dyDescent="0.25">
      <c r="B2158" s="19"/>
      <c r="C2158" s="19"/>
      <c r="D2158" s="19"/>
      <c r="E2158" s="19"/>
      <c r="F2158" s="19"/>
      <c r="G2158" s="19"/>
      <c r="H2158" s="19"/>
      <c r="I2158" s="19"/>
      <c r="J2158" s="19"/>
      <c r="K2158" s="19"/>
      <c r="L2158" s="19"/>
      <c r="M2158" s="19"/>
      <c r="N2158" s="19"/>
      <c r="O2158" s="19"/>
      <c r="P2158" s="19"/>
      <c r="Q2158" s="19"/>
      <c r="R2158" s="19"/>
      <c r="S2158" s="19"/>
      <c r="T2158" s="19"/>
      <c r="U2158" s="19"/>
      <c r="V2158" s="19"/>
      <c r="W2158" s="19"/>
      <c r="X2158" s="19"/>
      <c r="Y2158" s="19"/>
      <c r="Z2158" s="19"/>
      <c r="AA2158" s="19"/>
      <c r="AB2158" s="19"/>
      <c r="AC2158" s="19"/>
    </row>
    <row r="2159" spans="2:29" x14ac:dyDescent="0.25">
      <c r="B2159" s="19"/>
      <c r="C2159" s="19"/>
      <c r="D2159" s="19"/>
      <c r="E2159" s="19"/>
      <c r="F2159" s="19"/>
      <c r="G2159" s="19"/>
      <c r="H2159" s="19"/>
      <c r="I2159" s="19"/>
      <c r="J2159" s="19"/>
      <c r="K2159" s="19"/>
      <c r="L2159" s="19"/>
      <c r="M2159" s="19"/>
      <c r="N2159" s="19"/>
      <c r="O2159" s="19"/>
      <c r="P2159" s="19"/>
      <c r="Q2159" s="19"/>
      <c r="R2159" s="19"/>
      <c r="S2159" s="19"/>
      <c r="T2159" s="19"/>
      <c r="U2159" s="19"/>
      <c r="V2159" s="19"/>
      <c r="W2159" s="19"/>
      <c r="X2159" s="19"/>
      <c r="Y2159" s="19"/>
      <c r="Z2159" s="19"/>
      <c r="AA2159" s="19"/>
      <c r="AB2159" s="19"/>
      <c r="AC2159" s="19"/>
    </row>
    <row r="2160" spans="2:29" x14ac:dyDescent="0.25">
      <c r="B2160" s="19"/>
      <c r="C2160" s="19"/>
      <c r="D2160" s="19"/>
      <c r="E2160" s="19"/>
      <c r="F2160" s="19"/>
      <c r="G2160" s="19"/>
      <c r="H2160" s="19"/>
      <c r="I2160" s="19"/>
      <c r="J2160" s="19"/>
      <c r="K2160" s="19"/>
      <c r="L2160" s="19"/>
      <c r="M2160" s="19"/>
      <c r="N2160" s="19"/>
      <c r="O2160" s="19"/>
      <c r="P2160" s="19"/>
      <c r="Q2160" s="19"/>
      <c r="R2160" s="19"/>
      <c r="S2160" s="19"/>
      <c r="T2160" s="19"/>
      <c r="U2160" s="19"/>
      <c r="V2160" s="19"/>
      <c r="W2160" s="19"/>
      <c r="X2160" s="19"/>
      <c r="Y2160" s="19"/>
      <c r="Z2160" s="19"/>
      <c r="AA2160" s="19"/>
      <c r="AB2160" s="19"/>
      <c r="AC2160" s="19"/>
    </row>
    <row r="2161" spans="2:29" x14ac:dyDescent="0.25">
      <c r="B2161" s="19"/>
      <c r="C2161" s="19"/>
      <c r="D2161" s="19"/>
      <c r="E2161" s="19"/>
      <c r="F2161" s="19"/>
      <c r="G2161" s="19"/>
      <c r="H2161" s="19"/>
      <c r="I2161" s="19"/>
      <c r="J2161" s="19"/>
      <c r="K2161" s="19"/>
      <c r="L2161" s="19"/>
      <c r="M2161" s="19"/>
      <c r="N2161" s="19"/>
      <c r="O2161" s="19"/>
      <c r="P2161" s="19"/>
      <c r="Q2161" s="19"/>
      <c r="R2161" s="19"/>
      <c r="S2161" s="19"/>
      <c r="T2161" s="19"/>
      <c r="U2161" s="19"/>
      <c r="V2161" s="19"/>
      <c r="W2161" s="19"/>
      <c r="X2161" s="19"/>
      <c r="Y2161" s="19"/>
      <c r="Z2161" s="19"/>
      <c r="AA2161" s="19"/>
      <c r="AB2161" s="19"/>
      <c r="AC2161" s="19"/>
    </row>
    <row r="2162" spans="2:29" x14ac:dyDescent="0.25">
      <c r="B2162" s="19"/>
      <c r="C2162" s="19"/>
      <c r="D2162" s="19"/>
      <c r="E2162" s="19"/>
      <c r="F2162" s="19"/>
      <c r="G2162" s="19"/>
      <c r="H2162" s="19"/>
      <c r="I2162" s="19"/>
      <c r="J2162" s="19"/>
      <c r="K2162" s="19"/>
      <c r="L2162" s="19"/>
      <c r="M2162" s="19"/>
      <c r="N2162" s="19"/>
      <c r="O2162" s="19"/>
      <c r="P2162" s="19"/>
      <c r="Q2162" s="19"/>
      <c r="R2162" s="19"/>
      <c r="S2162" s="19"/>
      <c r="T2162" s="19"/>
      <c r="U2162" s="19"/>
      <c r="V2162" s="19"/>
      <c r="W2162" s="19"/>
      <c r="X2162" s="19"/>
      <c r="Y2162" s="19"/>
      <c r="Z2162" s="19"/>
      <c r="AA2162" s="19"/>
      <c r="AB2162" s="19"/>
      <c r="AC2162" s="19"/>
    </row>
    <row r="2163" spans="2:29" x14ac:dyDescent="0.25">
      <c r="B2163" s="19"/>
      <c r="C2163" s="19"/>
      <c r="D2163" s="19"/>
      <c r="E2163" s="19"/>
      <c r="F2163" s="19"/>
      <c r="G2163" s="19"/>
      <c r="H2163" s="19"/>
      <c r="I2163" s="19"/>
      <c r="J2163" s="19"/>
      <c r="K2163" s="19"/>
      <c r="L2163" s="19"/>
      <c r="M2163" s="19"/>
      <c r="N2163" s="19"/>
      <c r="O2163" s="19"/>
      <c r="P2163" s="19"/>
      <c r="Q2163" s="19"/>
      <c r="R2163" s="19"/>
      <c r="S2163" s="19"/>
      <c r="T2163" s="19"/>
      <c r="U2163" s="19"/>
      <c r="V2163" s="19"/>
      <c r="W2163" s="19"/>
      <c r="X2163" s="19"/>
      <c r="Y2163" s="19"/>
      <c r="Z2163" s="19"/>
      <c r="AA2163" s="19"/>
      <c r="AB2163" s="19"/>
      <c r="AC2163" s="19"/>
    </row>
    <row r="2164" spans="2:29" x14ac:dyDescent="0.25">
      <c r="B2164" s="19"/>
      <c r="C2164" s="19"/>
      <c r="D2164" s="19"/>
      <c r="E2164" s="19"/>
      <c r="F2164" s="19"/>
      <c r="G2164" s="19"/>
      <c r="H2164" s="19"/>
      <c r="I2164" s="19"/>
      <c r="J2164" s="19"/>
      <c r="K2164" s="19"/>
      <c r="L2164" s="19"/>
      <c r="M2164" s="19"/>
      <c r="N2164" s="19"/>
      <c r="O2164" s="19"/>
      <c r="P2164" s="19"/>
      <c r="Q2164" s="19"/>
      <c r="R2164" s="19"/>
      <c r="S2164" s="19"/>
      <c r="T2164" s="19"/>
      <c r="U2164" s="19"/>
      <c r="V2164" s="19"/>
      <c r="W2164" s="19"/>
      <c r="X2164" s="19"/>
      <c r="Y2164" s="19"/>
      <c r="Z2164" s="19"/>
      <c r="AA2164" s="19"/>
      <c r="AB2164" s="19"/>
      <c r="AC2164" s="19"/>
    </row>
    <row r="2165" spans="2:29" x14ac:dyDescent="0.25">
      <c r="B2165" s="19"/>
      <c r="C2165" s="19"/>
      <c r="D2165" s="19"/>
      <c r="E2165" s="19"/>
      <c r="F2165" s="19"/>
      <c r="G2165" s="19"/>
      <c r="H2165" s="19"/>
      <c r="I2165" s="19"/>
      <c r="J2165" s="19"/>
      <c r="K2165" s="19"/>
      <c r="L2165" s="19"/>
      <c r="M2165" s="19"/>
      <c r="N2165" s="19"/>
      <c r="O2165" s="19"/>
      <c r="P2165" s="19"/>
      <c r="Q2165" s="19"/>
      <c r="R2165" s="19"/>
      <c r="S2165" s="19"/>
      <c r="T2165" s="19"/>
      <c r="U2165" s="19"/>
      <c r="V2165" s="19"/>
      <c r="W2165" s="19"/>
      <c r="X2165" s="19"/>
      <c r="Y2165" s="19"/>
      <c r="Z2165" s="19"/>
      <c r="AA2165" s="19"/>
      <c r="AB2165" s="19"/>
      <c r="AC2165" s="19"/>
    </row>
    <row r="2166" spans="2:29" x14ac:dyDescent="0.25">
      <c r="B2166" s="19"/>
      <c r="C2166" s="19"/>
      <c r="D2166" s="19"/>
      <c r="E2166" s="19"/>
      <c r="F2166" s="19"/>
      <c r="G2166" s="19"/>
      <c r="H2166" s="19"/>
      <c r="I2166" s="19"/>
      <c r="J2166" s="19"/>
      <c r="K2166" s="19"/>
      <c r="L2166" s="19"/>
      <c r="M2166" s="19"/>
      <c r="N2166" s="19"/>
      <c r="O2166" s="19"/>
      <c r="P2166" s="19"/>
      <c r="Q2166" s="19"/>
      <c r="R2166" s="19"/>
      <c r="S2166" s="19"/>
      <c r="T2166" s="19"/>
      <c r="U2166" s="19"/>
      <c r="V2166" s="19"/>
      <c r="W2166" s="19"/>
      <c r="X2166" s="19"/>
      <c r="Y2166" s="19"/>
      <c r="Z2166" s="19"/>
      <c r="AA2166" s="19"/>
      <c r="AB2166" s="19"/>
      <c r="AC2166" s="19"/>
    </row>
    <row r="2167" spans="2:29" x14ac:dyDescent="0.25">
      <c r="B2167" s="19"/>
      <c r="C2167" s="19"/>
      <c r="D2167" s="19"/>
      <c r="E2167" s="19"/>
      <c r="F2167" s="19"/>
      <c r="G2167" s="19"/>
      <c r="H2167" s="19"/>
      <c r="I2167" s="19"/>
      <c r="J2167" s="19"/>
      <c r="K2167" s="19"/>
      <c r="L2167" s="19"/>
      <c r="M2167" s="19"/>
      <c r="N2167" s="19"/>
      <c r="O2167" s="19"/>
      <c r="P2167" s="19"/>
      <c r="Q2167" s="19"/>
      <c r="R2167" s="19"/>
      <c r="S2167" s="19"/>
      <c r="T2167" s="19"/>
      <c r="U2167" s="19"/>
      <c r="V2167" s="19"/>
      <c r="W2167" s="19"/>
      <c r="X2167" s="19"/>
      <c r="Y2167" s="19"/>
      <c r="Z2167" s="19"/>
      <c r="AA2167" s="19"/>
      <c r="AB2167" s="19"/>
      <c r="AC2167" s="19"/>
    </row>
    <row r="2168" spans="2:29" x14ac:dyDescent="0.25">
      <c r="B2168" s="19"/>
      <c r="C2168" s="19"/>
      <c r="D2168" s="19"/>
      <c r="E2168" s="19"/>
      <c r="F2168" s="19"/>
      <c r="G2168" s="19"/>
      <c r="H2168" s="19"/>
      <c r="I2168" s="19"/>
      <c r="J2168" s="19"/>
      <c r="K2168" s="19"/>
      <c r="L2168" s="19"/>
      <c r="M2168" s="19"/>
      <c r="N2168" s="19"/>
      <c r="O2168" s="19"/>
      <c r="P2168" s="19"/>
      <c r="Q2168" s="19"/>
      <c r="R2168" s="19"/>
      <c r="S2168" s="19"/>
      <c r="T2168" s="19"/>
      <c r="U2168" s="19"/>
      <c r="V2168" s="19"/>
      <c r="W2168" s="19"/>
      <c r="X2168" s="19"/>
      <c r="Y2168" s="19"/>
      <c r="Z2168" s="19"/>
      <c r="AA2168" s="19"/>
      <c r="AB2168" s="19"/>
      <c r="AC2168" s="19"/>
    </row>
    <row r="2169" spans="2:29" x14ac:dyDescent="0.25">
      <c r="B2169" s="19"/>
      <c r="C2169" s="19"/>
      <c r="D2169" s="19"/>
      <c r="E2169" s="19"/>
      <c r="F2169" s="19"/>
      <c r="G2169" s="19"/>
      <c r="H2169" s="19"/>
      <c r="I2169" s="19"/>
      <c r="J2169" s="19"/>
      <c r="K2169" s="19"/>
      <c r="L2169" s="19"/>
      <c r="M2169" s="19"/>
      <c r="N2169" s="19"/>
      <c r="O2169" s="19"/>
      <c r="P2169" s="19"/>
      <c r="Q2169" s="19"/>
      <c r="R2169" s="19"/>
      <c r="S2169" s="19"/>
      <c r="T2169" s="19"/>
      <c r="U2169" s="19"/>
      <c r="V2169" s="19"/>
      <c r="W2169" s="19"/>
      <c r="X2169" s="19"/>
      <c r="Y2169" s="19"/>
      <c r="Z2169" s="19"/>
      <c r="AA2169" s="19"/>
      <c r="AB2169" s="19"/>
      <c r="AC2169" s="19"/>
    </row>
    <row r="2170" spans="2:29" x14ac:dyDescent="0.25">
      <c r="B2170" s="19"/>
      <c r="C2170" s="19"/>
      <c r="D2170" s="19"/>
      <c r="E2170" s="19"/>
      <c r="F2170" s="19"/>
      <c r="G2170" s="19"/>
      <c r="H2170" s="19"/>
      <c r="I2170" s="19"/>
      <c r="J2170" s="19"/>
      <c r="K2170" s="19"/>
      <c r="L2170" s="19"/>
      <c r="M2170" s="19"/>
      <c r="N2170" s="19"/>
      <c r="O2170" s="19"/>
      <c r="P2170" s="19"/>
      <c r="Q2170" s="19"/>
      <c r="R2170" s="19"/>
      <c r="S2170" s="19"/>
      <c r="T2170" s="19"/>
      <c r="U2170" s="19"/>
      <c r="V2170" s="19"/>
      <c r="W2170" s="19"/>
      <c r="X2170" s="19"/>
      <c r="Y2170" s="19"/>
      <c r="Z2170" s="19"/>
      <c r="AA2170" s="19"/>
      <c r="AB2170" s="19"/>
      <c r="AC2170" s="19"/>
    </row>
    <row r="2171" spans="2:29" x14ac:dyDescent="0.25">
      <c r="B2171" s="19"/>
      <c r="C2171" s="19"/>
      <c r="D2171" s="19"/>
      <c r="E2171" s="19"/>
      <c r="F2171" s="19"/>
      <c r="G2171" s="19"/>
      <c r="H2171" s="19"/>
      <c r="I2171" s="19"/>
      <c r="J2171" s="19"/>
      <c r="K2171" s="19"/>
      <c r="L2171" s="19"/>
      <c r="M2171" s="19"/>
      <c r="N2171" s="19"/>
      <c r="O2171" s="19"/>
      <c r="P2171" s="19"/>
      <c r="Q2171" s="19"/>
      <c r="R2171" s="19"/>
      <c r="S2171" s="19"/>
      <c r="T2171" s="19"/>
      <c r="U2171" s="19"/>
      <c r="V2171" s="19"/>
      <c r="W2171" s="19"/>
      <c r="X2171" s="19"/>
      <c r="Y2171" s="19"/>
      <c r="Z2171" s="19"/>
      <c r="AA2171" s="19"/>
      <c r="AB2171" s="19"/>
      <c r="AC2171" s="19"/>
    </row>
    <row r="2172" spans="2:29" x14ac:dyDescent="0.25">
      <c r="B2172" s="19"/>
      <c r="C2172" s="19"/>
      <c r="D2172" s="19"/>
      <c r="E2172" s="19"/>
      <c r="F2172" s="19"/>
      <c r="G2172" s="19"/>
      <c r="H2172" s="19"/>
      <c r="I2172" s="19"/>
      <c r="J2172" s="19"/>
      <c r="K2172" s="19"/>
      <c r="L2172" s="19"/>
      <c r="M2172" s="19"/>
      <c r="N2172" s="19"/>
      <c r="O2172" s="19"/>
      <c r="P2172" s="19"/>
      <c r="Q2172" s="19"/>
      <c r="R2172" s="19"/>
      <c r="S2172" s="19"/>
      <c r="T2172" s="19"/>
      <c r="U2172" s="19"/>
      <c r="V2172" s="19"/>
      <c r="W2172" s="19"/>
      <c r="X2172" s="19"/>
      <c r="Y2172" s="19"/>
      <c r="Z2172" s="19"/>
      <c r="AA2172" s="19"/>
      <c r="AB2172" s="19"/>
      <c r="AC2172" s="19"/>
    </row>
    <row r="2173" spans="2:29" x14ac:dyDescent="0.25">
      <c r="B2173" s="19"/>
      <c r="C2173" s="19"/>
      <c r="D2173" s="19"/>
      <c r="E2173" s="19"/>
      <c r="F2173" s="19"/>
      <c r="G2173" s="19"/>
      <c r="H2173" s="19"/>
      <c r="I2173" s="19"/>
      <c r="J2173" s="19"/>
      <c r="K2173" s="19"/>
      <c r="L2173" s="19"/>
      <c r="M2173" s="19"/>
      <c r="N2173" s="19"/>
      <c r="O2173" s="19"/>
      <c r="P2173" s="19"/>
      <c r="Q2173" s="19"/>
      <c r="R2173" s="19"/>
      <c r="S2173" s="19"/>
      <c r="T2173" s="19"/>
      <c r="U2173" s="19"/>
      <c r="V2173" s="19"/>
      <c r="W2173" s="19"/>
      <c r="X2173" s="19"/>
      <c r="Y2173" s="19"/>
      <c r="Z2173" s="19"/>
      <c r="AA2173" s="19"/>
      <c r="AB2173" s="19"/>
      <c r="AC2173" s="19"/>
    </row>
    <row r="2174" spans="2:29" x14ac:dyDescent="0.25">
      <c r="B2174" s="19"/>
      <c r="C2174" s="19"/>
      <c r="D2174" s="19"/>
      <c r="E2174" s="19"/>
      <c r="F2174" s="19"/>
      <c r="G2174" s="19"/>
      <c r="H2174" s="19"/>
      <c r="I2174" s="19"/>
      <c r="J2174" s="19"/>
      <c r="K2174" s="19"/>
      <c r="L2174" s="19"/>
      <c r="M2174" s="19"/>
      <c r="N2174" s="19"/>
      <c r="O2174" s="19"/>
      <c r="P2174" s="19"/>
      <c r="Q2174" s="19"/>
      <c r="R2174" s="19"/>
      <c r="S2174" s="19"/>
      <c r="T2174" s="19"/>
      <c r="U2174" s="19"/>
      <c r="V2174" s="19"/>
      <c r="W2174" s="19"/>
      <c r="X2174" s="19"/>
      <c r="Y2174" s="19"/>
      <c r="Z2174" s="19"/>
      <c r="AA2174" s="19"/>
      <c r="AB2174" s="19"/>
      <c r="AC2174" s="19"/>
    </row>
    <row r="2175" spans="2:29" x14ac:dyDescent="0.25">
      <c r="B2175" s="19"/>
      <c r="C2175" s="19"/>
      <c r="D2175" s="19"/>
      <c r="E2175" s="19"/>
      <c r="F2175" s="19"/>
      <c r="G2175" s="19"/>
      <c r="H2175" s="19"/>
      <c r="I2175" s="19"/>
      <c r="J2175" s="19"/>
      <c r="K2175" s="19"/>
      <c r="L2175" s="19"/>
      <c r="M2175" s="19"/>
      <c r="N2175" s="19"/>
      <c r="O2175" s="19"/>
      <c r="P2175" s="19"/>
      <c r="Q2175" s="19"/>
      <c r="R2175" s="19"/>
      <c r="S2175" s="19"/>
      <c r="T2175" s="19"/>
      <c r="U2175" s="19"/>
      <c r="V2175" s="19"/>
      <c r="W2175" s="19"/>
      <c r="X2175" s="19"/>
      <c r="Y2175" s="19"/>
      <c r="Z2175" s="19"/>
      <c r="AA2175" s="19"/>
      <c r="AB2175" s="19"/>
      <c r="AC2175" s="19"/>
    </row>
    <row r="2176" spans="2:29" x14ac:dyDescent="0.25">
      <c r="B2176" s="19"/>
      <c r="C2176" s="19"/>
      <c r="D2176" s="19"/>
      <c r="E2176" s="19"/>
      <c r="F2176" s="19"/>
      <c r="G2176" s="19"/>
      <c r="H2176" s="19"/>
      <c r="I2176" s="19"/>
      <c r="J2176" s="19"/>
      <c r="K2176" s="19"/>
      <c r="L2176" s="19"/>
      <c r="M2176" s="19"/>
      <c r="N2176" s="19"/>
      <c r="O2176" s="19"/>
      <c r="P2176" s="19"/>
      <c r="Q2176" s="19"/>
      <c r="R2176" s="19"/>
      <c r="S2176" s="19"/>
      <c r="T2176" s="19"/>
      <c r="U2176" s="19"/>
      <c r="V2176" s="19"/>
      <c r="W2176" s="19"/>
      <c r="X2176" s="19"/>
      <c r="Y2176" s="19"/>
      <c r="Z2176" s="19"/>
      <c r="AA2176" s="19"/>
      <c r="AB2176" s="19"/>
      <c r="AC2176" s="19"/>
    </row>
    <row r="2177" spans="2:29" x14ac:dyDescent="0.25">
      <c r="B2177" s="19"/>
      <c r="C2177" s="19"/>
      <c r="D2177" s="19"/>
      <c r="E2177" s="19"/>
      <c r="F2177" s="19"/>
      <c r="G2177" s="19"/>
      <c r="H2177" s="19"/>
      <c r="I2177" s="19"/>
      <c r="J2177" s="19"/>
      <c r="K2177" s="19"/>
      <c r="L2177" s="19"/>
      <c r="M2177" s="19"/>
      <c r="N2177" s="19"/>
      <c r="O2177" s="19"/>
      <c r="P2177" s="19"/>
      <c r="Q2177" s="19"/>
      <c r="R2177" s="19"/>
      <c r="S2177" s="19"/>
      <c r="T2177" s="19"/>
      <c r="U2177" s="19"/>
      <c r="V2177" s="19"/>
      <c r="W2177" s="19"/>
      <c r="X2177" s="19"/>
      <c r="Y2177" s="19"/>
      <c r="Z2177" s="19"/>
      <c r="AA2177" s="19"/>
      <c r="AB2177" s="19"/>
      <c r="AC2177" s="19"/>
    </row>
    <row r="2178" spans="2:29" x14ac:dyDescent="0.25">
      <c r="B2178" s="19"/>
      <c r="C2178" s="19"/>
      <c r="D2178" s="19"/>
      <c r="E2178" s="19"/>
      <c r="F2178" s="19"/>
      <c r="G2178" s="19"/>
      <c r="H2178" s="19"/>
      <c r="I2178" s="19"/>
      <c r="J2178" s="19"/>
      <c r="K2178" s="19"/>
      <c r="L2178" s="19"/>
      <c r="M2178" s="19"/>
      <c r="N2178" s="19"/>
      <c r="O2178" s="19"/>
      <c r="P2178" s="19"/>
      <c r="Q2178" s="19"/>
      <c r="R2178" s="19"/>
      <c r="S2178" s="19"/>
      <c r="T2178" s="19"/>
      <c r="U2178" s="19"/>
      <c r="V2178" s="19"/>
      <c r="W2178" s="19"/>
      <c r="X2178" s="19"/>
      <c r="Y2178" s="19"/>
      <c r="Z2178" s="19"/>
      <c r="AA2178" s="19"/>
      <c r="AB2178" s="19"/>
      <c r="AC2178" s="19"/>
    </row>
    <row r="2179" spans="2:29" x14ac:dyDescent="0.25">
      <c r="B2179" s="19"/>
      <c r="C2179" s="19"/>
      <c r="D2179" s="19"/>
      <c r="E2179" s="19"/>
      <c r="F2179" s="19"/>
      <c r="G2179" s="19"/>
      <c r="H2179" s="19"/>
      <c r="I2179" s="19"/>
      <c r="J2179" s="19"/>
      <c r="K2179" s="19"/>
      <c r="L2179" s="19"/>
      <c r="M2179" s="19"/>
      <c r="N2179" s="19"/>
      <c r="O2179" s="19"/>
      <c r="P2179" s="19"/>
      <c r="Q2179" s="19"/>
      <c r="R2179" s="19"/>
      <c r="S2179" s="19"/>
      <c r="T2179" s="19"/>
      <c r="U2179" s="19"/>
      <c r="V2179" s="19"/>
      <c r="W2179" s="19"/>
      <c r="X2179" s="19"/>
      <c r="Y2179" s="19"/>
      <c r="Z2179" s="19"/>
      <c r="AA2179" s="19"/>
      <c r="AB2179" s="19"/>
      <c r="AC2179" s="19"/>
    </row>
    <row r="2180" spans="2:29" x14ac:dyDescent="0.25">
      <c r="B2180" s="19"/>
      <c r="C2180" s="19"/>
      <c r="D2180" s="19"/>
      <c r="E2180" s="19"/>
      <c r="F2180" s="19"/>
      <c r="G2180" s="19"/>
      <c r="H2180" s="19"/>
      <c r="I2180" s="19"/>
      <c r="J2180" s="19"/>
      <c r="K2180" s="19"/>
      <c r="L2180" s="19"/>
      <c r="M2180" s="19"/>
      <c r="N2180" s="19"/>
      <c r="O2180" s="19"/>
      <c r="P2180" s="19"/>
      <c r="Q2180" s="19"/>
      <c r="R2180" s="19"/>
      <c r="S2180" s="19"/>
      <c r="T2180" s="19"/>
      <c r="U2180" s="19"/>
      <c r="V2180" s="19"/>
      <c r="W2180" s="19"/>
      <c r="X2180" s="19"/>
      <c r="Y2180" s="19"/>
      <c r="Z2180" s="19"/>
      <c r="AA2180" s="19"/>
      <c r="AB2180" s="19"/>
      <c r="AC2180" s="19"/>
    </row>
    <row r="2181" spans="2:29" x14ac:dyDescent="0.25">
      <c r="B2181" s="19"/>
      <c r="C2181" s="19"/>
      <c r="D2181" s="19"/>
      <c r="E2181" s="19"/>
      <c r="F2181" s="19"/>
      <c r="G2181" s="19"/>
      <c r="H2181" s="19"/>
      <c r="I2181" s="19"/>
      <c r="J2181" s="19"/>
      <c r="K2181" s="19"/>
      <c r="L2181" s="19"/>
      <c r="M2181" s="19"/>
      <c r="N2181" s="19"/>
      <c r="O2181" s="19"/>
      <c r="P2181" s="19"/>
      <c r="Q2181" s="19"/>
      <c r="R2181" s="19"/>
      <c r="S2181" s="19"/>
      <c r="T2181" s="19"/>
      <c r="U2181" s="19"/>
      <c r="V2181" s="19"/>
      <c r="W2181" s="19"/>
      <c r="X2181" s="19"/>
      <c r="Y2181" s="19"/>
      <c r="Z2181" s="19"/>
      <c r="AA2181" s="19"/>
      <c r="AB2181" s="19"/>
      <c r="AC2181" s="19"/>
    </row>
    <row r="2182" spans="2:29" x14ac:dyDescent="0.25">
      <c r="B2182" s="19"/>
      <c r="C2182" s="19"/>
      <c r="D2182" s="19"/>
      <c r="E2182" s="19"/>
      <c r="F2182" s="19"/>
      <c r="G2182" s="19"/>
      <c r="H2182" s="19"/>
      <c r="I2182" s="19"/>
      <c r="J2182" s="19"/>
      <c r="K2182" s="19"/>
      <c r="L2182" s="19"/>
      <c r="M2182" s="19"/>
      <c r="N2182" s="19"/>
      <c r="O2182" s="19"/>
      <c r="P2182" s="19"/>
      <c r="Q2182" s="19"/>
      <c r="R2182" s="19"/>
      <c r="S2182" s="19"/>
      <c r="T2182" s="19"/>
      <c r="U2182" s="19"/>
      <c r="V2182" s="19"/>
      <c r="W2182" s="19"/>
      <c r="X2182" s="19"/>
      <c r="Y2182" s="19"/>
      <c r="Z2182" s="19"/>
      <c r="AA2182" s="19"/>
      <c r="AB2182" s="19"/>
      <c r="AC2182" s="19"/>
    </row>
    <row r="2183" spans="2:29" x14ac:dyDescent="0.25">
      <c r="B2183" s="19"/>
      <c r="C2183" s="19"/>
      <c r="D2183" s="19"/>
      <c r="E2183" s="19"/>
      <c r="F2183" s="19"/>
      <c r="G2183" s="19"/>
      <c r="H2183" s="19"/>
      <c r="I2183" s="19"/>
      <c r="J2183" s="19"/>
      <c r="K2183" s="19"/>
      <c r="L2183" s="19"/>
      <c r="M2183" s="19"/>
      <c r="N2183" s="19"/>
      <c r="O2183" s="19"/>
      <c r="P2183" s="19"/>
      <c r="Q2183" s="19"/>
      <c r="R2183" s="19"/>
      <c r="S2183" s="19"/>
      <c r="T2183" s="19"/>
      <c r="U2183" s="19"/>
      <c r="V2183" s="19"/>
      <c r="W2183" s="19"/>
      <c r="X2183" s="19"/>
      <c r="Y2183" s="19"/>
      <c r="Z2183" s="19"/>
      <c r="AA2183" s="19"/>
      <c r="AB2183" s="19"/>
      <c r="AC2183" s="19"/>
    </row>
    <row r="2184" spans="2:29" x14ac:dyDescent="0.25">
      <c r="B2184" s="19"/>
      <c r="C2184" s="19"/>
      <c r="D2184" s="19"/>
      <c r="E2184" s="19"/>
      <c r="F2184" s="19"/>
      <c r="G2184" s="19"/>
      <c r="H2184" s="19"/>
      <c r="I2184" s="19"/>
      <c r="J2184" s="19"/>
      <c r="K2184" s="19"/>
      <c r="L2184" s="19"/>
      <c r="M2184" s="19"/>
      <c r="N2184" s="19"/>
      <c r="O2184" s="19"/>
      <c r="P2184" s="19"/>
      <c r="Q2184" s="19"/>
      <c r="R2184" s="19"/>
      <c r="S2184" s="19"/>
      <c r="T2184" s="19"/>
      <c r="U2184" s="19"/>
      <c r="V2184" s="19"/>
      <c r="W2184" s="19"/>
      <c r="X2184" s="19"/>
      <c r="Y2184" s="19"/>
      <c r="Z2184" s="19"/>
      <c r="AA2184" s="19"/>
      <c r="AB2184" s="19"/>
      <c r="AC2184" s="19"/>
    </row>
    <row r="2185" spans="2:29" x14ac:dyDescent="0.25">
      <c r="B2185" s="19"/>
      <c r="C2185" s="19"/>
      <c r="D2185" s="19"/>
      <c r="E2185" s="19"/>
      <c r="F2185" s="19"/>
      <c r="G2185" s="19"/>
      <c r="H2185" s="19"/>
      <c r="I2185" s="19"/>
      <c r="J2185" s="19"/>
      <c r="K2185" s="19"/>
      <c r="L2185" s="19"/>
      <c r="M2185" s="19"/>
      <c r="N2185" s="19"/>
      <c r="O2185" s="19"/>
      <c r="P2185" s="19"/>
      <c r="Q2185" s="19"/>
      <c r="R2185" s="19"/>
      <c r="S2185" s="19"/>
      <c r="T2185" s="19"/>
      <c r="U2185" s="19"/>
      <c r="V2185" s="19"/>
      <c r="W2185" s="19"/>
      <c r="X2185" s="19"/>
      <c r="Y2185" s="19"/>
      <c r="Z2185" s="19"/>
      <c r="AA2185" s="19"/>
      <c r="AB2185" s="19"/>
      <c r="AC2185" s="19"/>
    </row>
    <row r="2186" spans="2:29" x14ac:dyDescent="0.25">
      <c r="B2186" s="19"/>
      <c r="C2186" s="19"/>
      <c r="D2186" s="19"/>
      <c r="E2186" s="19"/>
      <c r="F2186" s="19"/>
      <c r="G2186" s="19"/>
      <c r="H2186" s="19"/>
      <c r="I2186" s="19"/>
      <c r="J2186" s="19"/>
      <c r="K2186" s="19"/>
      <c r="L2186" s="19"/>
      <c r="M2186" s="19"/>
      <c r="N2186" s="19"/>
      <c r="O2186" s="19"/>
      <c r="P2186" s="19"/>
      <c r="Q2186" s="19"/>
      <c r="R2186" s="19"/>
      <c r="S2186" s="19"/>
      <c r="T2186" s="19"/>
      <c r="U2186" s="19"/>
      <c r="V2186" s="19"/>
      <c r="W2186" s="19"/>
      <c r="X2186" s="19"/>
      <c r="Y2186" s="19"/>
      <c r="Z2186" s="19"/>
      <c r="AA2186" s="19"/>
      <c r="AB2186" s="19"/>
      <c r="AC2186" s="19"/>
    </row>
    <row r="2187" spans="2:29" x14ac:dyDescent="0.25">
      <c r="B2187" s="19"/>
      <c r="C2187" s="19"/>
      <c r="D2187" s="19"/>
      <c r="E2187" s="19"/>
      <c r="F2187" s="19"/>
      <c r="G2187" s="19"/>
      <c r="H2187" s="19"/>
      <c r="I2187" s="19"/>
      <c r="J2187" s="19"/>
      <c r="K2187" s="19"/>
      <c r="L2187" s="19"/>
      <c r="M2187" s="19"/>
      <c r="N2187" s="19"/>
      <c r="O2187" s="19"/>
      <c r="P2187" s="19"/>
      <c r="Q2187" s="19"/>
      <c r="R2187" s="19"/>
      <c r="S2187" s="19"/>
      <c r="T2187" s="19"/>
      <c r="U2187" s="19"/>
      <c r="V2187" s="19"/>
      <c r="W2187" s="19"/>
      <c r="X2187" s="19"/>
      <c r="Y2187" s="19"/>
      <c r="Z2187" s="19"/>
      <c r="AA2187" s="19"/>
      <c r="AB2187" s="19"/>
      <c r="AC2187" s="19"/>
    </row>
    <row r="2188" spans="2:29" x14ac:dyDescent="0.25">
      <c r="B2188" s="19"/>
      <c r="C2188" s="19"/>
      <c r="D2188" s="19"/>
      <c r="E2188" s="19"/>
      <c r="F2188" s="19"/>
      <c r="G2188" s="19"/>
      <c r="H2188" s="19"/>
      <c r="I2188" s="19"/>
      <c r="J2188" s="19"/>
      <c r="K2188" s="19"/>
      <c r="L2188" s="19"/>
      <c r="M2188" s="19"/>
      <c r="N2188" s="19"/>
      <c r="O2188" s="19"/>
      <c r="P2188" s="19"/>
      <c r="Q2188" s="19"/>
      <c r="R2188" s="19"/>
      <c r="S2188" s="19"/>
      <c r="T2188" s="19"/>
      <c r="U2188" s="19"/>
      <c r="V2188" s="19"/>
      <c r="W2188" s="19"/>
      <c r="X2188" s="19"/>
      <c r="Y2188" s="19"/>
      <c r="Z2188" s="19"/>
      <c r="AA2188" s="19"/>
      <c r="AB2188" s="19"/>
      <c r="AC2188" s="19"/>
    </row>
    <row r="2189" spans="2:29" x14ac:dyDescent="0.25">
      <c r="B2189" s="19"/>
      <c r="C2189" s="19"/>
      <c r="D2189" s="19"/>
      <c r="E2189" s="19"/>
      <c r="F2189" s="19"/>
      <c r="G2189" s="19"/>
      <c r="H2189" s="19"/>
      <c r="I2189" s="19"/>
      <c r="J2189" s="19"/>
      <c r="K2189" s="19"/>
      <c r="L2189" s="19"/>
      <c r="M2189" s="19"/>
      <c r="N2189" s="19"/>
      <c r="O2189" s="19"/>
      <c r="P2189" s="19"/>
      <c r="Q2189" s="19"/>
      <c r="R2189" s="19"/>
      <c r="S2189" s="19"/>
      <c r="T2189" s="19"/>
      <c r="U2189" s="19"/>
      <c r="V2189" s="19"/>
      <c r="W2189" s="19"/>
      <c r="X2189" s="19"/>
      <c r="Y2189" s="19"/>
      <c r="Z2189" s="19"/>
      <c r="AA2189" s="19"/>
      <c r="AB2189" s="19"/>
      <c r="AC2189" s="19"/>
    </row>
    <row r="2190" spans="2:29" x14ac:dyDescent="0.25">
      <c r="B2190" s="19"/>
      <c r="C2190" s="19"/>
      <c r="D2190" s="19"/>
      <c r="E2190" s="19"/>
      <c r="F2190" s="19"/>
      <c r="G2190" s="19"/>
      <c r="H2190" s="19"/>
      <c r="I2190" s="19"/>
      <c r="J2190" s="19"/>
      <c r="K2190" s="19"/>
      <c r="L2190" s="19"/>
      <c r="M2190" s="19"/>
      <c r="N2190" s="19"/>
      <c r="O2190" s="19"/>
      <c r="P2190" s="19"/>
      <c r="Q2190" s="19"/>
      <c r="R2190" s="19"/>
      <c r="S2190" s="19"/>
      <c r="T2190" s="19"/>
      <c r="U2190" s="19"/>
      <c r="V2190" s="19"/>
      <c r="W2190" s="19"/>
      <c r="X2190" s="19"/>
      <c r="Y2190" s="19"/>
      <c r="Z2190" s="19"/>
      <c r="AA2190" s="19"/>
      <c r="AB2190" s="19"/>
      <c r="AC2190" s="19"/>
    </row>
    <row r="2191" spans="2:29" x14ac:dyDescent="0.25">
      <c r="B2191" s="19"/>
      <c r="C2191" s="19"/>
      <c r="D2191" s="19"/>
      <c r="E2191" s="19"/>
      <c r="F2191" s="19"/>
      <c r="G2191" s="19"/>
      <c r="H2191" s="19"/>
      <c r="I2191" s="19"/>
      <c r="J2191" s="19"/>
      <c r="K2191" s="19"/>
      <c r="L2191" s="19"/>
      <c r="M2191" s="19"/>
      <c r="N2191" s="19"/>
      <c r="O2191" s="19"/>
      <c r="P2191" s="19"/>
      <c r="Q2191" s="19"/>
      <c r="R2191" s="19"/>
      <c r="S2191" s="19"/>
      <c r="T2191" s="19"/>
      <c r="U2191" s="19"/>
      <c r="V2191" s="19"/>
      <c r="W2191" s="19"/>
      <c r="X2191" s="19"/>
      <c r="Y2191" s="19"/>
      <c r="Z2191" s="19"/>
      <c r="AA2191" s="19"/>
      <c r="AB2191" s="19"/>
      <c r="AC2191" s="19"/>
    </row>
    <row r="2192" spans="2:29" x14ac:dyDescent="0.25">
      <c r="B2192" s="19"/>
      <c r="C2192" s="19"/>
      <c r="D2192" s="19"/>
      <c r="E2192" s="19"/>
      <c r="F2192" s="19"/>
      <c r="G2192" s="19"/>
      <c r="H2192" s="19"/>
      <c r="I2192" s="19"/>
      <c r="J2192" s="19"/>
      <c r="K2192" s="19"/>
      <c r="L2192" s="19"/>
      <c r="M2192" s="19"/>
      <c r="N2192" s="19"/>
      <c r="O2192" s="19"/>
      <c r="P2192" s="19"/>
      <c r="Q2192" s="19"/>
      <c r="R2192" s="19"/>
      <c r="S2192" s="19"/>
      <c r="T2192" s="19"/>
      <c r="U2192" s="19"/>
      <c r="V2192" s="19"/>
      <c r="W2192" s="19"/>
      <c r="X2192" s="19"/>
      <c r="Y2192" s="19"/>
      <c r="Z2192" s="19"/>
      <c r="AA2192" s="19"/>
      <c r="AB2192" s="19"/>
      <c r="AC2192" s="19"/>
    </row>
    <row r="2193" spans="2:29" x14ac:dyDescent="0.25">
      <c r="B2193" s="19"/>
      <c r="C2193" s="19"/>
      <c r="D2193" s="19"/>
      <c r="E2193" s="19"/>
      <c r="F2193" s="19"/>
      <c r="G2193" s="19"/>
      <c r="H2193" s="19"/>
      <c r="I2193" s="19"/>
      <c r="J2193" s="19"/>
      <c r="K2193" s="19"/>
      <c r="L2193" s="19"/>
      <c r="M2193" s="19"/>
      <c r="N2193" s="19"/>
      <c r="O2193" s="19"/>
      <c r="P2193" s="19"/>
      <c r="Q2193" s="19"/>
      <c r="R2193" s="19"/>
      <c r="S2193" s="19"/>
      <c r="T2193" s="19"/>
      <c r="U2193" s="19"/>
      <c r="V2193" s="19"/>
      <c r="W2193" s="19"/>
      <c r="X2193" s="19"/>
      <c r="Y2193" s="19"/>
      <c r="Z2193" s="19"/>
      <c r="AA2193" s="19"/>
      <c r="AB2193" s="19"/>
      <c r="AC2193" s="19"/>
    </row>
    <row r="2194" spans="2:29" x14ac:dyDescent="0.25">
      <c r="B2194" s="19"/>
      <c r="C2194" s="19"/>
      <c r="D2194" s="19"/>
      <c r="E2194" s="19"/>
      <c r="F2194" s="19"/>
      <c r="G2194" s="19"/>
      <c r="H2194" s="19"/>
      <c r="I2194" s="19"/>
      <c r="J2194" s="19"/>
      <c r="K2194" s="19"/>
      <c r="L2194" s="19"/>
      <c r="M2194" s="19"/>
      <c r="N2194" s="19"/>
      <c r="O2194" s="19"/>
      <c r="P2194" s="19"/>
      <c r="Q2194" s="19"/>
      <c r="R2194" s="19"/>
      <c r="S2194" s="19"/>
      <c r="T2194" s="19"/>
      <c r="U2194" s="19"/>
      <c r="V2194" s="19"/>
      <c r="W2194" s="19"/>
      <c r="X2194" s="19"/>
      <c r="Y2194" s="19"/>
      <c r="Z2194" s="19"/>
      <c r="AA2194" s="19"/>
      <c r="AB2194" s="19"/>
      <c r="AC2194" s="19"/>
    </row>
    <row r="2195" spans="2:29" x14ac:dyDescent="0.25">
      <c r="B2195" s="19"/>
      <c r="C2195" s="19"/>
      <c r="D2195" s="19"/>
      <c r="E2195" s="19"/>
      <c r="F2195" s="19"/>
      <c r="G2195" s="19"/>
      <c r="H2195" s="19"/>
      <c r="I2195" s="19"/>
      <c r="J2195" s="19"/>
      <c r="K2195" s="19"/>
      <c r="L2195" s="19"/>
      <c r="M2195" s="19"/>
      <c r="N2195" s="19"/>
      <c r="O2195" s="19"/>
      <c r="P2195" s="19"/>
      <c r="Q2195" s="19"/>
      <c r="R2195" s="19"/>
      <c r="S2195" s="19"/>
      <c r="T2195" s="19"/>
      <c r="U2195" s="19"/>
      <c r="V2195" s="19"/>
      <c r="W2195" s="19"/>
      <c r="X2195" s="19"/>
      <c r="Y2195" s="19"/>
      <c r="Z2195" s="19"/>
      <c r="AA2195" s="19"/>
      <c r="AB2195" s="19"/>
      <c r="AC2195" s="19"/>
    </row>
    <row r="2196" spans="2:29" x14ac:dyDescent="0.25">
      <c r="B2196" s="19"/>
      <c r="C2196" s="19"/>
      <c r="D2196" s="19"/>
      <c r="E2196" s="19"/>
      <c r="F2196" s="19"/>
      <c r="G2196" s="19"/>
      <c r="H2196" s="19"/>
      <c r="I2196" s="19"/>
      <c r="J2196" s="19"/>
      <c r="K2196" s="19"/>
      <c r="L2196" s="19"/>
      <c r="M2196" s="19"/>
      <c r="N2196" s="19"/>
      <c r="O2196" s="19"/>
      <c r="P2196" s="19"/>
      <c r="Q2196" s="19"/>
      <c r="R2196" s="19"/>
      <c r="S2196" s="19"/>
      <c r="T2196" s="19"/>
      <c r="U2196" s="19"/>
      <c r="V2196" s="19"/>
      <c r="W2196" s="19"/>
      <c r="X2196" s="19"/>
      <c r="Y2196" s="19"/>
      <c r="Z2196" s="19"/>
      <c r="AA2196" s="19"/>
      <c r="AB2196" s="19"/>
      <c r="AC2196" s="19"/>
    </row>
    <row r="2197" spans="2:29" x14ac:dyDescent="0.25">
      <c r="B2197" s="19"/>
      <c r="C2197" s="19"/>
      <c r="D2197" s="19"/>
      <c r="E2197" s="19"/>
      <c r="F2197" s="19"/>
      <c r="G2197" s="19"/>
      <c r="H2197" s="19"/>
      <c r="I2197" s="19"/>
      <c r="J2197" s="19"/>
      <c r="K2197" s="19"/>
      <c r="L2197" s="19"/>
      <c r="M2197" s="19"/>
      <c r="N2197" s="19"/>
      <c r="O2197" s="19"/>
      <c r="P2197" s="19"/>
      <c r="Q2197" s="19"/>
      <c r="R2197" s="19"/>
      <c r="S2197" s="19"/>
      <c r="T2197" s="19"/>
      <c r="U2197" s="19"/>
      <c r="V2197" s="19"/>
      <c r="W2197" s="19"/>
      <c r="X2197" s="19"/>
      <c r="Y2197" s="19"/>
      <c r="Z2197" s="19"/>
      <c r="AA2197" s="19"/>
      <c r="AB2197" s="19"/>
      <c r="AC2197" s="19"/>
    </row>
    <row r="2198" spans="2:29" x14ac:dyDescent="0.25">
      <c r="B2198" s="19"/>
      <c r="C2198" s="19"/>
      <c r="D2198" s="19"/>
      <c r="E2198" s="19"/>
      <c r="F2198" s="19"/>
      <c r="G2198" s="19"/>
      <c r="H2198" s="19"/>
      <c r="I2198" s="19"/>
      <c r="J2198" s="19"/>
      <c r="K2198" s="19"/>
      <c r="L2198" s="19"/>
      <c r="M2198" s="19"/>
      <c r="N2198" s="19"/>
      <c r="O2198" s="19"/>
      <c r="P2198" s="19"/>
      <c r="Q2198" s="19"/>
      <c r="R2198" s="19"/>
      <c r="S2198" s="19"/>
      <c r="T2198" s="19"/>
      <c r="U2198" s="19"/>
      <c r="V2198" s="19"/>
      <c r="W2198" s="19"/>
      <c r="X2198" s="19"/>
      <c r="Y2198" s="19"/>
      <c r="Z2198" s="19"/>
      <c r="AA2198" s="19"/>
      <c r="AB2198" s="19"/>
      <c r="AC2198" s="19"/>
    </row>
    <row r="2199" spans="2:29" x14ac:dyDescent="0.25">
      <c r="B2199" s="19"/>
      <c r="C2199" s="19"/>
      <c r="D2199" s="19"/>
      <c r="E2199" s="19"/>
      <c r="F2199" s="19"/>
      <c r="G2199" s="19"/>
      <c r="H2199" s="19"/>
      <c r="I2199" s="19"/>
      <c r="J2199" s="19"/>
      <c r="K2199" s="19"/>
      <c r="L2199" s="19"/>
      <c r="M2199" s="19"/>
      <c r="N2199" s="19"/>
      <c r="O2199" s="19"/>
      <c r="P2199" s="19"/>
      <c r="Q2199" s="19"/>
      <c r="R2199" s="19"/>
      <c r="S2199" s="19"/>
      <c r="T2199" s="19"/>
      <c r="U2199" s="19"/>
      <c r="V2199" s="19"/>
      <c r="W2199" s="19"/>
      <c r="X2199" s="19"/>
      <c r="Y2199" s="19"/>
      <c r="Z2199" s="19"/>
      <c r="AA2199" s="19"/>
      <c r="AB2199" s="19"/>
      <c r="AC2199" s="19"/>
    </row>
    <row r="2200" spans="2:29" x14ac:dyDescent="0.25">
      <c r="B2200" s="19"/>
      <c r="C2200" s="19"/>
      <c r="D2200" s="19"/>
      <c r="E2200" s="19"/>
      <c r="F2200" s="19"/>
      <c r="G2200" s="19"/>
      <c r="H2200" s="19"/>
      <c r="I2200" s="19"/>
      <c r="J2200" s="19"/>
      <c r="K2200" s="19"/>
      <c r="L2200" s="19"/>
      <c r="M2200" s="19"/>
      <c r="N2200" s="19"/>
      <c r="O2200" s="19"/>
      <c r="P2200" s="19"/>
      <c r="Q2200" s="19"/>
      <c r="R2200" s="19"/>
      <c r="S2200" s="19"/>
      <c r="T2200" s="19"/>
      <c r="U2200" s="19"/>
      <c r="V2200" s="19"/>
      <c r="W2200" s="19"/>
      <c r="X2200" s="19"/>
      <c r="Y2200" s="19"/>
      <c r="Z2200" s="19"/>
      <c r="AA2200" s="19"/>
      <c r="AB2200" s="19"/>
      <c r="AC2200" s="19"/>
    </row>
    <row r="2201" spans="2:29" x14ac:dyDescent="0.25">
      <c r="B2201" s="19"/>
      <c r="C2201" s="19"/>
      <c r="D2201" s="19"/>
      <c r="E2201" s="19"/>
      <c r="F2201" s="19"/>
      <c r="G2201" s="19"/>
      <c r="H2201" s="19"/>
      <c r="I2201" s="19"/>
      <c r="J2201" s="19"/>
      <c r="K2201" s="19"/>
      <c r="L2201" s="19"/>
      <c r="M2201" s="19"/>
      <c r="N2201" s="19"/>
      <c r="O2201" s="19"/>
      <c r="P2201" s="19"/>
      <c r="Q2201" s="19"/>
      <c r="R2201" s="19"/>
      <c r="S2201" s="19"/>
      <c r="T2201" s="19"/>
      <c r="U2201" s="19"/>
      <c r="V2201" s="19"/>
      <c r="W2201" s="19"/>
      <c r="X2201" s="19"/>
      <c r="Y2201" s="19"/>
      <c r="Z2201" s="19"/>
      <c r="AA2201" s="19"/>
      <c r="AB2201" s="19"/>
      <c r="AC2201" s="19"/>
    </row>
    <row r="2202" spans="2:29" x14ac:dyDescent="0.25">
      <c r="B2202" s="19"/>
      <c r="C2202" s="19"/>
      <c r="D2202" s="19"/>
      <c r="E2202" s="19"/>
      <c r="F2202" s="19"/>
      <c r="G2202" s="19"/>
      <c r="H2202" s="19"/>
      <c r="I2202" s="19"/>
      <c r="J2202" s="19"/>
      <c r="K2202" s="19"/>
      <c r="L2202" s="19"/>
      <c r="M2202" s="19"/>
      <c r="N2202" s="19"/>
      <c r="O2202" s="19"/>
      <c r="P2202" s="19"/>
      <c r="Q2202" s="19"/>
      <c r="R2202" s="19"/>
      <c r="S2202" s="19"/>
      <c r="T2202" s="19"/>
      <c r="U2202" s="19"/>
      <c r="V2202" s="19"/>
      <c r="W2202" s="19"/>
      <c r="X2202" s="19"/>
      <c r="Y2202" s="19"/>
      <c r="Z2202" s="19"/>
      <c r="AA2202" s="19"/>
      <c r="AB2202" s="19"/>
      <c r="AC2202" s="19"/>
    </row>
    <row r="2203" spans="2:29" x14ac:dyDescent="0.25">
      <c r="B2203" s="19"/>
      <c r="C2203" s="19"/>
      <c r="D2203" s="19"/>
      <c r="E2203" s="19"/>
      <c r="F2203" s="19"/>
      <c r="G2203" s="19"/>
      <c r="H2203" s="19"/>
      <c r="I2203" s="19"/>
      <c r="J2203" s="19"/>
      <c r="K2203" s="19"/>
      <c r="L2203" s="19"/>
      <c r="M2203" s="19"/>
      <c r="N2203" s="19"/>
      <c r="O2203" s="19"/>
      <c r="P2203" s="19"/>
      <c r="Q2203" s="19"/>
      <c r="R2203" s="19"/>
      <c r="S2203" s="19"/>
      <c r="T2203" s="19"/>
      <c r="U2203" s="19"/>
      <c r="V2203" s="19"/>
      <c r="W2203" s="19"/>
      <c r="X2203" s="19"/>
      <c r="Y2203" s="19"/>
      <c r="Z2203" s="19"/>
      <c r="AA2203" s="19"/>
      <c r="AB2203" s="19"/>
      <c r="AC2203" s="19"/>
    </row>
    <row r="2204" spans="2:29" x14ac:dyDescent="0.25">
      <c r="B2204" s="19"/>
      <c r="C2204" s="19"/>
      <c r="D2204" s="19"/>
      <c r="E2204" s="19"/>
      <c r="F2204" s="19"/>
      <c r="G2204" s="19"/>
      <c r="H2204" s="19"/>
      <c r="I2204" s="19"/>
      <c r="J2204" s="19"/>
      <c r="K2204" s="19"/>
      <c r="L2204" s="19"/>
      <c r="M2204" s="19"/>
      <c r="N2204" s="19"/>
      <c r="O2204" s="19"/>
      <c r="P2204" s="19"/>
      <c r="Q2204" s="19"/>
      <c r="R2204" s="19"/>
      <c r="S2204" s="19"/>
      <c r="T2204" s="19"/>
      <c r="U2204" s="19"/>
      <c r="V2204" s="19"/>
      <c r="W2204" s="19"/>
      <c r="X2204" s="19"/>
      <c r="Y2204" s="19"/>
      <c r="Z2204" s="19"/>
      <c r="AA2204" s="19"/>
      <c r="AB2204" s="19"/>
      <c r="AC2204" s="19"/>
    </row>
    <row r="2205" spans="2:29" x14ac:dyDescent="0.25">
      <c r="B2205" s="19"/>
      <c r="C2205" s="19"/>
      <c r="D2205" s="19"/>
      <c r="E2205" s="19"/>
      <c r="F2205" s="19"/>
      <c r="G2205" s="19"/>
      <c r="H2205" s="19"/>
      <c r="I2205" s="19"/>
      <c r="J2205" s="19"/>
      <c r="K2205" s="19"/>
      <c r="L2205" s="19"/>
      <c r="M2205" s="19"/>
      <c r="N2205" s="19"/>
      <c r="O2205" s="19"/>
      <c r="P2205" s="19"/>
      <c r="Q2205" s="19"/>
      <c r="R2205" s="19"/>
      <c r="S2205" s="19"/>
      <c r="T2205" s="19"/>
      <c r="U2205" s="19"/>
      <c r="V2205" s="19"/>
      <c r="W2205" s="19"/>
      <c r="X2205" s="19"/>
      <c r="Y2205" s="19"/>
      <c r="Z2205" s="19"/>
      <c r="AA2205" s="19"/>
      <c r="AB2205" s="19"/>
      <c r="AC2205" s="19"/>
    </row>
    <row r="2206" spans="2:29" x14ac:dyDescent="0.25">
      <c r="B2206" s="19"/>
      <c r="C2206" s="19"/>
      <c r="D2206" s="19"/>
      <c r="E2206" s="19"/>
      <c r="F2206" s="19"/>
      <c r="G2206" s="19"/>
      <c r="H2206" s="19"/>
      <c r="I2206" s="19"/>
      <c r="J2206" s="19"/>
      <c r="K2206" s="19"/>
      <c r="L2206" s="19"/>
      <c r="M2206" s="19"/>
      <c r="N2206" s="19"/>
      <c r="O2206" s="19"/>
      <c r="P2206" s="19"/>
      <c r="Q2206" s="19"/>
      <c r="R2206" s="19"/>
      <c r="S2206" s="19"/>
      <c r="T2206" s="19"/>
      <c r="U2206" s="19"/>
      <c r="V2206" s="19"/>
      <c r="W2206" s="19"/>
      <c r="X2206" s="19"/>
      <c r="Y2206" s="19"/>
      <c r="Z2206" s="19"/>
      <c r="AA2206" s="19"/>
      <c r="AB2206" s="19"/>
      <c r="AC2206" s="19"/>
    </row>
    <row r="2207" spans="2:29" x14ac:dyDescent="0.25">
      <c r="B2207" s="19"/>
      <c r="C2207" s="19"/>
      <c r="D2207" s="19"/>
      <c r="E2207" s="19"/>
      <c r="F2207" s="19"/>
      <c r="G2207" s="19"/>
      <c r="H2207" s="19"/>
      <c r="I2207" s="19"/>
      <c r="J2207" s="19"/>
      <c r="K2207" s="19"/>
      <c r="L2207" s="19"/>
      <c r="M2207" s="19"/>
      <c r="N2207" s="19"/>
      <c r="O2207" s="19"/>
      <c r="P2207" s="19"/>
      <c r="Q2207" s="19"/>
      <c r="R2207" s="19"/>
      <c r="S2207" s="19"/>
      <c r="T2207" s="19"/>
      <c r="U2207" s="19"/>
      <c r="V2207" s="19"/>
      <c r="W2207" s="19"/>
      <c r="X2207" s="19"/>
      <c r="Y2207" s="19"/>
      <c r="Z2207" s="19"/>
      <c r="AA2207" s="19"/>
      <c r="AB2207" s="19"/>
      <c r="AC2207" s="19"/>
    </row>
    <row r="2208" spans="2:29" x14ac:dyDescent="0.25">
      <c r="B2208" s="19"/>
      <c r="C2208" s="19"/>
      <c r="D2208" s="19"/>
      <c r="E2208" s="19"/>
      <c r="F2208" s="19"/>
      <c r="G2208" s="19"/>
      <c r="H2208" s="19"/>
      <c r="I2208" s="19"/>
      <c r="J2208" s="19"/>
      <c r="K2208" s="19"/>
      <c r="L2208" s="19"/>
      <c r="M2208" s="19"/>
      <c r="N2208" s="19"/>
      <c r="O2208" s="19"/>
      <c r="P2208" s="19"/>
      <c r="Q2208" s="19"/>
      <c r="R2208" s="19"/>
      <c r="S2208" s="19"/>
      <c r="T2208" s="19"/>
      <c r="U2208" s="19"/>
      <c r="V2208" s="19"/>
      <c r="W2208" s="19"/>
      <c r="X2208" s="19"/>
      <c r="Y2208" s="19"/>
      <c r="Z2208" s="19"/>
      <c r="AA2208" s="19"/>
      <c r="AB2208" s="19"/>
      <c r="AC2208" s="19"/>
    </row>
    <row r="2209" spans="2:29" x14ac:dyDescent="0.25">
      <c r="B2209" s="19"/>
      <c r="C2209" s="19"/>
      <c r="D2209" s="19"/>
      <c r="E2209" s="19"/>
      <c r="F2209" s="19"/>
      <c r="G2209" s="19"/>
      <c r="H2209" s="19"/>
      <c r="I2209" s="19"/>
      <c r="J2209" s="19"/>
      <c r="K2209" s="19"/>
      <c r="L2209" s="19"/>
      <c r="M2209" s="19"/>
      <c r="N2209" s="19"/>
      <c r="O2209" s="19"/>
      <c r="P2209" s="19"/>
      <c r="Q2209" s="19"/>
      <c r="R2209" s="19"/>
      <c r="S2209" s="19"/>
      <c r="T2209" s="19"/>
      <c r="U2209" s="19"/>
      <c r="V2209" s="19"/>
      <c r="W2209" s="19"/>
      <c r="X2209" s="19"/>
      <c r="Y2209" s="19"/>
      <c r="Z2209" s="19"/>
      <c r="AA2209" s="19"/>
      <c r="AB2209" s="19"/>
      <c r="AC2209" s="19"/>
    </row>
    <row r="2210" spans="2:29" x14ac:dyDescent="0.25">
      <c r="B2210" s="19"/>
      <c r="C2210" s="19"/>
      <c r="D2210" s="19"/>
      <c r="E2210" s="19"/>
      <c r="F2210" s="19"/>
      <c r="G2210" s="19"/>
      <c r="H2210" s="19"/>
      <c r="I2210" s="19"/>
      <c r="J2210" s="19"/>
      <c r="K2210" s="19"/>
      <c r="L2210" s="19"/>
      <c r="M2210" s="19"/>
      <c r="N2210" s="19"/>
      <c r="O2210" s="19"/>
      <c r="P2210" s="19"/>
      <c r="Q2210" s="19"/>
      <c r="R2210" s="19"/>
      <c r="S2210" s="19"/>
      <c r="T2210" s="19"/>
      <c r="U2210" s="19"/>
      <c r="V2210" s="19"/>
      <c r="W2210" s="19"/>
      <c r="X2210" s="19"/>
      <c r="Y2210" s="19"/>
      <c r="Z2210" s="19"/>
      <c r="AA2210" s="19"/>
      <c r="AB2210" s="19"/>
      <c r="AC2210" s="19"/>
    </row>
    <row r="2211" spans="2:29" x14ac:dyDescent="0.25">
      <c r="B2211" s="19"/>
      <c r="C2211" s="19"/>
      <c r="D2211" s="19"/>
      <c r="E2211" s="19"/>
      <c r="F2211" s="19"/>
      <c r="G2211" s="19"/>
      <c r="H2211" s="19"/>
      <c r="I2211" s="19"/>
      <c r="J2211" s="19"/>
      <c r="K2211" s="19"/>
      <c r="L2211" s="19"/>
      <c r="M2211" s="19"/>
      <c r="N2211" s="19"/>
      <c r="O2211" s="19"/>
      <c r="P2211" s="19"/>
      <c r="Q2211" s="19"/>
      <c r="R2211" s="19"/>
      <c r="S2211" s="19"/>
      <c r="T2211" s="19"/>
      <c r="U2211" s="19"/>
      <c r="V2211" s="19"/>
      <c r="W2211" s="19"/>
      <c r="X2211" s="19"/>
      <c r="Y2211" s="19"/>
      <c r="Z2211" s="19"/>
      <c r="AA2211" s="19"/>
      <c r="AB2211" s="19"/>
      <c r="AC2211" s="19"/>
    </row>
    <row r="2212" spans="2:29" x14ac:dyDescent="0.25">
      <c r="B2212" s="19"/>
      <c r="C2212" s="19"/>
      <c r="D2212" s="19"/>
      <c r="E2212" s="19"/>
      <c r="F2212" s="19"/>
      <c r="G2212" s="19"/>
      <c r="H2212" s="19"/>
      <c r="I2212" s="19"/>
      <c r="J2212" s="19"/>
      <c r="K2212" s="19"/>
      <c r="L2212" s="19"/>
      <c r="M2212" s="19"/>
      <c r="N2212" s="19"/>
      <c r="O2212" s="19"/>
      <c r="P2212" s="19"/>
      <c r="Q2212" s="19"/>
      <c r="R2212" s="19"/>
      <c r="S2212" s="19"/>
      <c r="T2212" s="19"/>
      <c r="U2212" s="19"/>
      <c r="V2212" s="19"/>
      <c r="W2212" s="19"/>
      <c r="X2212" s="19"/>
      <c r="Y2212" s="19"/>
      <c r="Z2212" s="19"/>
      <c r="AA2212" s="19"/>
      <c r="AB2212" s="19"/>
      <c r="AC2212" s="19"/>
    </row>
    <row r="2213" spans="2:29" x14ac:dyDescent="0.25">
      <c r="B2213" s="19"/>
      <c r="C2213" s="19"/>
      <c r="D2213" s="19"/>
      <c r="E2213" s="19"/>
      <c r="F2213" s="19"/>
      <c r="G2213" s="19"/>
      <c r="H2213" s="19"/>
      <c r="I2213" s="19"/>
      <c r="J2213" s="19"/>
      <c r="K2213" s="19"/>
      <c r="L2213" s="19"/>
      <c r="M2213" s="19"/>
      <c r="N2213" s="19"/>
      <c r="O2213" s="19"/>
      <c r="P2213" s="19"/>
      <c r="Q2213" s="19"/>
      <c r="R2213" s="19"/>
      <c r="S2213" s="19"/>
      <c r="T2213" s="19"/>
      <c r="U2213" s="19"/>
      <c r="V2213" s="19"/>
      <c r="W2213" s="19"/>
      <c r="X2213" s="19"/>
      <c r="Y2213" s="19"/>
      <c r="Z2213" s="19"/>
      <c r="AA2213" s="19"/>
      <c r="AB2213" s="19"/>
      <c r="AC2213" s="19"/>
    </row>
    <row r="2214" spans="2:29" x14ac:dyDescent="0.25">
      <c r="B2214" s="19"/>
      <c r="C2214" s="19"/>
      <c r="D2214" s="19"/>
      <c r="E2214" s="19"/>
      <c r="F2214" s="19"/>
      <c r="G2214" s="19"/>
      <c r="H2214" s="19"/>
      <c r="I2214" s="19"/>
      <c r="J2214" s="19"/>
      <c r="K2214" s="19"/>
      <c r="L2214" s="19"/>
      <c r="M2214" s="19"/>
      <c r="N2214" s="19"/>
      <c r="O2214" s="19"/>
      <c r="P2214" s="19"/>
      <c r="Q2214" s="19"/>
      <c r="R2214" s="19"/>
      <c r="S2214" s="19"/>
      <c r="T2214" s="19"/>
      <c r="U2214" s="19"/>
      <c r="V2214" s="19"/>
      <c r="W2214" s="19"/>
      <c r="X2214" s="19"/>
      <c r="Y2214" s="19"/>
      <c r="Z2214" s="19"/>
      <c r="AA2214" s="19"/>
      <c r="AB2214" s="19"/>
      <c r="AC2214" s="19"/>
    </row>
    <row r="2215" spans="2:29" x14ac:dyDescent="0.25">
      <c r="B2215" s="19"/>
      <c r="C2215" s="19"/>
      <c r="D2215" s="19"/>
      <c r="E2215" s="19"/>
      <c r="F2215" s="19"/>
      <c r="G2215" s="19"/>
      <c r="H2215" s="19"/>
      <c r="I2215" s="19"/>
      <c r="J2215" s="19"/>
      <c r="K2215" s="19"/>
      <c r="L2215" s="19"/>
      <c r="M2215" s="19"/>
      <c r="N2215" s="19"/>
      <c r="O2215" s="19"/>
      <c r="P2215" s="19"/>
      <c r="Q2215" s="19"/>
      <c r="R2215" s="19"/>
      <c r="S2215" s="19"/>
      <c r="T2215" s="19"/>
      <c r="U2215" s="19"/>
      <c r="V2215" s="19"/>
      <c r="W2215" s="19"/>
      <c r="X2215" s="19"/>
      <c r="Y2215" s="19"/>
      <c r="Z2215" s="19"/>
      <c r="AA2215" s="19"/>
      <c r="AB2215" s="19"/>
      <c r="AC2215" s="19"/>
    </row>
    <row r="2216" spans="2:29" x14ac:dyDescent="0.25">
      <c r="B2216" s="19"/>
      <c r="C2216" s="19"/>
      <c r="D2216" s="19"/>
      <c r="E2216" s="19"/>
      <c r="F2216" s="19"/>
      <c r="G2216" s="19"/>
      <c r="H2216" s="19"/>
      <c r="I2216" s="19"/>
      <c r="J2216" s="19"/>
      <c r="K2216" s="19"/>
      <c r="L2216" s="19"/>
      <c r="M2216" s="19"/>
      <c r="N2216" s="19"/>
      <c r="O2216" s="19"/>
      <c r="P2216" s="19"/>
      <c r="Q2216" s="19"/>
      <c r="R2216" s="19"/>
      <c r="S2216" s="19"/>
      <c r="T2216" s="19"/>
      <c r="U2216" s="19"/>
      <c r="V2216" s="19"/>
      <c r="W2216" s="19"/>
      <c r="X2216" s="19"/>
      <c r="Y2216" s="19"/>
      <c r="Z2216" s="19"/>
      <c r="AA2216" s="19"/>
      <c r="AB2216" s="19"/>
      <c r="AC2216" s="19"/>
    </row>
    <row r="2217" spans="2:29" x14ac:dyDescent="0.25">
      <c r="B2217" s="19"/>
      <c r="C2217" s="19"/>
      <c r="D2217" s="19"/>
      <c r="E2217" s="19"/>
      <c r="F2217" s="19"/>
      <c r="G2217" s="19"/>
      <c r="H2217" s="19"/>
      <c r="I2217" s="19"/>
      <c r="J2217" s="19"/>
      <c r="K2217" s="19"/>
      <c r="L2217" s="19"/>
      <c r="M2217" s="19"/>
      <c r="N2217" s="19"/>
      <c r="O2217" s="19"/>
      <c r="P2217" s="19"/>
      <c r="Q2217" s="19"/>
      <c r="R2217" s="19"/>
      <c r="S2217" s="19"/>
      <c r="T2217" s="19"/>
      <c r="U2217" s="19"/>
      <c r="V2217" s="19"/>
      <c r="W2217" s="19"/>
      <c r="X2217" s="19"/>
      <c r="Y2217" s="19"/>
      <c r="Z2217" s="19"/>
      <c r="AA2217" s="19"/>
      <c r="AB2217" s="19"/>
      <c r="AC2217" s="19"/>
    </row>
    <row r="2218" spans="2:29" x14ac:dyDescent="0.25">
      <c r="B2218" s="19"/>
      <c r="C2218" s="19"/>
      <c r="D2218" s="19"/>
      <c r="E2218" s="19"/>
      <c r="F2218" s="19"/>
      <c r="G2218" s="19"/>
      <c r="H2218" s="19"/>
      <c r="I2218" s="19"/>
      <c r="J2218" s="19"/>
      <c r="K2218" s="19"/>
      <c r="L2218" s="19"/>
      <c r="M2218" s="19"/>
      <c r="N2218" s="19"/>
      <c r="O2218" s="19"/>
      <c r="P2218" s="19"/>
      <c r="Q2218" s="19"/>
      <c r="R2218" s="19"/>
      <c r="S2218" s="19"/>
      <c r="T2218" s="19"/>
      <c r="U2218" s="19"/>
      <c r="V2218" s="19"/>
      <c r="W2218" s="19"/>
      <c r="X2218" s="19"/>
      <c r="Y2218" s="19"/>
      <c r="Z2218" s="19"/>
      <c r="AA2218" s="19"/>
      <c r="AB2218" s="19"/>
      <c r="AC2218" s="19"/>
    </row>
    <row r="2219" spans="2:29" x14ac:dyDescent="0.25">
      <c r="B2219" s="19"/>
      <c r="C2219" s="19"/>
      <c r="D2219" s="19"/>
      <c r="E2219" s="19"/>
      <c r="F2219" s="19"/>
      <c r="G2219" s="19"/>
      <c r="H2219" s="19"/>
      <c r="I2219" s="19"/>
      <c r="J2219" s="19"/>
      <c r="K2219" s="19"/>
      <c r="L2219" s="19"/>
      <c r="M2219" s="19"/>
      <c r="N2219" s="19"/>
      <c r="O2219" s="19"/>
      <c r="P2219" s="19"/>
      <c r="Q2219" s="19"/>
      <c r="R2219" s="19"/>
      <c r="S2219" s="19"/>
      <c r="T2219" s="19"/>
      <c r="U2219" s="19"/>
      <c r="V2219" s="19"/>
      <c r="W2219" s="19"/>
      <c r="X2219" s="19"/>
      <c r="Y2219" s="19"/>
      <c r="Z2219" s="19"/>
      <c r="AA2219" s="19"/>
      <c r="AB2219" s="19"/>
      <c r="AC2219" s="19"/>
    </row>
    <row r="2220" spans="2:29" x14ac:dyDescent="0.25">
      <c r="B2220" s="19"/>
      <c r="C2220" s="19"/>
      <c r="D2220" s="19"/>
      <c r="E2220" s="19"/>
      <c r="F2220" s="19"/>
      <c r="G2220" s="19"/>
      <c r="H2220" s="19"/>
      <c r="I2220" s="19"/>
      <c r="J2220" s="19"/>
      <c r="K2220" s="19"/>
      <c r="L2220" s="19"/>
      <c r="M2220" s="19"/>
      <c r="N2220" s="19"/>
      <c r="O2220" s="19"/>
      <c r="P2220" s="19"/>
      <c r="Q2220" s="19"/>
      <c r="R2220" s="19"/>
      <c r="S2220" s="19"/>
      <c r="T2220" s="19"/>
      <c r="U2220" s="19"/>
      <c r="V2220" s="19"/>
      <c r="W2220" s="19"/>
      <c r="X2220" s="19"/>
      <c r="Y2220" s="19"/>
      <c r="Z2220" s="19"/>
      <c r="AA2220" s="19"/>
      <c r="AB2220" s="19"/>
      <c r="AC2220" s="19"/>
    </row>
    <row r="2221" spans="2:29" x14ac:dyDescent="0.25">
      <c r="B2221" s="19"/>
      <c r="C2221" s="19"/>
      <c r="D2221" s="19"/>
      <c r="E2221" s="19"/>
      <c r="F2221" s="19"/>
      <c r="G2221" s="19"/>
      <c r="H2221" s="19"/>
      <c r="I2221" s="19"/>
      <c r="J2221" s="19"/>
      <c r="K2221" s="19"/>
      <c r="L2221" s="19"/>
      <c r="M2221" s="19"/>
      <c r="N2221" s="19"/>
      <c r="O2221" s="19"/>
      <c r="P2221" s="19"/>
      <c r="Q2221" s="19"/>
      <c r="R2221" s="19"/>
      <c r="S2221" s="19"/>
      <c r="T2221" s="19"/>
      <c r="U2221" s="19"/>
      <c r="V2221" s="19"/>
      <c r="W2221" s="19"/>
      <c r="X2221" s="19"/>
      <c r="Y2221" s="19"/>
      <c r="Z2221" s="19"/>
      <c r="AA2221" s="19"/>
      <c r="AB2221" s="19"/>
      <c r="AC2221" s="19"/>
    </row>
    <row r="2222" spans="2:29" x14ac:dyDescent="0.25">
      <c r="B2222" s="19"/>
      <c r="C2222" s="19"/>
      <c r="D2222" s="19"/>
      <c r="E2222" s="19"/>
      <c r="F2222" s="19"/>
      <c r="G2222" s="19"/>
      <c r="H2222" s="19"/>
      <c r="I2222" s="19"/>
      <c r="J2222" s="19"/>
      <c r="K2222" s="19"/>
      <c r="L2222" s="19"/>
      <c r="M2222" s="19"/>
      <c r="N2222" s="19"/>
      <c r="O2222" s="19"/>
      <c r="P2222" s="19"/>
      <c r="Q2222" s="19"/>
      <c r="R2222" s="19"/>
      <c r="S2222" s="19"/>
      <c r="T2222" s="19"/>
      <c r="U2222" s="19"/>
      <c r="V2222" s="19"/>
      <c r="W2222" s="19"/>
      <c r="X2222" s="19"/>
      <c r="Y2222" s="19"/>
      <c r="Z2222" s="19"/>
      <c r="AA2222" s="19"/>
      <c r="AB2222" s="19"/>
      <c r="AC2222" s="19"/>
    </row>
    <row r="2223" spans="2:29" x14ac:dyDescent="0.25">
      <c r="B2223" s="19"/>
      <c r="C2223" s="19"/>
      <c r="D2223" s="19"/>
      <c r="E2223" s="19"/>
      <c r="F2223" s="19"/>
      <c r="G2223" s="19"/>
      <c r="H2223" s="19"/>
      <c r="I2223" s="19"/>
      <c r="J2223" s="19"/>
      <c r="K2223" s="19"/>
      <c r="L2223" s="19"/>
      <c r="M2223" s="19"/>
      <c r="N2223" s="19"/>
      <c r="O2223" s="19"/>
      <c r="P2223" s="19"/>
      <c r="Q2223" s="19"/>
      <c r="R2223" s="19"/>
      <c r="S2223" s="19"/>
      <c r="T2223" s="19"/>
      <c r="U2223" s="19"/>
      <c r="V2223" s="19"/>
      <c r="W2223" s="19"/>
      <c r="X2223" s="19"/>
      <c r="Y2223" s="19"/>
      <c r="Z2223" s="19"/>
      <c r="AA2223" s="19"/>
      <c r="AB2223" s="19"/>
      <c r="AC2223" s="19"/>
    </row>
    <row r="2224" spans="2:29" x14ac:dyDescent="0.25">
      <c r="B2224" s="19"/>
      <c r="C2224" s="19"/>
      <c r="D2224" s="19"/>
      <c r="E2224" s="19"/>
      <c r="F2224" s="19"/>
      <c r="G2224" s="19"/>
      <c r="H2224" s="19"/>
      <c r="I2224" s="19"/>
      <c r="J2224" s="19"/>
      <c r="K2224" s="19"/>
      <c r="L2224" s="19"/>
      <c r="M2224" s="19"/>
      <c r="N2224" s="19"/>
      <c r="O2224" s="19"/>
      <c r="P2224" s="19"/>
      <c r="Q2224" s="19"/>
      <c r="R2224" s="19"/>
      <c r="S2224" s="19"/>
      <c r="T2224" s="19"/>
      <c r="U2224" s="19"/>
      <c r="V2224" s="19"/>
      <c r="W2224" s="19"/>
      <c r="X2224" s="19"/>
      <c r="Y2224" s="19"/>
      <c r="Z2224" s="19"/>
      <c r="AA2224" s="19"/>
      <c r="AB2224" s="19"/>
      <c r="AC2224" s="19"/>
    </row>
    <row r="2225" spans="2:29" x14ac:dyDescent="0.25">
      <c r="B2225" s="19"/>
      <c r="C2225" s="19"/>
      <c r="D2225" s="19"/>
      <c r="E2225" s="19"/>
      <c r="F2225" s="19"/>
      <c r="G2225" s="19"/>
      <c r="H2225" s="19"/>
      <c r="I2225" s="19"/>
      <c r="J2225" s="19"/>
      <c r="K2225" s="19"/>
      <c r="L2225" s="19"/>
      <c r="M2225" s="19"/>
      <c r="N2225" s="19"/>
      <c r="O2225" s="19"/>
      <c r="P2225" s="19"/>
      <c r="Q2225" s="19"/>
      <c r="R2225" s="19"/>
      <c r="S2225" s="19"/>
      <c r="T2225" s="19"/>
      <c r="U2225" s="19"/>
      <c r="V2225" s="19"/>
      <c r="W2225" s="19"/>
      <c r="X2225" s="19"/>
      <c r="Y2225" s="19"/>
      <c r="Z2225" s="19"/>
      <c r="AA2225" s="19"/>
      <c r="AB2225" s="19"/>
      <c r="AC2225" s="19"/>
    </row>
    <row r="2226" spans="2:29" x14ac:dyDescent="0.25">
      <c r="B2226" s="19"/>
      <c r="C2226" s="19"/>
      <c r="D2226" s="19"/>
      <c r="E2226" s="19"/>
      <c r="F2226" s="19"/>
      <c r="G2226" s="19"/>
      <c r="H2226" s="19"/>
      <c r="I2226" s="19"/>
      <c r="J2226" s="19"/>
      <c r="K2226" s="19"/>
      <c r="L2226" s="19"/>
      <c r="M2226" s="19"/>
      <c r="N2226" s="19"/>
      <c r="O2226" s="19"/>
      <c r="P2226" s="19"/>
      <c r="Q2226" s="19"/>
      <c r="R2226" s="19"/>
      <c r="S2226" s="19"/>
      <c r="T2226" s="19"/>
      <c r="U2226" s="19"/>
      <c r="V2226" s="19"/>
      <c r="W2226" s="19"/>
      <c r="X2226" s="19"/>
      <c r="Y2226" s="19"/>
      <c r="Z2226" s="19"/>
      <c r="AA2226" s="19"/>
      <c r="AB2226" s="19"/>
      <c r="AC2226" s="19"/>
    </row>
    <row r="2227" spans="2:29" x14ac:dyDescent="0.25">
      <c r="B2227" s="19"/>
      <c r="C2227" s="19"/>
      <c r="D2227" s="19"/>
      <c r="E2227" s="19"/>
      <c r="F2227" s="19"/>
      <c r="G2227" s="19"/>
      <c r="H2227" s="19"/>
      <c r="I2227" s="19"/>
      <c r="J2227" s="19"/>
      <c r="K2227" s="19"/>
      <c r="L2227" s="19"/>
      <c r="M2227" s="19"/>
      <c r="N2227" s="19"/>
      <c r="O2227" s="19"/>
      <c r="P2227" s="19"/>
      <c r="Q2227" s="19"/>
      <c r="R2227" s="19"/>
      <c r="S2227" s="19"/>
      <c r="T2227" s="19"/>
      <c r="U2227" s="19"/>
      <c r="V2227" s="19"/>
      <c r="W2227" s="19"/>
      <c r="X2227" s="19"/>
      <c r="Y2227" s="19"/>
      <c r="Z2227" s="19"/>
      <c r="AA2227" s="19"/>
      <c r="AB2227" s="19"/>
      <c r="AC2227" s="19"/>
    </row>
    <row r="2228" spans="2:29" x14ac:dyDescent="0.25">
      <c r="B2228" s="19"/>
      <c r="C2228" s="19"/>
      <c r="D2228" s="19"/>
      <c r="E2228" s="19"/>
      <c r="F2228" s="19"/>
      <c r="G2228" s="19"/>
      <c r="H2228" s="19"/>
      <c r="I2228" s="19"/>
      <c r="J2228" s="19"/>
      <c r="K2228" s="19"/>
      <c r="L2228" s="19"/>
      <c r="M2228" s="19"/>
      <c r="N2228" s="19"/>
      <c r="O2228" s="19"/>
      <c r="P2228" s="19"/>
      <c r="Q2228" s="19"/>
      <c r="R2228" s="19"/>
      <c r="S2228" s="19"/>
      <c r="T2228" s="19"/>
      <c r="U2228" s="19"/>
      <c r="V2228" s="19"/>
      <c r="W2228" s="19"/>
      <c r="X2228" s="19"/>
      <c r="Y2228" s="19"/>
      <c r="Z2228" s="19"/>
      <c r="AA2228" s="19"/>
      <c r="AB2228" s="19"/>
      <c r="AC2228" s="19"/>
    </row>
    <row r="2229" spans="2:29" x14ac:dyDescent="0.25">
      <c r="B2229" s="19"/>
      <c r="C2229" s="19"/>
      <c r="D2229" s="19"/>
      <c r="E2229" s="19"/>
      <c r="F2229" s="19"/>
      <c r="G2229" s="19"/>
      <c r="H2229" s="19"/>
      <c r="I2229" s="19"/>
      <c r="J2229" s="19"/>
      <c r="K2229" s="19"/>
      <c r="L2229" s="19"/>
      <c r="M2229" s="19"/>
      <c r="N2229" s="19"/>
      <c r="O2229" s="19"/>
      <c r="P2229" s="19"/>
      <c r="Q2229" s="19"/>
      <c r="R2229" s="19"/>
      <c r="S2229" s="19"/>
      <c r="T2229" s="19"/>
      <c r="U2229" s="19"/>
      <c r="V2229" s="19"/>
      <c r="W2229" s="19"/>
      <c r="X2229" s="19"/>
      <c r="Y2229" s="19"/>
      <c r="Z2229" s="19"/>
      <c r="AA2229" s="19"/>
      <c r="AB2229" s="19"/>
      <c r="AC2229" s="19"/>
    </row>
    <row r="2230" spans="2:29" x14ac:dyDescent="0.25">
      <c r="B2230" s="19"/>
      <c r="C2230" s="19"/>
      <c r="D2230" s="19"/>
      <c r="E2230" s="19"/>
      <c r="F2230" s="19"/>
      <c r="G2230" s="19"/>
      <c r="H2230" s="19"/>
      <c r="I2230" s="19"/>
      <c r="J2230" s="19"/>
      <c r="K2230" s="19"/>
      <c r="L2230" s="19"/>
      <c r="M2230" s="19"/>
      <c r="N2230" s="19"/>
      <c r="O2230" s="19"/>
      <c r="P2230" s="19"/>
      <c r="Q2230" s="19"/>
      <c r="R2230" s="19"/>
      <c r="S2230" s="19"/>
      <c r="T2230" s="19"/>
      <c r="U2230" s="19"/>
      <c r="V2230" s="19"/>
      <c r="W2230" s="19"/>
      <c r="X2230" s="19"/>
      <c r="Y2230" s="19"/>
      <c r="Z2230" s="19"/>
      <c r="AA2230" s="19"/>
      <c r="AB2230" s="19"/>
      <c r="AC2230" s="19"/>
    </row>
    <row r="2231" spans="2:29" x14ac:dyDescent="0.25">
      <c r="B2231" s="19"/>
      <c r="C2231" s="19"/>
      <c r="D2231" s="19"/>
      <c r="E2231" s="19"/>
      <c r="F2231" s="19"/>
      <c r="G2231" s="19"/>
      <c r="H2231" s="19"/>
      <c r="I2231" s="19"/>
      <c r="J2231" s="19"/>
      <c r="K2231" s="19"/>
      <c r="L2231" s="19"/>
      <c r="M2231" s="19"/>
      <c r="N2231" s="19"/>
      <c r="O2231" s="19"/>
      <c r="P2231" s="19"/>
      <c r="Q2231" s="19"/>
      <c r="R2231" s="19"/>
      <c r="S2231" s="19"/>
      <c r="T2231" s="19"/>
      <c r="U2231" s="19"/>
      <c r="V2231" s="19"/>
      <c r="W2231" s="19"/>
      <c r="X2231" s="19"/>
      <c r="Y2231" s="19"/>
      <c r="Z2231" s="19"/>
      <c r="AA2231" s="19"/>
      <c r="AB2231" s="19"/>
      <c r="AC2231" s="19"/>
    </row>
    <row r="2232" spans="2:29" x14ac:dyDescent="0.25">
      <c r="B2232" s="19"/>
      <c r="C2232" s="19"/>
      <c r="D2232" s="19"/>
      <c r="E2232" s="19"/>
      <c r="F2232" s="19"/>
      <c r="G2232" s="19"/>
      <c r="H2232" s="19"/>
      <c r="I2232" s="19"/>
      <c r="J2232" s="19"/>
      <c r="K2232" s="19"/>
      <c r="L2232" s="19"/>
      <c r="M2232" s="19"/>
      <c r="N2232" s="19"/>
      <c r="O2232" s="19"/>
      <c r="P2232" s="19"/>
      <c r="Q2232" s="19"/>
      <c r="R2232" s="19"/>
      <c r="S2232" s="19"/>
      <c r="T2232" s="19"/>
      <c r="U2232" s="19"/>
      <c r="V2232" s="19"/>
      <c r="W2232" s="19"/>
      <c r="X2232" s="19"/>
      <c r="Y2232" s="19"/>
      <c r="Z2232" s="19"/>
      <c r="AA2232" s="19"/>
      <c r="AB2232" s="19"/>
      <c r="AC2232" s="19"/>
    </row>
    <row r="2233" spans="2:29" x14ac:dyDescent="0.25">
      <c r="B2233" s="19"/>
      <c r="C2233" s="19"/>
      <c r="D2233" s="19"/>
      <c r="E2233" s="19"/>
      <c r="F2233" s="19"/>
      <c r="G2233" s="19"/>
      <c r="H2233" s="19"/>
      <c r="I2233" s="19"/>
      <c r="J2233" s="19"/>
      <c r="K2233" s="19"/>
      <c r="L2233" s="19"/>
      <c r="M2233" s="19"/>
      <c r="N2233" s="19"/>
      <c r="O2233" s="19"/>
      <c r="P2233" s="19"/>
      <c r="Q2233" s="19"/>
      <c r="R2233" s="19"/>
      <c r="S2233" s="19"/>
      <c r="T2233" s="19"/>
      <c r="U2233" s="19"/>
      <c r="V2233" s="19"/>
      <c r="W2233" s="19"/>
      <c r="X2233" s="19"/>
      <c r="Y2233" s="19"/>
      <c r="Z2233" s="19"/>
      <c r="AA2233" s="19"/>
      <c r="AB2233" s="19"/>
      <c r="AC2233" s="19"/>
    </row>
    <row r="2234" spans="2:29" x14ac:dyDescent="0.25">
      <c r="B2234" s="19"/>
      <c r="C2234" s="19"/>
      <c r="D2234" s="19"/>
      <c r="E2234" s="19"/>
      <c r="F2234" s="19"/>
      <c r="G2234" s="19"/>
      <c r="H2234" s="19"/>
      <c r="I2234" s="19"/>
      <c r="J2234" s="19"/>
      <c r="K2234" s="19"/>
      <c r="L2234" s="19"/>
      <c r="M2234" s="19"/>
      <c r="N2234" s="19"/>
      <c r="O2234" s="19"/>
      <c r="P2234" s="19"/>
      <c r="Q2234" s="19"/>
      <c r="R2234" s="19"/>
      <c r="S2234" s="19"/>
      <c r="T2234" s="19"/>
      <c r="U2234" s="19"/>
      <c r="V2234" s="19"/>
      <c r="W2234" s="19"/>
      <c r="X2234" s="19"/>
      <c r="Y2234" s="19"/>
      <c r="Z2234" s="19"/>
      <c r="AA2234" s="19"/>
      <c r="AB2234" s="19"/>
      <c r="AC2234" s="19"/>
    </row>
    <row r="2235" spans="2:29" x14ac:dyDescent="0.25">
      <c r="B2235" s="19"/>
      <c r="D2235" s="19"/>
      <c r="E2235" s="19"/>
      <c r="F2235" s="19"/>
      <c r="G2235" s="19"/>
      <c r="H2235" s="19"/>
      <c r="I2235" s="19"/>
      <c r="J2235" s="19"/>
      <c r="K2235" s="19"/>
      <c r="L2235" s="19"/>
      <c r="M2235" s="19"/>
      <c r="N2235" s="19"/>
      <c r="O2235" s="19"/>
      <c r="P2235" s="19"/>
      <c r="Q2235" s="19"/>
      <c r="R2235" s="19"/>
      <c r="S2235" s="19"/>
      <c r="T2235" s="19"/>
      <c r="U2235" s="19"/>
      <c r="V2235" s="19"/>
      <c r="W2235" s="19"/>
      <c r="X2235" s="19"/>
      <c r="Y2235" s="19"/>
      <c r="Z2235" s="19"/>
      <c r="AA2235" s="19"/>
      <c r="AB2235" s="19"/>
      <c r="AC2235" s="19"/>
    </row>
    <row r="2236" spans="2:29" x14ac:dyDescent="0.25">
      <c r="B2236" s="19"/>
      <c r="D2236" s="19"/>
      <c r="E2236" s="19"/>
      <c r="F2236" s="19"/>
      <c r="G2236" s="19"/>
      <c r="H2236" s="19"/>
      <c r="I2236" s="19"/>
      <c r="J2236" s="19"/>
      <c r="K2236" s="19"/>
      <c r="L2236" s="19"/>
      <c r="M2236" s="19"/>
      <c r="N2236" s="19"/>
      <c r="O2236" s="19"/>
      <c r="P2236" s="19"/>
      <c r="Q2236" s="19"/>
      <c r="R2236" s="19"/>
      <c r="S2236" s="19"/>
      <c r="T2236" s="19"/>
      <c r="U2236" s="19"/>
      <c r="V2236" s="19"/>
      <c r="W2236" s="19"/>
      <c r="X2236" s="19"/>
      <c r="Y2236" s="19"/>
      <c r="Z2236" s="19"/>
      <c r="AA2236" s="19"/>
      <c r="AB2236" s="19"/>
      <c r="AC2236" s="19"/>
    </row>
    <row r="2237" spans="2:29" x14ac:dyDescent="0.25">
      <c r="B2237" s="19"/>
      <c r="D2237" s="19"/>
      <c r="E2237" s="19"/>
      <c r="F2237" s="19"/>
      <c r="G2237" s="19"/>
      <c r="H2237" s="19"/>
      <c r="I2237" s="19"/>
      <c r="J2237" s="19"/>
      <c r="K2237" s="19"/>
      <c r="L2237" s="19"/>
      <c r="M2237" s="19"/>
      <c r="N2237" s="19"/>
      <c r="O2237" s="19"/>
      <c r="P2237" s="19"/>
      <c r="Q2237" s="19"/>
      <c r="R2237" s="19"/>
      <c r="S2237" s="19"/>
      <c r="T2237" s="19"/>
      <c r="U2237" s="19"/>
      <c r="V2237" s="19"/>
      <c r="W2237" s="19"/>
      <c r="X2237" s="19"/>
      <c r="Y2237" s="19"/>
      <c r="Z2237" s="19"/>
      <c r="AA2237" s="19"/>
      <c r="AB2237" s="19"/>
      <c r="AC2237" s="19"/>
    </row>
    <row r="2238" spans="2:29" x14ac:dyDescent="0.25">
      <c r="B2238" s="19"/>
      <c r="D2238" s="19"/>
      <c r="E2238" s="19"/>
      <c r="F2238" s="19"/>
      <c r="G2238" s="19"/>
      <c r="H2238" s="19"/>
      <c r="I2238" s="19"/>
      <c r="J2238" s="19"/>
      <c r="K2238" s="19"/>
      <c r="L2238" s="19"/>
      <c r="M2238" s="19"/>
      <c r="N2238" s="19"/>
      <c r="O2238" s="19"/>
      <c r="P2238" s="19"/>
      <c r="Q2238" s="19"/>
      <c r="R2238" s="19"/>
      <c r="S2238" s="19"/>
      <c r="T2238" s="19"/>
      <c r="U2238" s="19"/>
      <c r="V2238" s="19"/>
      <c r="W2238" s="19"/>
      <c r="X2238" s="19"/>
      <c r="Y2238" s="19"/>
      <c r="Z2238" s="19"/>
      <c r="AA2238" s="19"/>
      <c r="AB2238" s="19"/>
      <c r="AC2238" s="19"/>
    </row>
    <row r="2239" spans="2:29" x14ac:dyDescent="0.25">
      <c r="B2239" s="19"/>
      <c r="D2239" s="19"/>
      <c r="E2239" s="19"/>
      <c r="F2239" s="19"/>
      <c r="G2239" s="19"/>
      <c r="H2239" s="19"/>
      <c r="I2239" s="19"/>
      <c r="J2239" s="19"/>
      <c r="K2239" s="19"/>
      <c r="L2239" s="19"/>
      <c r="M2239" s="19"/>
      <c r="N2239" s="19"/>
      <c r="O2239" s="19"/>
      <c r="P2239" s="19"/>
      <c r="Q2239" s="19"/>
      <c r="R2239" s="19"/>
      <c r="S2239" s="19"/>
      <c r="T2239" s="19"/>
      <c r="U2239" s="19"/>
      <c r="V2239" s="19"/>
      <c r="W2239" s="19"/>
      <c r="X2239" s="19"/>
      <c r="Y2239" s="19"/>
      <c r="Z2239" s="19"/>
      <c r="AA2239" s="19"/>
      <c r="AB2239" s="19"/>
      <c r="AC2239" s="19"/>
    </row>
  </sheetData>
  <mergeCells count="13">
    <mergeCell ref="EH1:EK1"/>
    <mergeCell ref="B1:AC1"/>
    <mergeCell ref="BI1:BS1"/>
    <mergeCell ref="AE1:BF1"/>
    <mergeCell ref="BX1:CA1"/>
    <mergeCell ref="BU1:BV1"/>
    <mergeCell ref="DE1:DJ1"/>
    <mergeCell ref="DL1:DX1"/>
    <mergeCell ref="DZ1:EF1"/>
    <mergeCell ref="CE1:CF1"/>
    <mergeCell ref="CR1:CS1"/>
    <mergeCell ref="CX1:DC1"/>
    <mergeCell ref="CU1:CV1"/>
  </mergeCells>
  <phoneticPr fontId="18" type="noConversion"/>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26FA2-8125-4EF0-B377-AE70239C99E7}">
  <sheetPr codeName="Sheet1">
    <tabColor rgb="FF002060"/>
  </sheetPr>
  <dimension ref="A1:AB133"/>
  <sheetViews>
    <sheetView topLeftCell="A80" workbookViewId="0">
      <selection sqref="A1:AB221"/>
    </sheetView>
  </sheetViews>
  <sheetFormatPr defaultRowHeight="12.5" x14ac:dyDescent="0.25"/>
  <cols>
    <col min="2" max="2" width="12" customWidth="1"/>
  </cols>
  <sheetData>
    <row r="1" spans="1:5" x14ac:dyDescent="0.25">
      <c r="A1" t="s">
        <v>28</v>
      </c>
      <c r="B1" t="s">
        <v>411</v>
      </c>
    </row>
    <row r="2" spans="1:5" s="255" customFormat="1" ht="13" x14ac:dyDescent="0.3">
      <c r="A2" s="255" t="s">
        <v>29</v>
      </c>
      <c r="B2" s="255" t="s">
        <v>30</v>
      </c>
      <c r="C2" s="255">
        <v>2</v>
      </c>
      <c r="D2" s="255">
        <v>0</v>
      </c>
      <c r="E2" s="255">
        <v>2555</v>
      </c>
    </row>
    <row r="3" spans="1:5" x14ac:dyDescent="0.25">
      <c r="A3" t="s">
        <v>29</v>
      </c>
      <c r="B3" t="s">
        <v>31</v>
      </c>
      <c r="C3">
        <v>1</v>
      </c>
      <c r="D3">
        <v>100</v>
      </c>
    </row>
    <row r="4" spans="1:5" x14ac:dyDescent="0.25">
      <c r="A4" t="s">
        <v>29</v>
      </c>
      <c r="B4" t="s">
        <v>32</v>
      </c>
      <c r="C4">
        <v>1</v>
      </c>
      <c r="D4">
        <v>100</v>
      </c>
    </row>
    <row r="5" spans="1:5" s="255" customFormat="1" ht="13" x14ac:dyDescent="0.3">
      <c r="A5" s="255" t="s">
        <v>29</v>
      </c>
      <c r="B5" s="255" t="s">
        <v>33</v>
      </c>
      <c r="C5" s="255">
        <v>1</v>
      </c>
      <c r="D5" s="255">
        <v>0</v>
      </c>
    </row>
    <row r="6" spans="1:5" x14ac:dyDescent="0.25">
      <c r="A6" t="s">
        <v>29</v>
      </c>
      <c r="B6" t="s">
        <v>34</v>
      </c>
      <c r="C6">
        <v>1</v>
      </c>
      <c r="D6">
        <v>0</v>
      </c>
    </row>
    <row r="7" spans="1:5" x14ac:dyDescent="0.25">
      <c r="A7" t="s">
        <v>29</v>
      </c>
      <c r="B7" t="s">
        <v>35</v>
      </c>
      <c r="C7">
        <v>1</v>
      </c>
      <c r="D7">
        <v>0</v>
      </c>
    </row>
    <row r="8" spans="1:5" x14ac:dyDescent="0.25">
      <c r="A8" t="s">
        <v>29</v>
      </c>
      <c r="B8" t="s">
        <v>36</v>
      </c>
      <c r="C8">
        <v>1</v>
      </c>
      <c r="D8">
        <v>0</v>
      </c>
    </row>
    <row r="9" spans="1:5" x14ac:dyDescent="0.25">
      <c r="A9" t="s">
        <v>37</v>
      </c>
      <c r="B9" t="s">
        <v>38</v>
      </c>
      <c r="C9">
        <v>1</v>
      </c>
      <c r="D9">
        <v>0</v>
      </c>
    </row>
    <row r="10" spans="1:5" x14ac:dyDescent="0.25">
      <c r="A10" t="s">
        <v>37</v>
      </c>
      <c r="B10" t="s">
        <v>39</v>
      </c>
      <c r="C10">
        <v>1</v>
      </c>
      <c r="D10">
        <v>3.3</v>
      </c>
    </row>
    <row r="11" spans="1:5" x14ac:dyDescent="0.25">
      <c r="A11" t="s">
        <v>37</v>
      </c>
      <c r="B11" t="s">
        <v>40</v>
      </c>
      <c r="C11">
        <v>1</v>
      </c>
      <c r="D11">
        <v>22</v>
      </c>
    </row>
    <row r="12" spans="1:5" x14ac:dyDescent="0.25">
      <c r="A12" t="s">
        <v>37</v>
      </c>
      <c r="B12" t="s">
        <v>41</v>
      </c>
      <c r="C12">
        <v>1</v>
      </c>
      <c r="D12">
        <v>3</v>
      </c>
    </row>
    <row r="13" spans="1:5" x14ac:dyDescent="0.25">
      <c r="A13" t="s">
        <v>37</v>
      </c>
      <c r="B13" t="s">
        <v>42</v>
      </c>
      <c r="C13">
        <v>1</v>
      </c>
      <c r="D13">
        <v>34</v>
      </c>
    </row>
    <row r="14" spans="1:5" x14ac:dyDescent="0.25">
      <c r="A14" t="s">
        <v>37</v>
      </c>
      <c r="B14" t="s">
        <v>43</v>
      </c>
      <c r="C14">
        <v>1</v>
      </c>
      <c r="D14">
        <v>600</v>
      </c>
    </row>
    <row r="15" spans="1:5" x14ac:dyDescent="0.25">
      <c r="A15" t="s">
        <v>37</v>
      </c>
      <c r="B15" t="s">
        <v>44</v>
      </c>
      <c r="C15">
        <v>1</v>
      </c>
      <c r="D15">
        <v>1.7000000000000001E-2</v>
      </c>
    </row>
    <row r="16" spans="1:5" x14ac:dyDescent="0.25">
      <c r="A16" t="s">
        <v>37</v>
      </c>
      <c r="B16" t="s">
        <v>45</v>
      </c>
      <c r="C16">
        <v>1</v>
      </c>
      <c r="D16">
        <v>0.85</v>
      </c>
    </row>
    <row r="17" spans="1:4" x14ac:dyDescent="0.25">
      <c r="A17" t="s">
        <v>46</v>
      </c>
      <c r="B17" t="s">
        <v>47</v>
      </c>
      <c r="C17">
        <v>1</v>
      </c>
      <c r="D17">
        <v>0.52</v>
      </c>
    </row>
    <row r="18" spans="1:4" x14ac:dyDescent="0.25">
      <c r="A18" t="s">
        <v>46</v>
      </c>
      <c r="B18" t="s">
        <v>48</v>
      </c>
      <c r="C18">
        <v>1</v>
      </c>
      <c r="D18">
        <v>0.41</v>
      </c>
    </row>
    <row r="19" spans="1:4" x14ac:dyDescent="0.25">
      <c r="A19" t="s">
        <v>46</v>
      </c>
      <c r="B19" t="s">
        <v>49</v>
      </c>
      <c r="C19">
        <v>1</v>
      </c>
      <c r="D19">
        <v>2800</v>
      </c>
    </row>
    <row r="20" spans="1:4" x14ac:dyDescent="0.25">
      <c r="A20" t="s">
        <v>46</v>
      </c>
      <c r="B20" t="s">
        <v>50</v>
      </c>
      <c r="C20">
        <v>1</v>
      </c>
      <c r="D20">
        <v>0.62</v>
      </c>
    </row>
    <row r="21" spans="1:4" x14ac:dyDescent="0.25">
      <c r="A21" t="s">
        <v>46</v>
      </c>
      <c r="B21" t="s">
        <v>51</v>
      </c>
      <c r="C21">
        <v>1</v>
      </c>
      <c r="D21">
        <v>0.32</v>
      </c>
    </row>
    <row r="22" spans="1:4" x14ac:dyDescent="0.25">
      <c r="A22" t="s">
        <v>46</v>
      </c>
      <c r="B22" t="s">
        <v>52</v>
      </c>
      <c r="C22">
        <v>1</v>
      </c>
      <c r="D22">
        <v>4.4999999999999998E-2</v>
      </c>
    </row>
    <row r="23" spans="1:4" x14ac:dyDescent="0.25">
      <c r="A23" t="s">
        <v>46</v>
      </c>
      <c r="B23" t="s">
        <v>53</v>
      </c>
      <c r="C23">
        <v>1</v>
      </c>
      <c r="D23">
        <v>0.85</v>
      </c>
    </row>
    <row r="24" spans="1:4" x14ac:dyDescent="0.25">
      <c r="A24" t="s">
        <v>46</v>
      </c>
      <c r="B24" t="s">
        <v>54</v>
      </c>
      <c r="C24">
        <v>1</v>
      </c>
      <c r="D24">
        <v>4000</v>
      </c>
    </row>
    <row r="25" spans="1:4" x14ac:dyDescent="0.25">
      <c r="A25" t="s">
        <v>46</v>
      </c>
      <c r="B25" t="s">
        <v>55</v>
      </c>
      <c r="C25">
        <v>1</v>
      </c>
      <c r="D25">
        <v>0.45</v>
      </c>
    </row>
    <row r="26" spans="1:4" x14ac:dyDescent="0.25">
      <c r="A26" t="s">
        <v>46</v>
      </c>
      <c r="B26" t="s">
        <v>56</v>
      </c>
      <c r="C26">
        <v>1</v>
      </c>
      <c r="D26">
        <v>0.1</v>
      </c>
    </row>
    <row r="27" spans="1:4" x14ac:dyDescent="0.25">
      <c r="A27" t="s">
        <v>46</v>
      </c>
      <c r="B27" t="s">
        <v>57</v>
      </c>
      <c r="C27">
        <v>1</v>
      </c>
      <c r="D27">
        <v>0.45</v>
      </c>
    </row>
    <row r="28" spans="1:4" x14ac:dyDescent="0.25">
      <c r="A28" t="s">
        <v>46</v>
      </c>
      <c r="B28" t="s">
        <v>58</v>
      </c>
      <c r="C28">
        <v>1</v>
      </c>
      <c r="D28">
        <v>5.5E-2</v>
      </c>
    </row>
    <row r="29" spans="1:4" x14ac:dyDescent="0.25">
      <c r="A29" t="s">
        <v>46</v>
      </c>
      <c r="B29" t="s">
        <v>59</v>
      </c>
      <c r="C29">
        <v>1</v>
      </c>
      <c r="D29">
        <v>1</v>
      </c>
    </row>
    <row r="30" spans="1:4" x14ac:dyDescent="0.25">
      <c r="A30" t="s">
        <v>46</v>
      </c>
      <c r="B30" t="s">
        <v>60</v>
      </c>
      <c r="C30">
        <v>1</v>
      </c>
      <c r="D30">
        <v>310</v>
      </c>
    </row>
    <row r="31" spans="1:4" x14ac:dyDescent="0.25">
      <c r="A31" t="s">
        <v>46</v>
      </c>
      <c r="B31" t="s">
        <v>61</v>
      </c>
      <c r="C31">
        <v>1</v>
      </c>
      <c r="D31">
        <v>30</v>
      </c>
    </row>
    <row r="32" spans="1:4" x14ac:dyDescent="0.25">
      <c r="A32" t="s">
        <v>46</v>
      </c>
      <c r="B32" t="s">
        <v>62</v>
      </c>
      <c r="C32">
        <v>1</v>
      </c>
      <c r="D32">
        <v>1.5</v>
      </c>
    </row>
    <row r="33" spans="1:4" x14ac:dyDescent="0.25">
      <c r="A33" t="s">
        <v>46</v>
      </c>
      <c r="B33" t="s">
        <v>63</v>
      </c>
      <c r="C33">
        <v>1</v>
      </c>
      <c r="D33">
        <v>7.0000000000000007E-2</v>
      </c>
    </row>
    <row r="34" spans="1:4" x14ac:dyDescent="0.25">
      <c r="A34" t="s">
        <v>46</v>
      </c>
      <c r="B34" t="s">
        <v>64</v>
      </c>
      <c r="C34">
        <v>1</v>
      </c>
      <c r="D34">
        <v>20</v>
      </c>
    </row>
    <row r="35" spans="1:4" x14ac:dyDescent="0.25">
      <c r="A35" t="s">
        <v>46</v>
      </c>
      <c r="B35" t="s">
        <v>65</v>
      </c>
      <c r="C35">
        <v>1</v>
      </c>
      <c r="D35">
        <v>22</v>
      </c>
    </row>
    <row r="36" spans="1:4" x14ac:dyDescent="0.25">
      <c r="A36" t="s">
        <v>46</v>
      </c>
      <c r="B36" t="s">
        <v>66</v>
      </c>
      <c r="C36">
        <v>1</v>
      </c>
      <c r="D36">
        <v>0.01</v>
      </c>
    </row>
    <row r="37" spans="1:4" x14ac:dyDescent="0.25">
      <c r="A37" t="s">
        <v>46</v>
      </c>
      <c r="B37" t="s">
        <v>67</v>
      </c>
      <c r="C37">
        <v>1</v>
      </c>
      <c r="D37">
        <v>0.13900000000000001</v>
      </c>
    </row>
    <row r="38" spans="1:4" x14ac:dyDescent="0.25">
      <c r="A38" t="s">
        <v>46</v>
      </c>
      <c r="B38" t="s">
        <v>68</v>
      </c>
      <c r="C38">
        <v>1</v>
      </c>
      <c r="D38">
        <v>1</v>
      </c>
    </row>
    <row r="39" spans="1:4" x14ac:dyDescent="0.25">
      <c r="A39" t="s">
        <v>46</v>
      </c>
      <c r="B39" t="s">
        <v>69</v>
      </c>
      <c r="C39">
        <v>1</v>
      </c>
      <c r="D39">
        <v>6.93E-2</v>
      </c>
    </row>
    <row r="40" spans="1:4" x14ac:dyDescent="0.25">
      <c r="A40" t="s">
        <v>46</v>
      </c>
      <c r="B40" t="s">
        <v>70</v>
      </c>
      <c r="C40">
        <v>1</v>
      </c>
      <c r="D40">
        <v>2000</v>
      </c>
    </row>
    <row r="41" spans="1:4" x14ac:dyDescent="0.25">
      <c r="A41" t="s">
        <v>46</v>
      </c>
      <c r="B41" t="s">
        <v>71</v>
      </c>
      <c r="C41">
        <v>1</v>
      </c>
      <c r="D41">
        <v>0.13900000000000001</v>
      </c>
    </row>
    <row r="42" spans="1:4" x14ac:dyDescent="0.25">
      <c r="A42" t="s">
        <v>46</v>
      </c>
      <c r="B42" t="s">
        <v>72</v>
      </c>
      <c r="C42">
        <v>1</v>
      </c>
      <c r="D42">
        <v>6</v>
      </c>
    </row>
    <row r="43" spans="1:4" x14ac:dyDescent="0.25">
      <c r="A43" t="s">
        <v>46</v>
      </c>
      <c r="B43" t="s">
        <v>73</v>
      </c>
      <c r="C43">
        <v>1</v>
      </c>
      <c r="D43">
        <v>2.0790000000000002</v>
      </c>
    </row>
    <row r="44" spans="1:4" x14ac:dyDescent="0.25">
      <c r="A44" t="s">
        <v>46</v>
      </c>
      <c r="B44" t="s">
        <v>74</v>
      </c>
      <c r="C44">
        <v>1</v>
      </c>
      <c r="D44">
        <v>6.9300000000000004E-3</v>
      </c>
    </row>
    <row r="45" spans="1:4" x14ac:dyDescent="0.25">
      <c r="A45" t="s">
        <v>46</v>
      </c>
      <c r="B45" t="s">
        <v>75</v>
      </c>
      <c r="C45">
        <v>1</v>
      </c>
      <c r="D45">
        <v>3.8000000000000002E-4</v>
      </c>
    </row>
    <row r="46" spans="1:4" x14ac:dyDescent="0.25">
      <c r="A46" t="s">
        <v>46</v>
      </c>
      <c r="B46" t="s">
        <v>76</v>
      </c>
      <c r="C46">
        <v>1</v>
      </c>
      <c r="D46">
        <v>24</v>
      </c>
    </row>
    <row r="47" spans="1:4" x14ac:dyDescent="0.25">
      <c r="A47" t="s">
        <v>46</v>
      </c>
      <c r="B47" t="s">
        <v>77</v>
      </c>
      <c r="C47">
        <v>1</v>
      </c>
      <c r="D47">
        <v>1.85</v>
      </c>
    </row>
    <row r="48" spans="1:4" x14ac:dyDescent="0.25">
      <c r="A48" t="s">
        <v>46</v>
      </c>
      <c r="B48" t="s">
        <v>78</v>
      </c>
      <c r="C48">
        <v>1</v>
      </c>
      <c r="D48">
        <v>0.4</v>
      </c>
    </row>
    <row r="49" spans="1:4" x14ac:dyDescent="0.25">
      <c r="A49" t="s">
        <v>46</v>
      </c>
      <c r="B49" t="s">
        <v>79</v>
      </c>
      <c r="C49">
        <v>1</v>
      </c>
      <c r="D49">
        <v>350</v>
      </c>
    </row>
    <row r="50" spans="1:4" x14ac:dyDescent="0.25">
      <c r="A50" t="s">
        <v>46</v>
      </c>
      <c r="B50" t="s">
        <v>80</v>
      </c>
      <c r="C50">
        <v>1</v>
      </c>
      <c r="D50">
        <v>3</v>
      </c>
    </row>
    <row r="51" spans="1:4" x14ac:dyDescent="0.25">
      <c r="A51" t="s">
        <v>46</v>
      </c>
      <c r="B51" t="s">
        <v>81</v>
      </c>
      <c r="C51">
        <v>1</v>
      </c>
      <c r="D51">
        <v>0.5</v>
      </c>
    </row>
    <row r="52" spans="1:4" x14ac:dyDescent="0.25">
      <c r="A52" t="s">
        <v>46</v>
      </c>
      <c r="B52" t="s">
        <v>82</v>
      </c>
      <c r="C52">
        <v>1</v>
      </c>
      <c r="D52">
        <v>0.08</v>
      </c>
    </row>
    <row r="53" spans="1:4" x14ac:dyDescent="0.25">
      <c r="A53" t="s">
        <v>46</v>
      </c>
      <c r="B53" t="s">
        <v>83</v>
      </c>
      <c r="C53">
        <v>1</v>
      </c>
      <c r="D53">
        <v>0.5</v>
      </c>
    </row>
    <row r="54" spans="1:4" x14ac:dyDescent="0.25">
      <c r="A54" t="s">
        <v>46</v>
      </c>
      <c r="B54" t="s">
        <v>84</v>
      </c>
      <c r="C54">
        <v>1</v>
      </c>
      <c r="D54">
        <v>6.0000000000000001E-3</v>
      </c>
    </row>
    <row r="55" spans="1:4" x14ac:dyDescent="0.25">
      <c r="A55" t="s">
        <v>46</v>
      </c>
      <c r="B55" t="s">
        <v>85</v>
      </c>
      <c r="C55">
        <v>1</v>
      </c>
      <c r="D55">
        <v>2.5000000000000001E-2</v>
      </c>
    </row>
    <row r="56" spans="1:4" x14ac:dyDescent="0.25">
      <c r="A56" t="s">
        <v>46</v>
      </c>
      <c r="B56" t="s">
        <v>86</v>
      </c>
      <c r="C56">
        <v>1</v>
      </c>
      <c r="D56">
        <v>4.0000000000000002E-4</v>
      </c>
    </row>
    <row r="57" spans="1:4" x14ac:dyDescent="0.25">
      <c r="A57" t="s">
        <v>46</v>
      </c>
      <c r="B57" t="s">
        <v>87</v>
      </c>
      <c r="C57">
        <v>1</v>
      </c>
      <c r="D57">
        <v>0.04</v>
      </c>
    </row>
    <row r="58" spans="1:4" x14ac:dyDescent="0.25">
      <c r="A58" t="s">
        <v>46</v>
      </c>
      <c r="B58" t="s">
        <v>88</v>
      </c>
      <c r="C58">
        <v>1</v>
      </c>
      <c r="D58">
        <v>4.0000000000000002E-4</v>
      </c>
    </row>
    <row r="59" spans="1:4" x14ac:dyDescent="0.25">
      <c r="A59" t="s">
        <v>46</v>
      </c>
      <c r="B59" t="s">
        <v>89</v>
      </c>
      <c r="C59">
        <v>1</v>
      </c>
      <c r="D59">
        <v>0.25</v>
      </c>
    </row>
    <row r="60" spans="1:4" x14ac:dyDescent="0.25">
      <c r="A60" t="s">
        <v>46</v>
      </c>
      <c r="B60" t="s">
        <v>90</v>
      </c>
      <c r="C60">
        <v>1</v>
      </c>
      <c r="D60">
        <v>3.5000000000000001E-3</v>
      </c>
    </row>
    <row r="61" spans="1:4" x14ac:dyDescent="0.25">
      <c r="A61" t="s">
        <v>46</v>
      </c>
      <c r="B61" t="s">
        <v>91</v>
      </c>
      <c r="C61">
        <v>1</v>
      </c>
      <c r="D61">
        <v>0</v>
      </c>
    </row>
    <row r="62" spans="1:4" x14ac:dyDescent="0.25">
      <c r="A62" t="s">
        <v>46</v>
      </c>
      <c r="B62" t="s">
        <v>92</v>
      </c>
      <c r="C62">
        <v>1</v>
      </c>
      <c r="D62">
        <v>3000</v>
      </c>
    </row>
    <row r="63" spans="1:4" x14ac:dyDescent="0.25">
      <c r="A63" t="s">
        <v>46</v>
      </c>
      <c r="B63" t="s">
        <v>93</v>
      </c>
      <c r="C63">
        <v>1</v>
      </c>
      <c r="D63">
        <v>6.7000000000000004E-2</v>
      </c>
    </row>
    <row r="64" spans="1:4" x14ac:dyDescent="0.25">
      <c r="A64" t="s">
        <v>46</v>
      </c>
      <c r="B64" t="s">
        <v>94</v>
      </c>
      <c r="C64">
        <v>1</v>
      </c>
      <c r="D64">
        <v>8.5000000000000006E-3</v>
      </c>
    </row>
    <row r="65" spans="1:28" x14ac:dyDescent="0.25">
      <c r="A65" t="s">
        <v>46</v>
      </c>
      <c r="B65" t="s">
        <v>95</v>
      </c>
      <c r="C65">
        <v>1</v>
      </c>
      <c r="D65">
        <v>2.5000000000000001E-2</v>
      </c>
    </row>
    <row r="66" spans="1:28" x14ac:dyDescent="0.25">
      <c r="A66" t="s">
        <v>46</v>
      </c>
      <c r="B66" t="s">
        <v>96</v>
      </c>
      <c r="C66">
        <v>1</v>
      </c>
      <c r="D66">
        <v>1.4999999999999999E-2</v>
      </c>
    </row>
    <row r="67" spans="1:28" s="255" customFormat="1" ht="13" x14ac:dyDescent="0.3">
      <c r="A67" s="255" t="s">
        <v>46</v>
      </c>
      <c r="B67" s="255" t="s">
        <v>97</v>
      </c>
      <c r="C67" s="255">
        <v>11</v>
      </c>
      <c r="D67" s="255">
        <v>0</v>
      </c>
      <c r="E67" s="255">
        <v>91.25</v>
      </c>
      <c r="F67" s="255">
        <v>365</v>
      </c>
      <c r="G67" s="255">
        <v>1825</v>
      </c>
      <c r="H67" s="255">
        <v>3650</v>
      </c>
      <c r="I67" s="255">
        <v>5475</v>
      </c>
      <c r="J67" s="255">
        <v>9125</v>
      </c>
      <c r="K67" s="255">
        <v>10950</v>
      </c>
      <c r="L67" s="255">
        <v>14600</v>
      </c>
      <c r="M67" s="255">
        <v>21900</v>
      </c>
      <c r="N67" s="255">
        <v>32850</v>
      </c>
      <c r="O67" s="255" t="s">
        <v>290</v>
      </c>
      <c r="P67" s="255" t="s">
        <v>290</v>
      </c>
      <c r="Q67" s="255" t="s">
        <v>290</v>
      </c>
      <c r="R67" s="255" t="s">
        <v>290</v>
      </c>
      <c r="S67" s="255" t="s">
        <v>290</v>
      </c>
      <c r="T67" s="255" t="s">
        <v>290</v>
      </c>
      <c r="U67" s="255" t="s">
        <v>290</v>
      </c>
      <c r="V67" s="255" t="s">
        <v>290</v>
      </c>
      <c r="W67" s="255" t="s">
        <v>290</v>
      </c>
      <c r="X67" s="255" t="s">
        <v>290</v>
      </c>
      <c r="Y67" s="255" t="s">
        <v>290</v>
      </c>
      <c r="Z67" s="255" t="s">
        <v>290</v>
      </c>
      <c r="AA67" s="255" t="s">
        <v>290</v>
      </c>
      <c r="AB67" s="255" t="s">
        <v>290</v>
      </c>
    </row>
    <row r="68" spans="1:28" s="255" customFormat="1" ht="13" x14ac:dyDescent="0.3">
      <c r="A68" s="255" t="s">
        <v>46</v>
      </c>
      <c r="B68" s="255" t="s">
        <v>98</v>
      </c>
      <c r="C68" s="255">
        <v>11</v>
      </c>
      <c r="D68" s="255">
        <v>0.39</v>
      </c>
      <c r="E68" s="255">
        <v>0.39</v>
      </c>
      <c r="F68" s="255">
        <v>0.38</v>
      </c>
      <c r="G68" s="255">
        <v>0.17</v>
      </c>
      <c r="H68" s="255">
        <v>0.09</v>
      </c>
      <c r="I68" s="255">
        <v>0.09</v>
      </c>
      <c r="J68" s="255">
        <v>0.09</v>
      </c>
      <c r="K68" s="255">
        <v>0.09</v>
      </c>
      <c r="L68" s="255">
        <v>0.09</v>
      </c>
      <c r="M68" s="255">
        <v>0.09</v>
      </c>
      <c r="N68" s="255">
        <v>0.09</v>
      </c>
      <c r="O68" s="255" t="s">
        <v>290</v>
      </c>
      <c r="P68" s="255" t="s">
        <v>290</v>
      </c>
      <c r="Q68" s="255" t="s">
        <v>290</v>
      </c>
      <c r="R68" s="255" t="s">
        <v>290</v>
      </c>
      <c r="S68" s="255" t="s">
        <v>290</v>
      </c>
      <c r="T68" s="255" t="s">
        <v>290</v>
      </c>
      <c r="U68" s="255" t="s">
        <v>290</v>
      </c>
      <c r="V68" s="255" t="s">
        <v>290</v>
      </c>
      <c r="W68" s="255" t="s">
        <v>290</v>
      </c>
      <c r="X68" s="255" t="s">
        <v>290</v>
      </c>
      <c r="Y68" s="255" t="s">
        <v>290</v>
      </c>
      <c r="Z68" s="255" t="s">
        <v>290</v>
      </c>
      <c r="AA68" s="255" t="s">
        <v>290</v>
      </c>
      <c r="AB68" s="255" t="s">
        <v>290</v>
      </c>
    </row>
    <row r="69" spans="1:28" x14ac:dyDescent="0.25">
      <c r="A69" t="s">
        <v>46</v>
      </c>
      <c r="B69" t="s">
        <v>99</v>
      </c>
      <c r="C69">
        <v>11</v>
      </c>
      <c r="D69">
        <v>3</v>
      </c>
      <c r="E69">
        <v>5.5</v>
      </c>
      <c r="F69">
        <v>8</v>
      </c>
      <c r="G69">
        <v>17</v>
      </c>
      <c r="H69">
        <v>30</v>
      </c>
      <c r="I69">
        <v>50</v>
      </c>
      <c r="J69">
        <v>52</v>
      </c>
      <c r="K69">
        <v>52</v>
      </c>
      <c r="L69">
        <v>52</v>
      </c>
      <c r="M69">
        <v>52</v>
      </c>
      <c r="N69">
        <v>52</v>
      </c>
      <c r="O69" t="s">
        <v>290</v>
      </c>
      <c r="P69" t="s">
        <v>290</v>
      </c>
      <c r="Q69" t="s">
        <v>290</v>
      </c>
      <c r="R69" t="s">
        <v>290</v>
      </c>
      <c r="S69" t="s">
        <v>290</v>
      </c>
      <c r="T69" t="s">
        <v>290</v>
      </c>
      <c r="U69" t="s">
        <v>290</v>
      </c>
      <c r="V69" t="s">
        <v>290</v>
      </c>
      <c r="W69" t="s">
        <v>290</v>
      </c>
      <c r="X69" t="s">
        <v>290</v>
      </c>
      <c r="Y69" t="s">
        <v>290</v>
      </c>
      <c r="Z69" t="s">
        <v>290</v>
      </c>
      <c r="AA69" t="s">
        <v>290</v>
      </c>
      <c r="AB69" t="s">
        <v>290</v>
      </c>
    </row>
    <row r="70" spans="1:28" x14ac:dyDescent="0.25">
      <c r="A70" t="s">
        <v>46</v>
      </c>
      <c r="B70" t="s">
        <v>100</v>
      </c>
      <c r="C70">
        <v>11</v>
      </c>
      <c r="D70">
        <v>0.6</v>
      </c>
      <c r="E70">
        <v>0.6</v>
      </c>
      <c r="F70">
        <v>0.6</v>
      </c>
      <c r="G70">
        <v>0.6</v>
      </c>
      <c r="H70">
        <v>0.6</v>
      </c>
      <c r="I70">
        <v>0.6</v>
      </c>
      <c r="J70">
        <v>0.6</v>
      </c>
      <c r="K70">
        <v>0.6</v>
      </c>
      <c r="L70">
        <v>0.6</v>
      </c>
      <c r="M70">
        <v>0.6</v>
      </c>
      <c r="N70">
        <v>0.6</v>
      </c>
      <c r="O70" t="s">
        <v>290</v>
      </c>
      <c r="P70" t="s">
        <v>290</v>
      </c>
      <c r="Q70" t="s">
        <v>290</v>
      </c>
      <c r="R70" t="s">
        <v>290</v>
      </c>
      <c r="S70" t="s">
        <v>290</v>
      </c>
      <c r="T70" t="s">
        <v>290</v>
      </c>
      <c r="U70" t="s">
        <v>290</v>
      </c>
      <c r="V70" t="s">
        <v>290</v>
      </c>
      <c r="W70" t="s">
        <v>290</v>
      </c>
      <c r="X70" t="s">
        <v>290</v>
      </c>
      <c r="Y70" t="s">
        <v>290</v>
      </c>
      <c r="Z70" t="s">
        <v>290</v>
      </c>
      <c r="AA70" t="s">
        <v>290</v>
      </c>
      <c r="AB70" t="s">
        <v>290</v>
      </c>
    </row>
    <row r="71" spans="1:28" x14ac:dyDescent="0.25">
      <c r="A71" t="s">
        <v>46</v>
      </c>
      <c r="B71" t="s">
        <v>101</v>
      </c>
      <c r="C71">
        <v>11</v>
      </c>
      <c r="D71">
        <v>1.6666700000000001</v>
      </c>
      <c r="E71">
        <v>1.6666700000000001</v>
      </c>
      <c r="F71">
        <v>1.6666700000000001</v>
      </c>
      <c r="G71">
        <v>1.6666700000000001</v>
      </c>
      <c r="H71">
        <v>1.6666700000000001</v>
      </c>
      <c r="I71">
        <v>1.3333299999999999</v>
      </c>
      <c r="J71">
        <v>1</v>
      </c>
      <c r="K71">
        <v>1</v>
      </c>
      <c r="L71">
        <v>1</v>
      </c>
      <c r="M71">
        <v>1</v>
      </c>
      <c r="N71">
        <v>1</v>
      </c>
      <c r="O71" t="s">
        <v>290</v>
      </c>
      <c r="P71" t="s">
        <v>290</v>
      </c>
      <c r="Q71" t="s">
        <v>290</v>
      </c>
      <c r="R71" t="s">
        <v>290</v>
      </c>
      <c r="S71" t="s">
        <v>290</v>
      </c>
      <c r="T71" t="s">
        <v>290</v>
      </c>
      <c r="U71" t="s">
        <v>290</v>
      </c>
      <c r="V71" t="s">
        <v>290</v>
      </c>
      <c r="W71" t="s">
        <v>290</v>
      </c>
      <c r="X71" t="s">
        <v>290</v>
      </c>
      <c r="Y71" t="s">
        <v>290</v>
      </c>
      <c r="Z71" t="s">
        <v>290</v>
      </c>
      <c r="AA71" t="s">
        <v>290</v>
      </c>
      <c r="AB71" t="s">
        <v>290</v>
      </c>
    </row>
    <row r="72" spans="1:28" x14ac:dyDescent="0.25">
      <c r="A72" t="s">
        <v>46</v>
      </c>
      <c r="B72" t="s">
        <v>102</v>
      </c>
      <c r="C72">
        <v>11</v>
      </c>
      <c r="D72">
        <v>12</v>
      </c>
      <c r="E72">
        <v>12</v>
      </c>
      <c r="F72">
        <v>15</v>
      </c>
      <c r="G72">
        <v>11</v>
      </c>
      <c r="H72">
        <v>8</v>
      </c>
      <c r="I72">
        <v>7</v>
      </c>
      <c r="J72">
        <v>7</v>
      </c>
      <c r="K72">
        <v>7</v>
      </c>
      <c r="L72">
        <v>7</v>
      </c>
      <c r="M72">
        <v>7</v>
      </c>
      <c r="N72">
        <v>7</v>
      </c>
      <c r="O72" t="s">
        <v>290</v>
      </c>
      <c r="P72" t="s">
        <v>290</v>
      </c>
      <c r="Q72" t="s">
        <v>290</v>
      </c>
      <c r="R72" t="s">
        <v>290</v>
      </c>
      <c r="S72" t="s">
        <v>290</v>
      </c>
      <c r="T72" t="s">
        <v>290</v>
      </c>
      <c r="U72" t="s">
        <v>290</v>
      </c>
      <c r="V72" t="s">
        <v>290</v>
      </c>
      <c r="W72" t="s">
        <v>290</v>
      </c>
      <c r="X72" t="s">
        <v>290</v>
      </c>
      <c r="Y72" t="s">
        <v>290</v>
      </c>
      <c r="Z72" t="s">
        <v>290</v>
      </c>
      <c r="AA72" t="s">
        <v>290</v>
      </c>
      <c r="AB72" t="s">
        <v>290</v>
      </c>
    </row>
    <row r="73" spans="1:28" x14ac:dyDescent="0.25">
      <c r="A73" t="s">
        <v>46</v>
      </c>
      <c r="B73" t="s">
        <v>103</v>
      </c>
      <c r="C73">
        <v>11</v>
      </c>
      <c r="D73">
        <v>9.5E-4</v>
      </c>
      <c r="E73">
        <v>9.5E-4</v>
      </c>
      <c r="F73">
        <v>9.5E-4</v>
      </c>
      <c r="G73">
        <v>9.5E-4</v>
      </c>
      <c r="H73">
        <v>9.5E-4</v>
      </c>
      <c r="I73">
        <v>9.5E-4</v>
      </c>
      <c r="J73">
        <v>9.5E-4</v>
      </c>
      <c r="K73">
        <v>9.5E-4</v>
      </c>
      <c r="L73">
        <v>9.5E-4</v>
      </c>
      <c r="M73">
        <v>9.5E-4</v>
      </c>
      <c r="N73">
        <v>9.5E-4</v>
      </c>
      <c r="O73" t="s">
        <v>290</v>
      </c>
      <c r="P73" t="s">
        <v>290</v>
      </c>
      <c r="Q73" t="s">
        <v>290</v>
      </c>
      <c r="R73" t="s">
        <v>290</v>
      </c>
      <c r="S73" t="s">
        <v>290</v>
      </c>
      <c r="T73" t="s">
        <v>290</v>
      </c>
      <c r="U73" t="s">
        <v>290</v>
      </c>
      <c r="V73" t="s">
        <v>290</v>
      </c>
      <c r="W73" t="s">
        <v>290</v>
      </c>
      <c r="X73" t="s">
        <v>290</v>
      </c>
      <c r="Y73" t="s">
        <v>290</v>
      </c>
      <c r="Z73" t="s">
        <v>290</v>
      </c>
      <c r="AA73" t="s">
        <v>290</v>
      </c>
      <c r="AB73" t="s">
        <v>290</v>
      </c>
    </row>
    <row r="74" spans="1:28" x14ac:dyDescent="0.25">
      <c r="A74" t="s">
        <v>46</v>
      </c>
      <c r="B74" t="s">
        <v>104</v>
      </c>
      <c r="C74">
        <v>11</v>
      </c>
      <c r="D74">
        <v>2.0400000000000001E-2</v>
      </c>
      <c r="E74">
        <v>1.644E-2</v>
      </c>
      <c r="F74">
        <v>5.7600000000000004E-3</v>
      </c>
      <c r="G74">
        <v>3.0799999999999998E-3</v>
      </c>
      <c r="H74">
        <v>1.7799999999999999E-3</v>
      </c>
      <c r="I74">
        <v>1.024E-3</v>
      </c>
      <c r="J74">
        <v>1.6440000000000001E-4</v>
      </c>
      <c r="K74">
        <v>1.6440000000000001E-4</v>
      </c>
      <c r="L74">
        <v>1.6440000000000001E-4</v>
      </c>
      <c r="M74">
        <v>1.6440000000000001E-4</v>
      </c>
      <c r="N74">
        <v>1.6440000000000001E-4</v>
      </c>
      <c r="O74" t="s">
        <v>290</v>
      </c>
      <c r="P74" t="s">
        <v>290</v>
      </c>
      <c r="Q74" t="s">
        <v>290</v>
      </c>
      <c r="R74" t="s">
        <v>290</v>
      </c>
      <c r="S74" t="s">
        <v>290</v>
      </c>
      <c r="T74" t="s">
        <v>290</v>
      </c>
      <c r="U74" t="s">
        <v>290</v>
      </c>
      <c r="V74" t="s">
        <v>290</v>
      </c>
      <c r="W74" t="s">
        <v>290</v>
      </c>
      <c r="X74" t="s">
        <v>290</v>
      </c>
      <c r="Y74" t="s">
        <v>290</v>
      </c>
      <c r="Z74" t="s">
        <v>290</v>
      </c>
      <c r="AA74" t="s">
        <v>290</v>
      </c>
      <c r="AB74" t="s">
        <v>290</v>
      </c>
    </row>
    <row r="75" spans="1:28" x14ac:dyDescent="0.25">
      <c r="A75" t="s">
        <v>46</v>
      </c>
      <c r="B75" t="s">
        <v>105</v>
      </c>
      <c r="C75">
        <v>11</v>
      </c>
      <c r="D75">
        <v>0.35</v>
      </c>
      <c r="E75">
        <v>0.35</v>
      </c>
      <c r="F75">
        <v>0.35</v>
      </c>
      <c r="G75">
        <v>0.35</v>
      </c>
      <c r="H75">
        <v>0.35</v>
      </c>
      <c r="I75">
        <v>0.35</v>
      </c>
      <c r="J75">
        <v>0.5</v>
      </c>
      <c r="K75">
        <v>0.5</v>
      </c>
      <c r="L75">
        <v>0.5</v>
      </c>
      <c r="M75">
        <v>0.5</v>
      </c>
      <c r="N75">
        <v>0.5</v>
      </c>
      <c r="O75" t="s">
        <v>290</v>
      </c>
      <c r="P75" t="s">
        <v>290</v>
      </c>
      <c r="Q75" t="s">
        <v>290</v>
      </c>
      <c r="R75" t="s">
        <v>290</v>
      </c>
      <c r="S75" t="s">
        <v>290</v>
      </c>
      <c r="T75" t="s">
        <v>290</v>
      </c>
      <c r="U75" t="s">
        <v>290</v>
      </c>
      <c r="V75" t="s">
        <v>290</v>
      </c>
      <c r="W75" t="s">
        <v>290</v>
      </c>
      <c r="X75" t="s">
        <v>290</v>
      </c>
      <c r="Y75" t="s">
        <v>290</v>
      </c>
      <c r="Z75" t="s">
        <v>290</v>
      </c>
      <c r="AA75" t="s">
        <v>290</v>
      </c>
      <c r="AB75" t="s">
        <v>290</v>
      </c>
    </row>
    <row r="76" spans="1:28" x14ac:dyDescent="0.25">
      <c r="A76" t="s">
        <v>46</v>
      </c>
      <c r="B76" t="s">
        <v>106</v>
      </c>
      <c r="C76">
        <v>11</v>
      </c>
      <c r="D76">
        <v>0.65</v>
      </c>
      <c r="E76">
        <v>0.65</v>
      </c>
      <c r="F76">
        <v>0.65</v>
      </c>
      <c r="G76">
        <v>0.65</v>
      </c>
      <c r="H76">
        <v>0.65</v>
      </c>
      <c r="I76">
        <v>0.65</v>
      </c>
      <c r="J76">
        <v>0.5</v>
      </c>
      <c r="K76">
        <v>0.5</v>
      </c>
      <c r="L76">
        <v>0.5</v>
      </c>
      <c r="M76">
        <v>0.5</v>
      </c>
      <c r="N76">
        <v>0.5</v>
      </c>
      <c r="O76" t="s">
        <v>290</v>
      </c>
      <c r="P76" t="s">
        <v>290</v>
      </c>
      <c r="Q76" t="s">
        <v>290</v>
      </c>
      <c r="R76" t="s">
        <v>290</v>
      </c>
      <c r="S76" t="s">
        <v>290</v>
      </c>
      <c r="T76" t="s">
        <v>290</v>
      </c>
      <c r="U76" t="s">
        <v>290</v>
      </c>
      <c r="V76" t="s">
        <v>290</v>
      </c>
      <c r="W76" t="s">
        <v>290</v>
      </c>
      <c r="X76" t="s">
        <v>290</v>
      </c>
      <c r="Y76" t="s">
        <v>290</v>
      </c>
      <c r="Z76" t="s">
        <v>290</v>
      </c>
      <c r="AA76" t="s">
        <v>290</v>
      </c>
      <c r="AB76" t="s">
        <v>290</v>
      </c>
    </row>
    <row r="77" spans="1:28" x14ac:dyDescent="0.25">
      <c r="A77" t="s">
        <v>46</v>
      </c>
      <c r="B77" t="s">
        <v>107</v>
      </c>
      <c r="C77">
        <v>11</v>
      </c>
      <c r="D77">
        <v>2.3105000000000001E-2</v>
      </c>
      <c r="E77">
        <v>2.3105000000000001E-2</v>
      </c>
      <c r="F77">
        <v>2.3105000000000001E-2</v>
      </c>
      <c r="G77">
        <v>2.3105000000000001E-2</v>
      </c>
      <c r="H77">
        <v>2.3105000000000001E-2</v>
      </c>
      <c r="I77">
        <v>2.3105000000000001E-2</v>
      </c>
      <c r="J77">
        <v>2.3105000000000001E-2</v>
      </c>
      <c r="K77">
        <v>2.3105000000000001E-2</v>
      </c>
      <c r="L77">
        <v>2.3105000000000001E-2</v>
      </c>
      <c r="M77">
        <v>2.3105000000000001E-2</v>
      </c>
      <c r="N77">
        <v>2.3105000000000001E-2</v>
      </c>
      <c r="O77" t="s">
        <v>290</v>
      </c>
      <c r="P77" t="s">
        <v>290</v>
      </c>
      <c r="Q77" t="s">
        <v>290</v>
      </c>
      <c r="R77" t="s">
        <v>290</v>
      </c>
      <c r="S77" t="s">
        <v>290</v>
      </c>
      <c r="T77" t="s">
        <v>290</v>
      </c>
      <c r="U77" t="s">
        <v>290</v>
      </c>
      <c r="V77" t="s">
        <v>290</v>
      </c>
      <c r="W77" t="s">
        <v>290</v>
      </c>
      <c r="X77" t="s">
        <v>290</v>
      </c>
      <c r="Y77" t="s">
        <v>290</v>
      </c>
      <c r="Z77" t="s">
        <v>290</v>
      </c>
      <c r="AA77" t="s">
        <v>290</v>
      </c>
      <c r="AB77" t="s">
        <v>290</v>
      </c>
    </row>
    <row r="78" spans="1:28" x14ac:dyDescent="0.25">
      <c r="A78" t="s">
        <v>46</v>
      </c>
      <c r="B78" t="s">
        <v>108</v>
      </c>
      <c r="C78">
        <v>11</v>
      </c>
      <c r="D78">
        <v>6.9300000000000004E-4</v>
      </c>
      <c r="E78">
        <v>6.9300000000000004E-4</v>
      </c>
      <c r="F78">
        <v>6.9300000000000004E-4</v>
      </c>
      <c r="G78">
        <v>6.9300000000000004E-4</v>
      </c>
      <c r="H78">
        <v>1.9000000000000001E-4</v>
      </c>
      <c r="I78">
        <v>1.9000000000000001E-4</v>
      </c>
      <c r="J78">
        <v>1.9000000000000001E-4</v>
      </c>
      <c r="K78">
        <v>9.5E-4</v>
      </c>
      <c r="L78">
        <v>1.9E-3</v>
      </c>
      <c r="M78">
        <v>1.9E-3</v>
      </c>
      <c r="N78">
        <v>1.9E-3</v>
      </c>
      <c r="O78" t="s">
        <v>290</v>
      </c>
      <c r="P78" t="s">
        <v>290</v>
      </c>
      <c r="Q78" t="s">
        <v>290</v>
      </c>
      <c r="R78" t="s">
        <v>290</v>
      </c>
      <c r="S78" t="s">
        <v>290</v>
      </c>
      <c r="T78" t="s">
        <v>290</v>
      </c>
      <c r="U78" t="s">
        <v>290</v>
      </c>
      <c r="V78" t="s">
        <v>290</v>
      </c>
      <c r="W78" t="s">
        <v>290</v>
      </c>
      <c r="X78" t="s">
        <v>290</v>
      </c>
      <c r="Y78" t="s">
        <v>290</v>
      </c>
      <c r="Z78" t="s">
        <v>290</v>
      </c>
      <c r="AA78" t="s">
        <v>290</v>
      </c>
      <c r="AB78" t="s">
        <v>290</v>
      </c>
    </row>
    <row r="79" spans="1:28" x14ac:dyDescent="0.25">
      <c r="A79" t="s">
        <v>46</v>
      </c>
      <c r="B79" t="s">
        <v>109</v>
      </c>
      <c r="C79">
        <v>11</v>
      </c>
      <c r="D79">
        <v>6.9300000000000004E-4</v>
      </c>
      <c r="E79">
        <v>6.9300000000000004E-4</v>
      </c>
      <c r="F79">
        <v>6.9300000000000004E-4</v>
      </c>
      <c r="G79">
        <v>1.3860000000000001E-3</v>
      </c>
      <c r="H79">
        <v>5.6999999999999998E-4</v>
      </c>
      <c r="I79">
        <v>5.6999999999999998E-4</v>
      </c>
      <c r="J79">
        <v>5.6999999999999998E-4</v>
      </c>
      <c r="K79">
        <v>1.4250000000000001E-3</v>
      </c>
      <c r="L79">
        <v>3.0400000000000002E-3</v>
      </c>
      <c r="M79">
        <v>3.4199999999999999E-3</v>
      </c>
      <c r="N79">
        <v>3.8E-3</v>
      </c>
      <c r="O79" t="s">
        <v>290</v>
      </c>
      <c r="P79" t="s">
        <v>290</v>
      </c>
      <c r="Q79" t="s">
        <v>290</v>
      </c>
      <c r="R79" t="s">
        <v>290</v>
      </c>
      <c r="S79" t="s">
        <v>290</v>
      </c>
      <c r="T79" t="s">
        <v>290</v>
      </c>
      <c r="U79" t="s">
        <v>290</v>
      </c>
      <c r="V79" t="s">
        <v>290</v>
      </c>
      <c r="W79" t="s">
        <v>290</v>
      </c>
      <c r="X79" t="s">
        <v>290</v>
      </c>
      <c r="Y79" t="s">
        <v>290</v>
      </c>
      <c r="Z79" t="s">
        <v>290</v>
      </c>
      <c r="AA79" t="s">
        <v>290</v>
      </c>
      <c r="AB79" t="s">
        <v>290</v>
      </c>
    </row>
    <row r="80" spans="1:28" x14ac:dyDescent="0.25">
      <c r="A80" t="s">
        <v>46</v>
      </c>
      <c r="B80" t="s">
        <v>110</v>
      </c>
      <c r="C80">
        <v>11</v>
      </c>
      <c r="D80">
        <v>0.46200000000000002</v>
      </c>
      <c r="E80">
        <v>0.46200000000000002</v>
      </c>
      <c r="F80">
        <v>0.78539999999999999</v>
      </c>
      <c r="G80">
        <v>0.49859999999999999</v>
      </c>
      <c r="H80">
        <v>0.1946</v>
      </c>
      <c r="I80">
        <v>0.13900000000000001</v>
      </c>
      <c r="J80">
        <v>0.13900000000000001</v>
      </c>
      <c r="K80">
        <v>0.13900000000000001</v>
      </c>
      <c r="L80">
        <v>0.13900000000000001</v>
      </c>
      <c r="M80">
        <v>0.13900000000000001</v>
      </c>
      <c r="N80">
        <v>0.13900000000000001</v>
      </c>
      <c r="O80" t="s">
        <v>290</v>
      </c>
      <c r="P80" t="s">
        <v>290</v>
      </c>
      <c r="Q80" t="s">
        <v>290</v>
      </c>
      <c r="R80" t="s">
        <v>290</v>
      </c>
      <c r="S80" t="s">
        <v>290</v>
      </c>
      <c r="T80" t="s">
        <v>290</v>
      </c>
      <c r="U80" t="s">
        <v>290</v>
      </c>
      <c r="V80" t="s">
        <v>290</v>
      </c>
      <c r="W80" t="s">
        <v>290</v>
      </c>
      <c r="X80" t="s">
        <v>290</v>
      </c>
      <c r="Y80" t="s">
        <v>290</v>
      </c>
      <c r="Z80" t="s">
        <v>290</v>
      </c>
      <c r="AA80" t="s">
        <v>290</v>
      </c>
      <c r="AB80" t="s">
        <v>290</v>
      </c>
    </row>
    <row r="81" spans="1:28" x14ac:dyDescent="0.25">
      <c r="A81" t="s">
        <v>46</v>
      </c>
      <c r="B81" t="s">
        <v>111</v>
      </c>
      <c r="C81">
        <v>11</v>
      </c>
      <c r="D81">
        <v>2.0400000000000001E-2</v>
      </c>
      <c r="E81">
        <v>1.644E-2</v>
      </c>
      <c r="F81">
        <v>5.7600000000000004E-3</v>
      </c>
      <c r="G81">
        <v>3.62E-3</v>
      </c>
      <c r="H81">
        <v>2.64E-3</v>
      </c>
      <c r="I81">
        <v>1.9120000000000001E-3</v>
      </c>
      <c r="J81">
        <v>9.859999999999999E-4</v>
      </c>
      <c r="K81">
        <v>9.859999999999999E-4</v>
      </c>
      <c r="L81">
        <v>9.859999999999999E-4</v>
      </c>
      <c r="M81">
        <v>9.859999999999999E-4</v>
      </c>
      <c r="N81">
        <v>9.859999999999999E-4</v>
      </c>
      <c r="O81" t="s">
        <v>290</v>
      </c>
      <c r="P81" t="s">
        <v>290</v>
      </c>
      <c r="Q81" t="s">
        <v>290</v>
      </c>
      <c r="R81" t="s">
        <v>290</v>
      </c>
      <c r="S81" t="s">
        <v>290</v>
      </c>
      <c r="T81" t="s">
        <v>290</v>
      </c>
      <c r="U81" t="s">
        <v>290</v>
      </c>
      <c r="V81" t="s">
        <v>290</v>
      </c>
      <c r="W81" t="s">
        <v>290</v>
      </c>
      <c r="X81" t="s">
        <v>290</v>
      </c>
      <c r="Y81" t="s">
        <v>290</v>
      </c>
      <c r="Z81" t="s">
        <v>290</v>
      </c>
      <c r="AA81" t="s">
        <v>290</v>
      </c>
      <c r="AB81" t="s">
        <v>290</v>
      </c>
    </row>
    <row r="82" spans="1:28" x14ac:dyDescent="0.25">
      <c r="A82" t="s">
        <v>46</v>
      </c>
      <c r="B82" t="s">
        <v>112</v>
      </c>
      <c r="C82">
        <v>11</v>
      </c>
      <c r="D82">
        <v>0.35</v>
      </c>
      <c r="E82">
        <v>0.35</v>
      </c>
      <c r="F82">
        <v>0.35</v>
      </c>
      <c r="G82">
        <v>0.35</v>
      </c>
      <c r="H82">
        <v>0.35</v>
      </c>
      <c r="I82">
        <v>0.35</v>
      </c>
      <c r="J82">
        <v>0.5</v>
      </c>
      <c r="K82">
        <v>0.5</v>
      </c>
      <c r="L82">
        <v>0.5</v>
      </c>
      <c r="M82">
        <v>0.5</v>
      </c>
      <c r="N82">
        <v>0.5</v>
      </c>
      <c r="O82" t="s">
        <v>290</v>
      </c>
      <c r="P82" t="s">
        <v>290</v>
      </c>
      <c r="Q82" t="s">
        <v>290</v>
      </c>
      <c r="R82" t="s">
        <v>290</v>
      </c>
      <c r="S82" t="s">
        <v>290</v>
      </c>
      <c r="T82" t="s">
        <v>290</v>
      </c>
      <c r="U82" t="s">
        <v>290</v>
      </c>
      <c r="V82" t="s">
        <v>290</v>
      </c>
      <c r="W82" t="s">
        <v>290</v>
      </c>
      <c r="X82" t="s">
        <v>290</v>
      </c>
      <c r="Y82" t="s">
        <v>290</v>
      </c>
      <c r="Z82" t="s">
        <v>290</v>
      </c>
      <c r="AA82" t="s">
        <v>290</v>
      </c>
      <c r="AB82" t="s">
        <v>290</v>
      </c>
    </row>
    <row r="83" spans="1:28" x14ac:dyDescent="0.25">
      <c r="A83" t="s">
        <v>46</v>
      </c>
      <c r="B83" t="s">
        <v>113</v>
      </c>
      <c r="C83">
        <v>11</v>
      </c>
      <c r="D83">
        <v>0.65</v>
      </c>
      <c r="E83">
        <v>0.65</v>
      </c>
      <c r="F83">
        <v>0.65</v>
      </c>
      <c r="G83">
        <v>0.65</v>
      </c>
      <c r="H83">
        <v>0.65</v>
      </c>
      <c r="I83">
        <v>0.65</v>
      </c>
      <c r="J83">
        <v>0.5</v>
      </c>
      <c r="K83">
        <v>0.5</v>
      </c>
      <c r="L83">
        <v>0.5</v>
      </c>
      <c r="M83">
        <v>0.5</v>
      </c>
      <c r="N83">
        <v>0.5</v>
      </c>
      <c r="O83" t="s">
        <v>290</v>
      </c>
      <c r="P83" t="s">
        <v>290</v>
      </c>
      <c r="Q83" t="s">
        <v>290</v>
      </c>
      <c r="R83" t="s">
        <v>290</v>
      </c>
      <c r="S83" t="s">
        <v>290</v>
      </c>
      <c r="T83" t="s">
        <v>290</v>
      </c>
      <c r="U83" t="s">
        <v>290</v>
      </c>
      <c r="V83" t="s">
        <v>290</v>
      </c>
      <c r="W83" t="s">
        <v>290</v>
      </c>
      <c r="X83" t="s">
        <v>290</v>
      </c>
      <c r="Y83" t="s">
        <v>290</v>
      </c>
      <c r="Z83" t="s">
        <v>290</v>
      </c>
      <c r="AA83" t="s">
        <v>290</v>
      </c>
      <c r="AB83" t="s">
        <v>290</v>
      </c>
    </row>
    <row r="84" spans="1:28" x14ac:dyDescent="0.25">
      <c r="A84" t="s">
        <v>46</v>
      </c>
      <c r="B84" t="s">
        <v>114</v>
      </c>
      <c r="C84">
        <v>11</v>
      </c>
      <c r="D84">
        <v>0.24</v>
      </c>
      <c r="E84">
        <v>0.24</v>
      </c>
      <c r="F84">
        <v>0.14399999999999999</v>
      </c>
      <c r="G84">
        <v>0.128</v>
      </c>
      <c r="H84">
        <v>0.17899999999999999</v>
      </c>
      <c r="I84">
        <v>0.23699999999999999</v>
      </c>
      <c r="J84">
        <v>0.08</v>
      </c>
      <c r="K84">
        <v>0.08</v>
      </c>
      <c r="L84">
        <v>0.08</v>
      </c>
      <c r="M84">
        <v>0.08</v>
      </c>
      <c r="N84">
        <v>0.08</v>
      </c>
      <c r="O84" t="s">
        <v>290</v>
      </c>
      <c r="P84" t="s">
        <v>290</v>
      </c>
      <c r="Q84" t="s">
        <v>290</v>
      </c>
      <c r="R84" t="s">
        <v>290</v>
      </c>
      <c r="S84" t="s">
        <v>290</v>
      </c>
      <c r="T84" t="s">
        <v>290</v>
      </c>
      <c r="U84" t="s">
        <v>290</v>
      </c>
      <c r="V84" t="s">
        <v>290</v>
      </c>
      <c r="W84" t="s">
        <v>290</v>
      </c>
      <c r="X84" t="s">
        <v>290</v>
      </c>
      <c r="Y84" t="s">
        <v>290</v>
      </c>
      <c r="Z84" t="s">
        <v>290</v>
      </c>
      <c r="AA84" t="s">
        <v>290</v>
      </c>
      <c r="AB84" t="s">
        <v>290</v>
      </c>
    </row>
    <row r="85" spans="1:28" x14ac:dyDescent="0.25">
      <c r="A85" t="s">
        <v>46</v>
      </c>
      <c r="B85" t="s">
        <v>115</v>
      </c>
      <c r="C85">
        <v>11</v>
      </c>
      <c r="D85">
        <v>0.2</v>
      </c>
      <c r="E85">
        <v>0.2</v>
      </c>
      <c r="F85">
        <v>0.2</v>
      </c>
      <c r="G85">
        <v>0.222</v>
      </c>
      <c r="H85">
        <v>0.25</v>
      </c>
      <c r="I85">
        <v>0.27900000000000003</v>
      </c>
      <c r="J85">
        <v>0.55600000000000005</v>
      </c>
      <c r="K85">
        <v>0.55600000000000005</v>
      </c>
      <c r="L85">
        <v>0.55600000000000005</v>
      </c>
      <c r="M85">
        <v>0.55600000000000005</v>
      </c>
      <c r="N85">
        <v>0.55600000000000005</v>
      </c>
      <c r="O85" t="s">
        <v>290</v>
      </c>
      <c r="P85" t="s">
        <v>290</v>
      </c>
      <c r="Q85" t="s">
        <v>290</v>
      </c>
      <c r="R85" t="s">
        <v>290</v>
      </c>
      <c r="S85" t="s">
        <v>290</v>
      </c>
      <c r="T85" t="s">
        <v>290</v>
      </c>
      <c r="U85" t="s">
        <v>290</v>
      </c>
      <c r="V85" t="s">
        <v>290</v>
      </c>
      <c r="W85" t="s">
        <v>290</v>
      </c>
      <c r="X85" t="s">
        <v>290</v>
      </c>
      <c r="Y85" t="s">
        <v>290</v>
      </c>
      <c r="Z85" t="s">
        <v>290</v>
      </c>
      <c r="AA85" t="s">
        <v>290</v>
      </c>
      <c r="AB85" t="s">
        <v>290</v>
      </c>
    </row>
    <row r="86" spans="1:28" x14ac:dyDescent="0.25">
      <c r="A86" t="s">
        <v>46</v>
      </c>
      <c r="B86" t="s">
        <v>116</v>
      </c>
      <c r="C86">
        <v>11</v>
      </c>
      <c r="D86">
        <v>4.4999999999999999E-4</v>
      </c>
      <c r="E86">
        <v>4.4999999999999999E-4</v>
      </c>
      <c r="F86">
        <v>4.4999999999999999E-4</v>
      </c>
      <c r="G86">
        <v>1.4999999999999999E-4</v>
      </c>
      <c r="H86">
        <v>1.4999999999999999E-4</v>
      </c>
      <c r="I86">
        <v>1.4999999999999999E-4</v>
      </c>
      <c r="J86">
        <v>1.4999999999999999E-4</v>
      </c>
      <c r="K86">
        <v>1.4999999999999999E-4</v>
      </c>
      <c r="L86">
        <v>1.4999999999999999E-4</v>
      </c>
      <c r="M86">
        <v>1.4999999999999999E-4</v>
      </c>
      <c r="N86">
        <v>1.4999999999999999E-4</v>
      </c>
      <c r="O86" t="s">
        <v>290</v>
      </c>
      <c r="P86" t="s">
        <v>290</v>
      </c>
      <c r="Q86" t="s">
        <v>290</v>
      </c>
      <c r="R86" t="s">
        <v>290</v>
      </c>
      <c r="S86" t="s">
        <v>290</v>
      </c>
      <c r="T86" t="s">
        <v>290</v>
      </c>
      <c r="U86" t="s">
        <v>290</v>
      </c>
      <c r="V86" t="s">
        <v>290</v>
      </c>
      <c r="W86" t="s">
        <v>290</v>
      </c>
      <c r="X86" t="s">
        <v>290</v>
      </c>
      <c r="Y86" t="s">
        <v>290</v>
      </c>
      <c r="Z86" t="s">
        <v>290</v>
      </c>
      <c r="AA86" t="s">
        <v>290</v>
      </c>
      <c r="AB86" t="s">
        <v>290</v>
      </c>
    </row>
    <row r="87" spans="1:28" x14ac:dyDescent="0.25">
      <c r="A87" t="s">
        <v>46</v>
      </c>
      <c r="B87" t="s">
        <v>117</v>
      </c>
      <c r="C87">
        <v>11</v>
      </c>
      <c r="D87">
        <v>8.3449999999999996E-2</v>
      </c>
      <c r="E87">
        <v>8.3449999999999996E-2</v>
      </c>
      <c r="F87">
        <v>8.3449999999999996E-2</v>
      </c>
      <c r="G87">
        <v>8.3750000000000005E-2</v>
      </c>
      <c r="H87">
        <v>8.3750000000000005E-2</v>
      </c>
      <c r="I87">
        <v>8.3750000000000005E-2</v>
      </c>
      <c r="J87">
        <v>8.8749999999999996E-2</v>
      </c>
      <c r="K87">
        <v>8.8749999999999996E-2</v>
      </c>
      <c r="L87">
        <v>8.8749999999999996E-2</v>
      </c>
      <c r="M87">
        <v>8.8749999999999996E-2</v>
      </c>
      <c r="N87">
        <v>8.8749999999999996E-2</v>
      </c>
      <c r="O87" t="s">
        <v>290</v>
      </c>
      <c r="P87" t="s">
        <v>290</v>
      </c>
      <c r="Q87" t="s">
        <v>290</v>
      </c>
      <c r="R87" t="s">
        <v>290</v>
      </c>
      <c r="S87" t="s">
        <v>290</v>
      </c>
      <c r="T87" t="s">
        <v>290</v>
      </c>
      <c r="U87" t="s">
        <v>290</v>
      </c>
      <c r="V87" t="s">
        <v>290</v>
      </c>
      <c r="W87" t="s">
        <v>290</v>
      </c>
      <c r="X87" t="s">
        <v>290</v>
      </c>
      <c r="Y87" t="s">
        <v>290</v>
      </c>
      <c r="Z87" t="s">
        <v>290</v>
      </c>
      <c r="AA87" t="s">
        <v>290</v>
      </c>
      <c r="AB87" t="s">
        <v>290</v>
      </c>
    </row>
    <row r="88" spans="1:28" x14ac:dyDescent="0.25">
      <c r="A88" t="s">
        <v>46</v>
      </c>
      <c r="B88" t="s">
        <v>118</v>
      </c>
      <c r="C88">
        <v>11</v>
      </c>
      <c r="D88">
        <v>0.01</v>
      </c>
      <c r="E88">
        <v>0.01</v>
      </c>
      <c r="F88">
        <v>0.01</v>
      </c>
      <c r="G88">
        <v>0.01</v>
      </c>
      <c r="H88">
        <v>0.01</v>
      </c>
      <c r="I88">
        <v>0.01</v>
      </c>
      <c r="J88">
        <v>5.0000000000000001E-3</v>
      </c>
      <c r="K88">
        <v>5.0000000000000001E-3</v>
      </c>
      <c r="L88">
        <v>5.0000000000000001E-3</v>
      </c>
      <c r="M88">
        <v>5.0000000000000001E-3</v>
      </c>
      <c r="N88">
        <v>5.0000000000000001E-3</v>
      </c>
      <c r="O88" t="s">
        <v>290</v>
      </c>
      <c r="P88" t="s">
        <v>290</v>
      </c>
      <c r="Q88" t="s">
        <v>290</v>
      </c>
      <c r="R88" t="s">
        <v>290</v>
      </c>
      <c r="S88" t="s">
        <v>290</v>
      </c>
      <c r="T88" t="s">
        <v>290</v>
      </c>
      <c r="U88" t="s">
        <v>290</v>
      </c>
      <c r="V88" t="s">
        <v>290</v>
      </c>
      <c r="W88" t="s">
        <v>290</v>
      </c>
      <c r="X88" t="s">
        <v>290</v>
      </c>
      <c r="Y88" t="s">
        <v>290</v>
      </c>
      <c r="Z88" t="s">
        <v>290</v>
      </c>
      <c r="AA88" t="s">
        <v>290</v>
      </c>
      <c r="AB88" t="s">
        <v>290</v>
      </c>
    </row>
    <row r="89" spans="1:28" x14ac:dyDescent="0.25">
      <c r="A89" t="s">
        <v>46</v>
      </c>
      <c r="B89" t="s">
        <v>119</v>
      </c>
      <c r="C89">
        <v>11</v>
      </c>
      <c r="D89">
        <v>1E-3</v>
      </c>
      <c r="E89">
        <v>1E-3</v>
      </c>
      <c r="F89">
        <v>1E-3</v>
      </c>
      <c r="G89">
        <v>1E-3</v>
      </c>
      <c r="H89">
        <v>1E-3</v>
      </c>
      <c r="I89">
        <v>1E-3</v>
      </c>
      <c r="J89">
        <v>1E-3</v>
      </c>
      <c r="K89">
        <v>1E-3</v>
      </c>
      <c r="L89">
        <v>1E-3</v>
      </c>
      <c r="M89">
        <v>1E-3</v>
      </c>
      <c r="N89">
        <v>1E-3</v>
      </c>
      <c r="O89" t="s">
        <v>290</v>
      </c>
      <c r="P89" t="s">
        <v>290</v>
      </c>
      <c r="Q89" t="s">
        <v>290</v>
      </c>
      <c r="R89" t="s">
        <v>290</v>
      </c>
      <c r="S89" t="s">
        <v>290</v>
      </c>
      <c r="T89" t="s">
        <v>290</v>
      </c>
      <c r="U89" t="s">
        <v>290</v>
      </c>
      <c r="V89" t="s">
        <v>290</v>
      </c>
      <c r="W89" t="s">
        <v>290</v>
      </c>
      <c r="X89" t="s">
        <v>290</v>
      </c>
      <c r="Y89" t="s">
        <v>290</v>
      </c>
      <c r="Z89" t="s">
        <v>290</v>
      </c>
      <c r="AA89" t="s">
        <v>290</v>
      </c>
      <c r="AB89" t="s">
        <v>290</v>
      </c>
    </row>
    <row r="90" spans="1:28" x14ac:dyDescent="0.25">
      <c r="A90" t="s">
        <v>120</v>
      </c>
      <c r="B90" t="s">
        <v>121</v>
      </c>
      <c r="C90">
        <v>2</v>
      </c>
      <c r="D90">
        <v>0</v>
      </c>
      <c r="E90">
        <v>0</v>
      </c>
      <c r="F90" t="s">
        <v>290</v>
      </c>
    </row>
    <row r="91" spans="1:28" x14ac:dyDescent="0.25">
      <c r="A91" t="s">
        <v>120</v>
      </c>
      <c r="B91" t="s">
        <v>122</v>
      </c>
      <c r="C91">
        <v>3</v>
      </c>
      <c r="D91">
        <v>0</v>
      </c>
      <c r="E91">
        <v>0</v>
      </c>
      <c r="F91">
        <v>0</v>
      </c>
    </row>
    <row r="92" spans="1:28" x14ac:dyDescent="0.25">
      <c r="A92" t="s">
        <v>120</v>
      </c>
      <c r="B92" t="s">
        <v>123</v>
      </c>
      <c r="C92">
        <v>3</v>
      </c>
      <c r="D92">
        <v>0</v>
      </c>
      <c r="E92">
        <v>0</v>
      </c>
      <c r="F92">
        <v>0</v>
      </c>
    </row>
    <row r="93" spans="1:28" x14ac:dyDescent="0.25">
      <c r="A93" t="s">
        <v>120</v>
      </c>
      <c r="B93" t="s">
        <v>124</v>
      </c>
      <c r="C93">
        <v>3</v>
      </c>
      <c r="D93">
        <v>0</v>
      </c>
      <c r="E93">
        <v>0</v>
      </c>
      <c r="F93">
        <v>0</v>
      </c>
    </row>
    <row r="94" spans="1:28" x14ac:dyDescent="0.25">
      <c r="A94" t="s">
        <v>120</v>
      </c>
      <c r="B94" t="s">
        <v>125</v>
      </c>
      <c r="C94">
        <v>3</v>
      </c>
      <c r="D94">
        <v>99.813194000632095</v>
      </c>
      <c r="E94">
        <v>99.813194000632095</v>
      </c>
      <c r="F94">
        <v>99.813194000632095</v>
      </c>
    </row>
    <row r="95" spans="1:28" x14ac:dyDescent="0.25">
      <c r="A95" t="s">
        <v>120</v>
      </c>
      <c r="B95" t="s">
        <v>126</v>
      </c>
      <c r="C95">
        <v>3</v>
      </c>
      <c r="D95">
        <v>0</v>
      </c>
      <c r="E95">
        <v>0</v>
      </c>
      <c r="F95">
        <v>0</v>
      </c>
    </row>
    <row r="96" spans="1:28" x14ac:dyDescent="0.25">
      <c r="A96" t="s">
        <v>120</v>
      </c>
      <c r="B96" t="s">
        <v>127</v>
      </c>
      <c r="C96">
        <v>3</v>
      </c>
      <c r="D96">
        <v>2.7725887222397798</v>
      </c>
      <c r="E96">
        <v>2.7725887222397798</v>
      </c>
      <c r="F96">
        <v>2.7725887222397798</v>
      </c>
    </row>
    <row r="97" spans="1:28" x14ac:dyDescent="0.25">
      <c r="A97" t="s">
        <v>120</v>
      </c>
      <c r="B97" t="s">
        <v>128</v>
      </c>
      <c r="C97">
        <v>3</v>
      </c>
      <c r="D97">
        <v>0</v>
      </c>
      <c r="E97">
        <v>0</v>
      </c>
      <c r="F97">
        <v>0</v>
      </c>
    </row>
    <row r="98" spans="1:28" x14ac:dyDescent="0.25">
      <c r="A98" t="s">
        <v>120</v>
      </c>
      <c r="B98" t="s">
        <v>129</v>
      </c>
      <c r="C98">
        <v>3</v>
      </c>
      <c r="D98">
        <v>0</v>
      </c>
      <c r="E98">
        <v>0</v>
      </c>
      <c r="F98">
        <v>0</v>
      </c>
    </row>
    <row r="99" spans="1:28" x14ac:dyDescent="0.25">
      <c r="A99" t="s">
        <v>120</v>
      </c>
      <c r="B99" t="s">
        <v>130</v>
      </c>
      <c r="C99">
        <v>3</v>
      </c>
      <c r="D99">
        <v>0</v>
      </c>
      <c r="E99">
        <v>0</v>
      </c>
      <c r="F99">
        <v>0</v>
      </c>
    </row>
    <row r="100" spans="1:28" x14ac:dyDescent="0.25">
      <c r="A100" t="s">
        <v>120</v>
      </c>
      <c r="B100" t="s">
        <v>131</v>
      </c>
      <c r="C100">
        <v>3</v>
      </c>
      <c r="D100">
        <v>0</v>
      </c>
      <c r="E100">
        <v>0</v>
      </c>
      <c r="F100">
        <v>0</v>
      </c>
    </row>
    <row r="101" spans="1:28" x14ac:dyDescent="0.25">
      <c r="A101" t="s">
        <v>18</v>
      </c>
      <c r="B101" t="s">
        <v>132</v>
      </c>
      <c r="C101">
        <v>1</v>
      </c>
      <c r="D101">
        <v>1</v>
      </c>
      <c r="V101" t="s">
        <v>290</v>
      </c>
    </row>
    <row r="102" spans="1:28" x14ac:dyDescent="0.25">
      <c r="A102" t="s">
        <v>18</v>
      </c>
      <c r="B102" t="s">
        <v>133</v>
      </c>
      <c r="C102">
        <v>1</v>
      </c>
      <c r="D102">
        <v>365</v>
      </c>
      <c r="E102" t="s">
        <v>290</v>
      </c>
      <c r="F102" t="s">
        <v>290</v>
      </c>
      <c r="G102" t="s">
        <v>290</v>
      </c>
      <c r="H102" t="s">
        <v>290</v>
      </c>
      <c r="I102" t="s">
        <v>290</v>
      </c>
      <c r="J102" t="s">
        <v>290</v>
      </c>
      <c r="K102" t="s">
        <v>290</v>
      </c>
      <c r="L102" t="s">
        <v>290</v>
      </c>
      <c r="M102" t="s">
        <v>290</v>
      </c>
      <c r="N102" t="s">
        <v>290</v>
      </c>
      <c r="O102" t="s">
        <v>290</v>
      </c>
      <c r="P102" t="s">
        <v>290</v>
      </c>
      <c r="Q102" t="s">
        <v>290</v>
      </c>
      <c r="R102" t="s">
        <v>290</v>
      </c>
      <c r="S102" t="s">
        <v>290</v>
      </c>
      <c r="T102" t="s">
        <v>290</v>
      </c>
      <c r="U102" t="s">
        <v>290</v>
      </c>
      <c r="V102" t="s">
        <v>290</v>
      </c>
      <c r="W102" t="s">
        <v>290</v>
      </c>
      <c r="X102" t="s">
        <v>290</v>
      </c>
      <c r="Y102" t="s">
        <v>290</v>
      </c>
      <c r="Z102" t="s">
        <v>290</v>
      </c>
      <c r="AA102" t="s">
        <v>290</v>
      </c>
      <c r="AB102" t="s">
        <v>290</v>
      </c>
    </row>
    <row r="103" spans="1:28" x14ac:dyDescent="0.25">
      <c r="A103" t="s">
        <v>18</v>
      </c>
      <c r="B103" t="s">
        <v>134</v>
      </c>
      <c r="C103">
        <v>1</v>
      </c>
      <c r="D103">
        <v>25</v>
      </c>
      <c r="E103" t="s">
        <v>290</v>
      </c>
      <c r="F103" t="s">
        <v>290</v>
      </c>
      <c r="G103" t="s">
        <v>290</v>
      </c>
      <c r="H103" t="s">
        <v>290</v>
      </c>
      <c r="I103" t="s">
        <v>290</v>
      </c>
      <c r="J103" t="s">
        <v>290</v>
      </c>
      <c r="K103" t="s">
        <v>290</v>
      </c>
      <c r="L103" t="s">
        <v>290</v>
      </c>
      <c r="M103" t="s">
        <v>290</v>
      </c>
      <c r="N103" t="s">
        <v>290</v>
      </c>
      <c r="O103" t="s">
        <v>290</v>
      </c>
      <c r="P103" t="s">
        <v>290</v>
      </c>
      <c r="Q103" t="s">
        <v>290</v>
      </c>
      <c r="R103" t="s">
        <v>290</v>
      </c>
      <c r="S103" t="s">
        <v>290</v>
      </c>
      <c r="T103" t="s">
        <v>290</v>
      </c>
      <c r="U103" t="s">
        <v>290</v>
      </c>
      <c r="V103" t="s">
        <v>290</v>
      </c>
      <c r="W103" t="s">
        <v>290</v>
      </c>
      <c r="X103" t="s">
        <v>290</v>
      </c>
      <c r="Y103" t="s">
        <v>290</v>
      </c>
      <c r="Z103" t="s">
        <v>290</v>
      </c>
      <c r="AA103" t="s">
        <v>290</v>
      </c>
      <c r="AB103" t="s">
        <v>290</v>
      </c>
    </row>
    <row r="104" spans="1:28" x14ac:dyDescent="0.25">
      <c r="A104" t="s">
        <v>18</v>
      </c>
      <c r="B104" t="s">
        <v>135</v>
      </c>
      <c r="C104">
        <v>6</v>
      </c>
      <c r="D104">
        <v>0</v>
      </c>
      <c r="E104">
        <v>91.25</v>
      </c>
      <c r="F104">
        <v>365</v>
      </c>
      <c r="G104">
        <v>1825</v>
      </c>
      <c r="H104">
        <v>3650</v>
      </c>
      <c r="I104">
        <v>5475</v>
      </c>
      <c r="J104" t="s">
        <v>290</v>
      </c>
      <c r="K104" t="s">
        <v>290</v>
      </c>
      <c r="L104" t="s">
        <v>290</v>
      </c>
      <c r="M104" t="s">
        <v>290</v>
      </c>
      <c r="N104" t="s">
        <v>290</v>
      </c>
      <c r="O104" t="s">
        <v>290</v>
      </c>
      <c r="P104" t="s">
        <v>290</v>
      </c>
      <c r="Q104" t="s">
        <v>290</v>
      </c>
      <c r="R104" t="s">
        <v>290</v>
      </c>
      <c r="S104" t="s">
        <v>290</v>
      </c>
      <c r="T104" t="s">
        <v>290</v>
      </c>
      <c r="U104" t="s">
        <v>290</v>
      </c>
      <c r="V104" t="s">
        <v>290</v>
      </c>
      <c r="W104" t="s">
        <v>290</v>
      </c>
      <c r="X104" t="s">
        <v>290</v>
      </c>
      <c r="Y104" t="s">
        <v>290</v>
      </c>
      <c r="Z104" t="s">
        <v>290</v>
      </c>
      <c r="AA104" t="s">
        <v>290</v>
      </c>
      <c r="AB104" t="s">
        <v>290</v>
      </c>
    </row>
    <row r="105" spans="1:28" x14ac:dyDescent="0.25">
      <c r="A105" t="s">
        <v>18</v>
      </c>
      <c r="B105" t="s">
        <v>136</v>
      </c>
      <c r="C105">
        <v>6</v>
      </c>
      <c r="D105">
        <v>1.7999999999999999E-2</v>
      </c>
      <c r="E105">
        <v>3.2000000000000001E-2</v>
      </c>
      <c r="F105">
        <v>4.1000000000000002E-2</v>
      </c>
      <c r="G105">
        <v>3.5999999999999997E-2</v>
      </c>
      <c r="H105">
        <v>2.7E-2</v>
      </c>
      <c r="I105">
        <v>1.4E-2</v>
      </c>
      <c r="J105" t="s">
        <v>290</v>
      </c>
      <c r="K105" t="s">
        <v>290</v>
      </c>
      <c r="L105" t="s">
        <v>290</v>
      </c>
      <c r="M105" t="s">
        <v>290</v>
      </c>
      <c r="N105" t="s">
        <v>290</v>
      </c>
      <c r="O105" t="s">
        <v>290</v>
      </c>
      <c r="P105" t="s">
        <v>290</v>
      </c>
      <c r="Q105" t="s">
        <v>290</v>
      </c>
      <c r="R105" t="s">
        <v>290</v>
      </c>
      <c r="S105" t="s">
        <v>290</v>
      </c>
      <c r="T105" t="s">
        <v>290</v>
      </c>
      <c r="U105" t="s">
        <v>290</v>
      </c>
      <c r="V105" t="s">
        <v>290</v>
      </c>
      <c r="W105" t="s">
        <v>290</v>
      </c>
      <c r="X105" t="s">
        <v>290</v>
      </c>
      <c r="Y105" t="s">
        <v>290</v>
      </c>
      <c r="Z105" t="s">
        <v>290</v>
      </c>
      <c r="AA105" t="s">
        <v>290</v>
      </c>
      <c r="AB105" t="s">
        <v>290</v>
      </c>
    </row>
    <row r="106" spans="1:28" x14ac:dyDescent="0.25">
      <c r="A106" t="s">
        <v>18</v>
      </c>
      <c r="B106" t="s">
        <v>137</v>
      </c>
      <c r="C106">
        <v>6</v>
      </c>
      <c r="D106">
        <v>1</v>
      </c>
      <c r="E106">
        <v>1</v>
      </c>
      <c r="F106">
        <v>1</v>
      </c>
      <c r="G106">
        <v>1</v>
      </c>
      <c r="H106">
        <v>1</v>
      </c>
      <c r="I106">
        <v>1</v>
      </c>
      <c r="J106" t="s">
        <v>290</v>
      </c>
      <c r="K106" t="s">
        <v>290</v>
      </c>
      <c r="L106" t="s">
        <v>290</v>
      </c>
      <c r="M106" t="s">
        <v>290</v>
      </c>
      <c r="N106" t="s">
        <v>290</v>
      </c>
      <c r="O106" t="s">
        <v>290</v>
      </c>
      <c r="P106" t="s">
        <v>290</v>
      </c>
      <c r="Q106" t="s">
        <v>290</v>
      </c>
      <c r="R106" t="s">
        <v>290</v>
      </c>
      <c r="S106" t="s">
        <v>290</v>
      </c>
      <c r="T106" t="s">
        <v>290</v>
      </c>
      <c r="U106" t="s">
        <v>290</v>
      </c>
      <c r="V106" t="s">
        <v>290</v>
      </c>
      <c r="W106" t="s">
        <v>290</v>
      </c>
      <c r="X106" t="s">
        <v>290</v>
      </c>
      <c r="Y106" t="s">
        <v>290</v>
      </c>
      <c r="Z106" t="s">
        <v>290</v>
      </c>
      <c r="AA106" t="s">
        <v>290</v>
      </c>
      <c r="AB106" t="s">
        <v>290</v>
      </c>
    </row>
    <row r="107" spans="1:28" x14ac:dyDescent="0.25">
      <c r="A107" t="s">
        <v>18</v>
      </c>
      <c r="B107" t="s">
        <v>138</v>
      </c>
      <c r="C107">
        <v>1</v>
      </c>
      <c r="D107">
        <v>0.6</v>
      </c>
    </row>
    <row r="108" spans="1:28" x14ac:dyDescent="0.25">
      <c r="A108" t="s">
        <v>20</v>
      </c>
      <c r="B108" t="s">
        <v>132</v>
      </c>
      <c r="C108">
        <v>1</v>
      </c>
      <c r="D108">
        <v>1</v>
      </c>
    </row>
    <row r="109" spans="1:28" x14ac:dyDescent="0.25">
      <c r="A109" t="s">
        <v>20</v>
      </c>
      <c r="B109" t="s">
        <v>133</v>
      </c>
      <c r="C109">
        <v>1</v>
      </c>
      <c r="D109">
        <v>365</v>
      </c>
      <c r="E109" t="s">
        <v>290</v>
      </c>
      <c r="F109" t="s">
        <v>290</v>
      </c>
      <c r="G109" t="s">
        <v>290</v>
      </c>
      <c r="H109" t="s">
        <v>290</v>
      </c>
      <c r="I109" t="s">
        <v>290</v>
      </c>
      <c r="J109" t="s">
        <v>290</v>
      </c>
      <c r="K109" t="s">
        <v>290</v>
      </c>
      <c r="L109" t="s">
        <v>290</v>
      </c>
      <c r="M109" t="s">
        <v>290</v>
      </c>
      <c r="N109" t="s">
        <v>290</v>
      </c>
      <c r="O109" t="s">
        <v>290</v>
      </c>
      <c r="P109" t="s">
        <v>290</v>
      </c>
      <c r="Q109" t="s">
        <v>290</v>
      </c>
      <c r="R109" t="s">
        <v>290</v>
      </c>
      <c r="S109" t="s">
        <v>290</v>
      </c>
      <c r="T109" t="s">
        <v>290</v>
      </c>
      <c r="U109" t="s">
        <v>290</v>
      </c>
      <c r="V109" t="s">
        <v>290</v>
      </c>
      <c r="W109" t="s">
        <v>290</v>
      </c>
      <c r="X109" t="s">
        <v>290</v>
      </c>
      <c r="Y109" t="s">
        <v>290</v>
      </c>
      <c r="Z109" t="s">
        <v>290</v>
      </c>
      <c r="AA109" t="s">
        <v>290</v>
      </c>
      <c r="AB109" t="s">
        <v>290</v>
      </c>
    </row>
    <row r="110" spans="1:28" x14ac:dyDescent="0.25">
      <c r="A110" t="s">
        <v>20</v>
      </c>
      <c r="B110" t="s">
        <v>134</v>
      </c>
      <c r="C110">
        <v>1</v>
      </c>
      <c r="D110">
        <v>175</v>
      </c>
      <c r="E110" t="s">
        <v>290</v>
      </c>
      <c r="F110" t="s">
        <v>290</v>
      </c>
      <c r="G110" t="s">
        <v>290</v>
      </c>
      <c r="H110" t="s">
        <v>290</v>
      </c>
      <c r="I110" t="s">
        <v>290</v>
      </c>
      <c r="J110" t="s">
        <v>290</v>
      </c>
      <c r="K110" t="s">
        <v>290</v>
      </c>
      <c r="L110" t="s">
        <v>290</v>
      </c>
      <c r="M110" t="s">
        <v>290</v>
      </c>
      <c r="N110" t="s">
        <v>290</v>
      </c>
      <c r="O110" t="s">
        <v>290</v>
      </c>
      <c r="P110" t="s">
        <v>290</v>
      </c>
      <c r="Q110" t="s">
        <v>290</v>
      </c>
      <c r="R110" t="s">
        <v>290</v>
      </c>
      <c r="S110" t="s">
        <v>290</v>
      </c>
      <c r="T110" t="s">
        <v>290</v>
      </c>
      <c r="U110" t="s">
        <v>290</v>
      </c>
      <c r="V110" t="s">
        <v>290</v>
      </c>
      <c r="W110" t="s">
        <v>290</v>
      </c>
      <c r="X110" t="s">
        <v>290</v>
      </c>
      <c r="Y110" t="s">
        <v>290</v>
      </c>
      <c r="Z110" t="s">
        <v>290</v>
      </c>
      <c r="AA110" t="s">
        <v>290</v>
      </c>
      <c r="AB110" t="s">
        <v>290</v>
      </c>
    </row>
    <row r="111" spans="1:28" x14ac:dyDescent="0.25">
      <c r="A111" t="s">
        <v>20</v>
      </c>
      <c r="B111" t="s">
        <v>135</v>
      </c>
      <c r="C111">
        <v>6</v>
      </c>
      <c r="D111">
        <v>0</v>
      </c>
      <c r="E111">
        <v>91.25</v>
      </c>
      <c r="F111">
        <v>365</v>
      </c>
      <c r="G111">
        <v>1825</v>
      </c>
      <c r="H111">
        <v>3650</v>
      </c>
      <c r="I111">
        <v>5475</v>
      </c>
      <c r="J111" t="s">
        <v>290</v>
      </c>
      <c r="K111" t="s">
        <v>290</v>
      </c>
      <c r="L111" t="s">
        <v>290</v>
      </c>
      <c r="M111" t="s">
        <v>290</v>
      </c>
      <c r="N111" t="s">
        <v>290</v>
      </c>
      <c r="O111" t="s">
        <v>290</v>
      </c>
      <c r="P111" t="s">
        <v>290</v>
      </c>
      <c r="Q111" t="s">
        <v>290</v>
      </c>
      <c r="R111" t="s">
        <v>290</v>
      </c>
      <c r="S111" t="s">
        <v>290</v>
      </c>
      <c r="T111" t="s">
        <v>290</v>
      </c>
      <c r="U111" t="s">
        <v>290</v>
      </c>
      <c r="V111" t="s">
        <v>290</v>
      </c>
      <c r="W111" t="s">
        <v>290</v>
      </c>
      <c r="X111" t="s">
        <v>290</v>
      </c>
      <c r="Y111" t="s">
        <v>290</v>
      </c>
      <c r="Z111" t="s">
        <v>290</v>
      </c>
      <c r="AA111" t="s">
        <v>290</v>
      </c>
      <c r="AB111" t="s">
        <v>290</v>
      </c>
    </row>
    <row r="112" spans="1:28" x14ac:dyDescent="0.25">
      <c r="A112" t="s">
        <v>20</v>
      </c>
      <c r="B112" t="s">
        <v>136</v>
      </c>
      <c r="C112">
        <v>6</v>
      </c>
      <c r="D112">
        <v>2.1999999999999999E-2</v>
      </c>
      <c r="E112">
        <v>3.9E-2</v>
      </c>
      <c r="F112">
        <v>0.05</v>
      </c>
      <c r="G112">
        <v>4.3999999999999997E-2</v>
      </c>
      <c r="H112">
        <v>3.3000000000000002E-2</v>
      </c>
      <c r="I112">
        <v>1.7000000000000001E-2</v>
      </c>
      <c r="J112" t="s">
        <v>290</v>
      </c>
      <c r="K112" t="s">
        <v>290</v>
      </c>
      <c r="L112" t="s">
        <v>290</v>
      </c>
      <c r="M112" t="s">
        <v>290</v>
      </c>
      <c r="N112" t="s">
        <v>290</v>
      </c>
      <c r="O112" t="s">
        <v>290</v>
      </c>
      <c r="P112" t="s">
        <v>290</v>
      </c>
      <c r="Q112" t="s">
        <v>290</v>
      </c>
      <c r="R112" t="s">
        <v>290</v>
      </c>
      <c r="S112" t="s">
        <v>290</v>
      </c>
      <c r="T112" t="s">
        <v>290</v>
      </c>
      <c r="U112" t="s">
        <v>290</v>
      </c>
      <c r="V112" t="s">
        <v>290</v>
      </c>
      <c r="W112" t="s">
        <v>290</v>
      </c>
      <c r="X112" t="s">
        <v>290</v>
      </c>
      <c r="Y112" t="s">
        <v>290</v>
      </c>
      <c r="Z112" t="s">
        <v>290</v>
      </c>
      <c r="AA112" t="s">
        <v>290</v>
      </c>
      <c r="AB112" t="s">
        <v>290</v>
      </c>
    </row>
    <row r="113" spans="1:28" x14ac:dyDescent="0.25">
      <c r="A113" t="s">
        <v>20</v>
      </c>
      <c r="B113" t="s">
        <v>137</v>
      </c>
      <c r="C113">
        <v>6</v>
      </c>
      <c r="D113">
        <v>1</v>
      </c>
      <c r="E113">
        <v>1</v>
      </c>
      <c r="F113">
        <v>1</v>
      </c>
      <c r="G113">
        <v>1</v>
      </c>
      <c r="H113">
        <v>1</v>
      </c>
      <c r="I113">
        <v>1</v>
      </c>
      <c r="J113" t="s">
        <v>290</v>
      </c>
      <c r="K113" t="s">
        <v>290</v>
      </c>
      <c r="L113" t="s">
        <v>290</v>
      </c>
      <c r="M113" t="s">
        <v>290</v>
      </c>
      <c r="N113" t="s">
        <v>290</v>
      </c>
      <c r="O113" t="s">
        <v>290</v>
      </c>
      <c r="P113" t="s">
        <v>290</v>
      </c>
      <c r="Q113" t="s">
        <v>290</v>
      </c>
      <c r="R113" t="s">
        <v>290</v>
      </c>
      <c r="S113" t="s">
        <v>290</v>
      </c>
      <c r="T113" t="s">
        <v>290</v>
      </c>
      <c r="U113" t="s">
        <v>290</v>
      </c>
      <c r="V113" t="s">
        <v>290</v>
      </c>
      <c r="W113" t="s">
        <v>290</v>
      </c>
      <c r="X113" t="s">
        <v>290</v>
      </c>
      <c r="Y113" t="s">
        <v>290</v>
      </c>
      <c r="Z113" t="s">
        <v>290</v>
      </c>
      <c r="AA113" t="s">
        <v>290</v>
      </c>
      <c r="AB113" t="s">
        <v>290</v>
      </c>
    </row>
    <row r="114" spans="1:28" x14ac:dyDescent="0.25">
      <c r="A114" t="s">
        <v>20</v>
      </c>
      <c r="B114" t="s">
        <v>138</v>
      </c>
      <c r="C114">
        <v>1</v>
      </c>
      <c r="D114">
        <v>0.6</v>
      </c>
    </row>
    <row r="115" spans="1:28" x14ac:dyDescent="0.25">
      <c r="A115" t="s">
        <v>21</v>
      </c>
      <c r="B115" t="s">
        <v>132</v>
      </c>
      <c r="C115">
        <v>1</v>
      </c>
      <c r="D115">
        <v>1</v>
      </c>
    </row>
    <row r="116" spans="1:28" x14ac:dyDescent="0.25">
      <c r="A116" t="s">
        <v>21</v>
      </c>
      <c r="B116" t="s">
        <v>133</v>
      </c>
      <c r="C116">
        <v>1</v>
      </c>
      <c r="D116">
        <v>365</v>
      </c>
      <c r="E116" t="s">
        <v>290</v>
      </c>
      <c r="F116" t="s">
        <v>290</v>
      </c>
      <c r="G116" t="s">
        <v>290</v>
      </c>
      <c r="H116" t="s">
        <v>290</v>
      </c>
      <c r="I116" t="s">
        <v>290</v>
      </c>
      <c r="J116" t="s">
        <v>290</v>
      </c>
      <c r="K116" t="s">
        <v>290</v>
      </c>
      <c r="L116" t="s">
        <v>290</v>
      </c>
      <c r="M116" t="s">
        <v>290</v>
      </c>
      <c r="N116" t="s">
        <v>290</v>
      </c>
      <c r="O116" t="s">
        <v>290</v>
      </c>
      <c r="P116" t="s">
        <v>290</v>
      </c>
      <c r="Q116" t="s">
        <v>290</v>
      </c>
      <c r="R116" t="s">
        <v>290</v>
      </c>
      <c r="S116" t="s">
        <v>290</v>
      </c>
      <c r="T116" t="s">
        <v>290</v>
      </c>
      <c r="U116" t="s">
        <v>290</v>
      </c>
      <c r="V116" t="s">
        <v>290</v>
      </c>
      <c r="W116" t="s">
        <v>290</v>
      </c>
      <c r="X116" t="s">
        <v>290</v>
      </c>
      <c r="Y116" t="s">
        <v>290</v>
      </c>
      <c r="Z116" t="s">
        <v>290</v>
      </c>
      <c r="AA116" t="s">
        <v>290</v>
      </c>
      <c r="AB116" t="s">
        <v>290</v>
      </c>
    </row>
    <row r="117" spans="1:28" x14ac:dyDescent="0.25">
      <c r="A117" t="s">
        <v>21</v>
      </c>
      <c r="B117" t="s">
        <v>134</v>
      </c>
      <c r="C117">
        <v>1</v>
      </c>
      <c r="D117">
        <v>0.9</v>
      </c>
      <c r="E117" t="s">
        <v>290</v>
      </c>
      <c r="F117" t="s">
        <v>290</v>
      </c>
      <c r="G117" t="s">
        <v>290</v>
      </c>
      <c r="H117" t="s">
        <v>290</v>
      </c>
      <c r="I117" t="s">
        <v>290</v>
      </c>
      <c r="J117" t="s">
        <v>290</v>
      </c>
      <c r="K117" t="s">
        <v>290</v>
      </c>
      <c r="L117" t="s">
        <v>290</v>
      </c>
      <c r="M117" t="s">
        <v>290</v>
      </c>
      <c r="N117" t="s">
        <v>290</v>
      </c>
      <c r="O117" t="s">
        <v>290</v>
      </c>
      <c r="P117" t="s">
        <v>290</v>
      </c>
      <c r="Q117" t="s">
        <v>290</v>
      </c>
      <c r="R117" t="s">
        <v>290</v>
      </c>
      <c r="S117" t="s">
        <v>290</v>
      </c>
      <c r="T117" t="s">
        <v>290</v>
      </c>
      <c r="U117" t="s">
        <v>290</v>
      </c>
      <c r="V117" t="s">
        <v>290</v>
      </c>
      <c r="W117" t="s">
        <v>290</v>
      </c>
      <c r="X117" t="s">
        <v>290</v>
      </c>
      <c r="Y117" t="s">
        <v>290</v>
      </c>
      <c r="Z117" t="s">
        <v>290</v>
      </c>
      <c r="AA117" t="s">
        <v>290</v>
      </c>
      <c r="AB117" t="s">
        <v>290</v>
      </c>
    </row>
    <row r="118" spans="1:28" x14ac:dyDescent="0.25">
      <c r="A118" t="s">
        <v>21</v>
      </c>
      <c r="B118" t="s">
        <v>135</v>
      </c>
      <c r="C118">
        <v>7</v>
      </c>
      <c r="D118">
        <v>0</v>
      </c>
      <c r="E118">
        <v>91.25</v>
      </c>
      <c r="F118">
        <v>365</v>
      </c>
      <c r="G118">
        <v>3650</v>
      </c>
      <c r="H118">
        <v>5475</v>
      </c>
      <c r="I118">
        <v>9125</v>
      </c>
      <c r="J118">
        <v>18250</v>
      </c>
      <c r="K118" t="s">
        <v>290</v>
      </c>
      <c r="L118" t="s">
        <v>290</v>
      </c>
      <c r="M118" t="s">
        <v>290</v>
      </c>
      <c r="N118" t="s">
        <v>290</v>
      </c>
      <c r="O118" t="s">
        <v>290</v>
      </c>
      <c r="P118" t="s">
        <v>290</v>
      </c>
      <c r="Q118" t="s">
        <v>290</v>
      </c>
      <c r="R118" t="s">
        <v>290</v>
      </c>
      <c r="S118" t="s">
        <v>290</v>
      </c>
      <c r="T118" t="s">
        <v>290</v>
      </c>
      <c r="U118" t="s">
        <v>290</v>
      </c>
      <c r="V118" t="s">
        <v>290</v>
      </c>
      <c r="W118" t="s">
        <v>290</v>
      </c>
      <c r="X118" t="s">
        <v>290</v>
      </c>
      <c r="Y118" t="s">
        <v>290</v>
      </c>
      <c r="Z118" t="s">
        <v>290</v>
      </c>
      <c r="AA118" t="s">
        <v>290</v>
      </c>
      <c r="AB118" t="s">
        <v>290</v>
      </c>
    </row>
    <row r="119" spans="1:28" x14ac:dyDescent="0.25">
      <c r="A119" t="s">
        <v>21</v>
      </c>
      <c r="B119" t="s">
        <v>136</v>
      </c>
      <c r="C119">
        <v>7</v>
      </c>
      <c r="D119">
        <v>0.2</v>
      </c>
      <c r="E119">
        <v>0.3</v>
      </c>
      <c r="F119">
        <v>0.35</v>
      </c>
      <c r="G119">
        <v>0.45</v>
      </c>
      <c r="H119">
        <v>0.55000000000000004</v>
      </c>
      <c r="I119">
        <v>0.7</v>
      </c>
      <c r="J119">
        <v>1.04</v>
      </c>
      <c r="K119" t="s">
        <v>290</v>
      </c>
      <c r="L119" t="s">
        <v>290</v>
      </c>
      <c r="M119" t="s">
        <v>290</v>
      </c>
      <c r="N119" t="s">
        <v>290</v>
      </c>
      <c r="O119" t="s">
        <v>290</v>
      </c>
      <c r="P119" t="s">
        <v>290</v>
      </c>
      <c r="Q119" t="s">
        <v>290</v>
      </c>
      <c r="R119" t="s">
        <v>290</v>
      </c>
      <c r="S119" t="s">
        <v>290</v>
      </c>
      <c r="T119" t="s">
        <v>290</v>
      </c>
      <c r="U119" t="s">
        <v>290</v>
      </c>
      <c r="V119" t="s">
        <v>290</v>
      </c>
      <c r="W119" t="s">
        <v>290</v>
      </c>
      <c r="X119" t="s">
        <v>290</v>
      </c>
      <c r="Y119" t="s">
        <v>290</v>
      </c>
      <c r="Z119" t="s">
        <v>290</v>
      </c>
      <c r="AA119" t="s">
        <v>290</v>
      </c>
      <c r="AB119" t="s">
        <v>290</v>
      </c>
    </row>
    <row r="120" spans="1:28" x14ac:dyDescent="0.25">
      <c r="A120" t="s">
        <v>21</v>
      </c>
      <c r="B120" t="s">
        <v>137</v>
      </c>
      <c r="C120">
        <v>7</v>
      </c>
      <c r="D120">
        <v>1</v>
      </c>
      <c r="E120">
        <v>1</v>
      </c>
      <c r="F120">
        <v>1</v>
      </c>
      <c r="G120">
        <v>1</v>
      </c>
      <c r="H120">
        <v>1</v>
      </c>
      <c r="I120">
        <v>1</v>
      </c>
      <c r="J120">
        <v>1</v>
      </c>
      <c r="K120" t="s">
        <v>290</v>
      </c>
      <c r="L120" t="s">
        <v>290</v>
      </c>
      <c r="M120" t="s">
        <v>290</v>
      </c>
      <c r="N120" t="s">
        <v>290</v>
      </c>
      <c r="O120" t="s">
        <v>290</v>
      </c>
      <c r="P120" t="s">
        <v>290</v>
      </c>
      <c r="Q120" t="s">
        <v>290</v>
      </c>
      <c r="R120" t="s">
        <v>290</v>
      </c>
      <c r="S120" t="s">
        <v>290</v>
      </c>
      <c r="T120" t="s">
        <v>290</v>
      </c>
      <c r="U120" t="s">
        <v>290</v>
      </c>
      <c r="V120" t="s">
        <v>290</v>
      </c>
      <c r="W120" t="s">
        <v>290</v>
      </c>
      <c r="X120" t="s">
        <v>290</v>
      </c>
      <c r="Y120" t="s">
        <v>290</v>
      </c>
      <c r="Z120" t="s">
        <v>290</v>
      </c>
      <c r="AA120" t="s">
        <v>290</v>
      </c>
      <c r="AB120" t="s">
        <v>290</v>
      </c>
    </row>
    <row r="121" spans="1:28" x14ac:dyDescent="0.25">
      <c r="A121" t="s">
        <v>21</v>
      </c>
      <c r="B121" t="s">
        <v>138</v>
      </c>
      <c r="C121">
        <v>1</v>
      </c>
      <c r="D121">
        <v>1</v>
      </c>
    </row>
    <row r="122" spans="1:28" x14ac:dyDescent="0.25">
      <c r="A122" t="s">
        <v>22</v>
      </c>
      <c r="B122" t="s">
        <v>132</v>
      </c>
      <c r="C122">
        <v>1</v>
      </c>
      <c r="D122">
        <v>1</v>
      </c>
    </row>
    <row r="123" spans="1:28" x14ac:dyDescent="0.25">
      <c r="A123" t="s">
        <v>22</v>
      </c>
      <c r="B123" t="s">
        <v>133</v>
      </c>
      <c r="C123">
        <v>1</v>
      </c>
      <c r="D123">
        <v>365</v>
      </c>
      <c r="E123" t="s">
        <v>290</v>
      </c>
      <c r="F123" t="s">
        <v>290</v>
      </c>
      <c r="G123" t="s">
        <v>290</v>
      </c>
      <c r="H123" t="s">
        <v>290</v>
      </c>
      <c r="I123" t="s">
        <v>290</v>
      </c>
      <c r="J123" t="s">
        <v>290</v>
      </c>
      <c r="K123" t="s">
        <v>290</v>
      </c>
      <c r="L123" t="s">
        <v>290</v>
      </c>
      <c r="M123" t="s">
        <v>290</v>
      </c>
      <c r="N123" t="s">
        <v>290</v>
      </c>
      <c r="O123" t="s">
        <v>290</v>
      </c>
      <c r="P123" t="s">
        <v>290</v>
      </c>
      <c r="Q123" t="s">
        <v>290</v>
      </c>
      <c r="R123" t="s">
        <v>290</v>
      </c>
      <c r="S123" t="s">
        <v>290</v>
      </c>
      <c r="T123" t="s">
        <v>290</v>
      </c>
      <c r="U123" t="s">
        <v>290</v>
      </c>
      <c r="V123" t="s">
        <v>290</v>
      </c>
      <c r="W123" t="s">
        <v>290</v>
      </c>
      <c r="X123" t="s">
        <v>290</v>
      </c>
      <c r="Y123" t="s">
        <v>290</v>
      </c>
      <c r="Z123" t="s">
        <v>290</v>
      </c>
      <c r="AA123" t="s">
        <v>290</v>
      </c>
      <c r="AB123" t="s">
        <v>290</v>
      </c>
    </row>
    <row r="124" spans="1:28" x14ac:dyDescent="0.25">
      <c r="A124" t="s">
        <v>22</v>
      </c>
      <c r="B124" t="s">
        <v>134</v>
      </c>
      <c r="C124">
        <v>1</v>
      </c>
      <c r="D124">
        <v>0.01</v>
      </c>
      <c r="E124" t="s">
        <v>290</v>
      </c>
      <c r="F124" t="s">
        <v>290</v>
      </c>
      <c r="G124" t="s">
        <v>290</v>
      </c>
      <c r="H124" t="s">
        <v>290</v>
      </c>
      <c r="I124" t="s">
        <v>290</v>
      </c>
      <c r="J124" t="s">
        <v>290</v>
      </c>
      <c r="K124" t="s">
        <v>290</v>
      </c>
      <c r="L124" t="s">
        <v>290</v>
      </c>
      <c r="M124" t="s">
        <v>290</v>
      </c>
      <c r="N124" t="s">
        <v>290</v>
      </c>
      <c r="O124" t="s">
        <v>290</v>
      </c>
      <c r="P124" t="s">
        <v>290</v>
      </c>
      <c r="Q124" t="s">
        <v>290</v>
      </c>
      <c r="R124" t="s">
        <v>290</v>
      </c>
      <c r="S124" t="s">
        <v>290</v>
      </c>
      <c r="T124" t="s">
        <v>290</v>
      </c>
      <c r="U124" t="s">
        <v>290</v>
      </c>
      <c r="V124" t="s">
        <v>290</v>
      </c>
      <c r="W124" t="s">
        <v>290</v>
      </c>
      <c r="X124" t="s">
        <v>290</v>
      </c>
      <c r="Y124" t="s">
        <v>290</v>
      </c>
      <c r="Z124" t="s">
        <v>290</v>
      </c>
      <c r="AA124" t="s">
        <v>290</v>
      </c>
      <c r="AB124" t="s">
        <v>290</v>
      </c>
    </row>
    <row r="125" spans="1:28" x14ac:dyDescent="0.25">
      <c r="A125" t="s">
        <v>22</v>
      </c>
      <c r="B125" t="s">
        <v>135</v>
      </c>
      <c r="C125">
        <v>6</v>
      </c>
      <c r="D125">
        <v>0</v>
      </c>
      <c r="E125">
        <v>365</v>
      </c>
      <c r="F125">
        <v>1825</v>
      </c>
      <c r="G125">
        <v>3650</v>
      </c>
      <c r="H125">
        <v>5475</v>
      </c>
      <c r="I125">
        <v>9125</v>
      </c>
      <c r="J125" t="s">
        <v>290</v>
      </c>
      <c r="K125" t="s">
        <v>290</v>
      </c>
      <c r="L125" t="s">
        <v>290</v>
      </c>
      <c r="M125" t="s">
        <v>290</v>
      </c>
      <c r="N125" t="s">
        <v>290</v>
      </c>
      <c r="O125" t="s">
        <v>290</v>
      </c>
      <c r="P125" t="s">
        <v>290</v>
      </c>
      <c r="Q125" t="s">
        <v>290</v>
      </c>
      <c r="R125" t="s">
        <v>290</v>
      </c>
      <c r="S125" t="s">
        <v>290</v>
      </c>
      <c r="T125" t="s">
        <v>290</v>
      </c>
      <c r="U125" t="s">
        <v>290</v>
      </c>
      <c r="V125" t="s">
        <v>290</v>
      </c>
      <c r="W125" t="s">
        <v>290</v>
      </c>
      <c r="X125" t="s">
        <v>290</v>
      </c>
      <c r="Y125" t="s">
        <v>290</v>
      </c>
      <c r="Z125" t="s">
        <v>290</v>
      </c>
      <c r="AA125" t="s">
        <v>290</v>
      </c>
      <c r="AB125" t="s">
        <v>290</v>
      </c>
    </row>
    <row r="126" spans="1:28" x14ac:dyDescent="0.25">
      <c r="A126" t="s">
        <v>22</v>
      </c>
      <c r="B126" t="s">
        <v>136</v>
      </c>
      <c r="C126">
        <v>6</v>
      </c>
      <c r="D126">
        <v>2.9</v>
      </c>
      <c r="E126">
        <v>5.2</v>
      </c>
      <c r="F126">
        <v>8.8000000000000007</v>
      </c>
      <c r="G126">
        <v>15.3</v>
      </c>
      <c r="H126">
        <v>17.899999999999999</v>
      </c>
      <c r="I126">
        <v>19.899999999999999</v>
      </c>
      <c r="J126" t="s">
        <v>290</v>
      </c>
      <c r="K126" t="s">
        <v>290</v>
      </c>
      <c r="L126" t="s">
        <v>290</v>
      </c>
      <c r="M126" t="s">
        <v>290</v>
      </c>
      <c r="N126" t="s">
        <v>290</v>
      </c>
      <c r="O126" t="s">
        <v>290</v>
      </c>
      <c r="P126" t="s">
        <v>290</v>
      </c>
      <c r="Q126" t="s">
        <v>290</v>
      </c>
      <c r="R126" t="s">
        <v>290</v>
      </c>
      <c r="S126" t="s">
        <v>290</v>
      </c>
      <c r="T126" t="s">
        <v>290</v>
      </c>
      <c r="U126" t="s">
        <v>290</v>
      </c>
      <c r="V126" t="s">
        <v>290</v>
      </c>
      <c r="W126" t="s">
        <v>290</v>
      </c>
      <c r="X126" t="s">
        <v>290</v>
      </c>
      <c r="Y126" t="s">
        <v>290</v>
      </c>
      <c r="Z126" t="s">
        <v>290</v>
      </c>
      <c r="AA126" t="s">
        <v>290</v>
      </c>
      <c r="AB126" t="s">
        <v>290</v>
      </c>
    </row>
    <row r="127" spans="1:28" x14ac:dyDescent="0.25">
      <c r="A127" t="s">
        <v>22</v>
      </c>
      <c r="B127" t="s">
        <v>137</v>
      </c>
      <c r="C127">
        <v>6</v>
      </c>
      <c r="D127">
        <v>1</v>
      </c>
      <c r="E127">
        <v>1</v>
      </c>
      <c r="F127">
        <v>1</v>
      </c>
      <c r="G127">
        <v>1</v>
      </c>
      <c r="H127">
        <v>1</v>
      </c>
      <c r="I127">
        <v>1</v>
      </c>
      <c r="J127" t="s">
        <v>290</v>
      </c>
      <c r="K127" t="s">
        <v>290</v>
      </c>
      <c r="L127" t="s">
        <v>290</v>
      </c>
      <c r="M127" t="s">
        <v>290</v>
      </c>
      <c r="N127" t="s">
        <v>290</v>
      </c>
      <c r="O127" t="s">
        <v>290</v>
      </c>
      <c r="P127" t="s">
        <v>290</v>
      </c>
      <c r="Q127" t="s">
        <v>290</v>
      </c>
      <c r="R127" t="s">
        <v>290</v>
      </c>
      <c r="S127" t="s">
        <v>290</v>
      </c>
      <c r="T127" t="s">
        <v>290</v>
      </c>
      <c r="U127" t="s">
        <v>290</v>
      </c>
      <c r="V127" t="s">
        <v>290</v>
      </c>
      <c r="W127" t="s">
        <v>290</v>
      </c>
      <c r="X127" t="s">
        <v>290</v>
      </c>
      <c r="Y127" t="s">
        <v>290</v>
      </c>
      <c r="Z127" t="s">
        <v>290</v>
      </c>
      <c r="AA127" t="s">
        <v>290</v>
      </c>
      <c r="AB127" t="s">
        <v>290</v>
      </c>
    </row>
    <row r="128" spans="1:28" x14ac:dyDescent="0.25">
      <c r="A128" t="s">
        <v>22</v>
      </c>
      <c r="B128" t="s">
        <v>138</v>
      </c>
      <c r="C128">
        <v>1</v>
      </c>
      <c r="D128">
        <v>1</v>
      </c>
    </row>
    <row r="129" spans="1:28" x14ac:dyDescent="0.25">
      <c r="A129" t="s">
        <v>23</v>
      </c>
      <c r="B129" t="s">
        <v>132</v>
      </c>
      <c r="C129">
        <v>1</v>
      </c>
      <c r="D129">
        <v>1</v>
      </c>
    </row>
    <row r="130" spans="1:28" x14ac:dyDescent="0.25">
      <c r="A130" t="s">
        <v>23</v>
      </c>
      <c r="B130" t="s">
        <v>139</v>
      </c>
      <c r="C130">
        <v>1</v>
      </c>
      <c r="D130">
        <v>365</v>
      </c>
      <c r="E130" t="s">
        <v>290</v>
      </c>
      <c r="F130" t="s">
        <v>290</v>
      </c>
      <c r="G130" t="s">
        <v>290</v>
      </c>
      <c r="H130" t="s">
        <v>290</v>
      </c>
      <c r="I130" t="s">
        <v>290</v>
      </c>
      <c r="J130" t="s">
        <v>290</v>
      </c>
      <c r="K130" t="s">
        <v>290</v>
      </c>
      <c r="L130" t="s">
        <v>290</v>
      </c>
      <c r="M130" t="s">
        <v>290</v>
      </c>
      <c r="N130" t="s">
        <v>290</v>
      </c>
      <c r="O130" t="s">
        <v>290</v>
      </c>
      <c r="P130" t="s">
        <v>290</v>
      </c>
      <c r="Q130" t="s">
        <v>290</v>
      </c>
      <c r="R130" t="s">
        <v>290</v>
      </c>
      <c r="S130" t="s">
        <v>290</v>
      </c>
      <c r="T130" t="s">
        <v>290</v>
      </c>
      <c r="U130" t="s">
        <v>290</v>
      </c>
      <c r="V130" t="s">
        <v>290</v>
      </c>
      <c r="W130" t="s">
        <v>290</v>
      </c>
      <c r="X130" t="s">
        <v>290</v>
      </c>
      <c r="Y130" t="s">
        <v>290</v>
      </c>
      <c r="Z130" t="s">
        <v>290</v>
      </c>
      <c r="AA130" t="s">
        <v>290</v>
      </c>
      <c r="AB130" t="s">
        <v>290</v>
      </c>
    </row>
    <row r="131" spans="1:28" x14ac:dyDescent="0.25">
      <c r="A131" t="s">
        <v>23</v>
      </c>
      <c r="B131" t="s">
        <v>140</v>
      </c>
      <c r="C131">
        <v>1</v>
      </c>
      <c r="D131">
        <v>10</v>
      </c>
      <c r="E131" t="s">
        <v>290</v>
      </c>
      <c r="F131" t="s">
        <v>290</v>
      </c>
      <c r="G131" t="s">
        <v>290</v>
      </c>
      <c r="H131" t="s">
        <v>290</v>
      </c>
      <c r="I131" t="s">
        <v>290</v>
      </c>
      <c r="J131" t="s">
        <v>290</v>
      </c>
      <c r="K131" t="s">
        <v>290</v>
      </c>
      <c r="L131" t="s">
        <v>290</v>
      </c>
      <c r="M131" t="s">
        <v>290</v>
      </c>
      <c r="N131" t="s">
        <v>290</v>
      </c>
      <c r="O131" t="s">
        <v>290</v>
      </c>
      <c r="P131" t="s">
        <v>290</v>
      </c>
      <c r="Q131" t="s">
        <v>290</v>
      </c>
      <c r="R131" t="s">
        <v>290</v>
      </c>
      <c r="S131" t="s">
        <v>290</v>
      </c>
      <c r="T131" t="s">
        <v>290</v>
      </c>
      <c r="U131" t="s">
        <v>290</v>
      </c>
      <c r="V131" t="s">
        <v>290</v>
      </c>
      <c r="W131" t="s">
        <v>290</v>
      </c>
      <c r="X131" t="s">
        <v>290</v>
      </c>
      <c r="Y131" t="s">
        <v>290</v>
      </c>
      <c r="Z131" t="s">
        <v>290</v>
      </c>
      <c r="AA131" t="s">
        <v>290</v>
      </c>
      <c r="AB131" t="s">
        <v>290</v>
      </c>
    </row>
    <row r="132" spans="1:28" x14ac:dyDescent="0.25">
      <c r="A132" t="s">
        <v>23</v>
      </c>
      <c r="B132" t="s">
        <v>138</v>
      </c>
      <c r="C132">
        <v>1</v>
      </c>
      <c r="D132">
        <v>1</v>
      </c>
    </row>
    <row r="133" spans="1:28" x14ac:dyDescent="0.25">
      <c r="A133" t="s">
        <v>143</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67E18-E521-44B5-A74F-9739C3EC1AAD}">
  <sheetPr codeName="Sheet11">
    <tabColor theme="6"/>
  </sheetPr>
  <dimension ref="B2:D12"/>
  <sheetViews>
    <sheetView zoomScale="160" zoomScaleNormal="160" workbookViewId="0">
      <selection sqref="A1:A11"/>
    </sheetView>
  </sheetViews>
  <sheetFormatPr defaultRowHeight="12.5" x14ac:dyDescent="0.25"/>
  <sheetData>
    <row r="2" spans="2:4" x14ac:dyDescent="0.25">
      <c r="B2" t="s">
        <v>346</v>
      </c>
    </row>
    <row r="3" spans="2:4" x14ac:dyDescent="0.25">
      <c r="B3" t="s">
        <v>347</v>
      </c>
      <c r="C3" t="s">
        <v>412</v>
      </c>
      <c r="D3" t="s">
        <v>413</v>
      </c>
    </row>
    <row r="4" spans="2:4" x14ac:dyDescent="0.25">
      <c r="B4" t="s">
        <v>348</v>
      </c>
      <c r="C4" t="s">
        <v>411</v>
      </c>
    </row>
    <row r="5" spans="2:4" x14ac:dyDescent="0.25">
      <c r="B5" t="s">
        <v>349</v>
      </c>
    </row>
    <row r="6" spans="2:4" x14ac:dyDescent="0.25">
      <c r="B6" t="s">
        <v>350</v>
      </c>
      <c r="C6">
        <v>0</v>
      </c>
    </row>
    <row r="7" spans="2:4" x14ac:dyDescent="0.25">
      <c r="B7" t="s">
        <v>351</v>
      </c>
      <c r="C7">
        <v>2555</v>
      </c>
    </row>
    <row r="8" spans="2:4" x14ac:dyDescent="0.25">
      <c r="B8" t="s">
        <v>352</v>
      </c>
      <c r="C8">
        <v>2555</v>
      </c>
    </row>
    <row r="9" spans="2:4" x14ac:dyDescent="0.25">
      <c r="B9" t="s">
        <v>353</v>
      </c>
      <c r="C9">
        <v>255500</v>
      </c>
    </row>
    <row r="10" spans="2:4" x14ac:dyDescent="0.25">
      <c r="B10" t="s">
        <v>354</v>
      </c>
      <c r="C10">
        <v>0</v>
      </c>
    </row>
    <row r="12" spans="2:4" x14ac:dyDescent="0.25">
      <c r="B12" t="s">
        <v>397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91D1D-C379-407E-B879-33787D86F124}">
  <sheetPr codeName="Sheet53">
    <tabColor theme="6"/>
  </sheetPr>
  <dimension ref="B1:AN41"/>
  <sheetViews>
    <sheetView zoomScale="145" zoomScaleNormal="145" workbookViewId="0">
      <selection activeCell="Q29" sqref="Q29"/>
    </sheetView>
  </sheetViews>
  <sheetFormatPr defaultColWidth="9.1796875" defaultRowHeight="15" customHeight="1" x14ac:dyDescent="0.25"/>
  <cols>
    <col min="1" max="2" width="4.7265625" style="19" customWidth="1"/>
    <col min="3" max="4" width="16.1796875" style="19" customWidth="1"/>
    <col min="5" max="5" width="5.81640625" style="19" customWidth="1"/>
    <col min="6" max="6" width="4.7265625" style="19" customWidth="1"/>
    <col min="7" max="7" width="6.7265625" style="19" customWidth="1"/>
    <col min="8" max="8" width="16.1796875" style="19" customWidth="1"/>
    <col min="9" max="9" width="15.54296875" style="38" customWidth="1"/>
    <col min="10" max="10" width="14.26953125" style="155" customWidth="1"/>
    <col min="11" max="11" width="6.81640625" style="19" customWidth="1"/>
    <col min="12" max="12" width="4.7265625" style="19" customWidth="1"/>
    <col min="13" max="13" width="6.7265625" style="19" customWidth="1"/>
    <col min="14" max="14" width="17.81640625" style="19" customWidth="1"/>
    <col min="15" max="15" width="17.26953125" style="313" customWidth="1"/>
    <col min="16" max="16" width="9.1796875" style="19"/>
    <col min="17" max="17" width="4.54296875" style="19" customWidth="1"/>
    <col min="18" max="18" width="11.26953125" style="19" customWidth="1"/>
    <col min="19" max="19" width="19.81640625" style="19" customWidth="1"/>
    <col min="20" max="20" width="14" style="19" customWidth="1"/>
    <col min="21" max="21" width="13.54296875" style="19" customWidth="1"/>
    <col min="22" max="39" width="9.1796875" style="19"/>
    <col min="40" max="40" width="6.7265625" style="19" customWidth="1"/>
    <col min="41" max="16384" width="9.1796875" style="19"/>
  </cols>
  <sheetData>
    <row r="1" spans="2:40" ht="15" customHeight="1" thickBot="1" x14ac:dyDescent="0.3">
      <c r="I1" s="19"/>
      <c r="J1" s="19"/>
      <c r="O1" s="19"/>
    </row>
    <row r="2" spans="2:40" ht="8.25" customHeight="1" thickBot="1" x14ac:dyDescent="0.3">
      <c r="B2" s="259"/>
      <c r="C2" s="260"/>
      <c r="D2" s="259"/>
      <c r="E2" s="261"/>
      <c r="G2" s="259"/>
      <c r="H2" s="260"/>
      <c r="I2" s="262"/>
      <c r="J2" s="263"/>
      <c r="K2" s="264"/>
      <c r="M2" s="109"/>
      <c r="N2" s="110"/>
      <c r="O2" s="265"/>
      <c r="P2" s="111"/>
      <c r="Q2" s="111"/>
      <c r="R2" s="111"/>
      <c r="S2" s="111"/>
      <c r="T2" s="111"/>
      <c r="U2" s="111"/>
      <c r="V2" s="111"/>
      <c r="W2" s="111"/>
      <c r="X2" s="111"/>
      <c r="Y2" s="111"/>
      <c r="Z2" s="111"/>
      <c r="AA2" s="111"/>
      <c r="AB2" s="111"/>
      <c r="AC2" s="111"/>
      <c r="AD2" s="111"/>
      <c r="AE2" s="111"/>
      <c r="AF2" s="111"/>
      <c r="AG2" s="111"/>
      <c r="AH2" s="111"/>
      <c r="AI2" s="111"/>
      <c r="AJ2" s="111"/>
      <c r="AK2" s="111"/>
      <c r="AL2" s="111"/>
      <c r="AM2" s="111"/>
      <c r="AN2" s="120"/>
    </row>
    <row r="3" spans="2:40" ht="22.5" customHeight="1" thickBot="1" x14ac:dyDescent="0.55000000000000004">
      <c r="B3" s="259"/>
      <c r="C3" s="266" t="s">
        <v>359</v>
      </c>
      <c r="D3" s="259"/>
      <c r="E3" s="261"/>
      <c r="G3" s="413" t="s">
        <v>360</v>
      </c>
      <c r="H3" s="414"/>
      <c r="I3" s="414"/>
      <c r="J3" s="414"/>
      <c r="K3" s="415"/>
      <c r="M3" s="121" t="s">
        <v>361</v>
      </c>
      <c r="N3" s="112"/>
      <c r="O3" s="267"/>
      <c r="P3" s="114"/>
      <c r="Q3" s="114"/>
      <c r="R3" s="113"/>
      <c r="S3" s="113"/>
      <c r="T3" s="113"/>
      <c r="U3" s="122"/>
      <c r="V3" s="122"/>
      <c r="W3" s="122"/>
      <c r="X3" s="122"/>
      <c r="Y3" s="122"/>
      <c r="Z3" s="122"/>
      <c r="AA3" s="122"/>
      <c r="AB3" s="122"/>
      <c r="AC3" s="122"/>
      <c r="AD3" s="122"/>
      <c r="AE3" s="122"/>
      <c r="AF3" s="122"/>
      <c r="AG3" s="122"/>
      <c r="AH3" s="122"/>
      <c r="AI3" s="122"/>
      <c r="AJ3" s="122"/>
      <c r="AK3" s="122"/>
      <c r="AL3" s="122"/>
      <c r="AM3" s="122"/>
      <c r="AN3" s="268"/>
    </row>
    <row r="4" spans="2:40" ht="8.25" customHeight="1" thickBot="1" x14ac:dyDescent="0.55000000000000004">
      <c r="B4" s="269"/>
      <c r="C4" s="270"/>
      <c r="D4" s="269"/>
      <c r="E4" s="271"/>
      <c r="G4" s="272"/>
      <c r="H4" s="273"/>
      <c r="I4" s="274"/>
      <c r="J4" s="275"/>
      <c r="K4" s="276"/>
      <c r="M4" s="277"/>
      <c r="N4" s="114"/>
      <c r="O4" s="278"/>
      <c r="P4" s="112"/>
      <c r="Q4" s="112"/>
      <c r="R4" s="113"/>
      <c r="S4" s="113"/>
      <c r="T4" s="113"/>
      <c r="U4" s="279"/>
      <c r="V4" s="279"/>
      <c r="W4" s="279"/>
      <c r="X4" s="279"/>
      <c r="Y4" s="279"/>
      <c r="Z4" s="279"/>
      <c r="AA4" s="279"/>
      <c r="AB4" s="279"/>
      <c r="AC4" s="279"/>
      <c r="AD4" s="279"/>
      <c r="AE4" s="279"/>
      <c r="AF4" s="279"/>
      <c r="AG4" s="279"/>
      <c r="AH4" s="279"/>
      <c r="AI4" s="279"/>
      <c r="AJ4" s="279"/>
      <c r="AK4" s="279"/>
      <c r="AL4" s="279"/>
      <c r="AM4" s="279"/>
      <c r="AN4" s="280"/>
    </row>
    <row r="5" spans="2:40" ht="15" customHeight="1" x14ac:dyDescent="0.25">
      <c r="B5" s="281"/>
      <c r="C5" s="2"/>
      <c r="D5" s="2"/>
      <c r="E5" s="282"/>
      <c r="G5" s="281"/>
      <c r="H5" s="2"/>
      <c r="I5" s="4"/>
      <c r="J5" s="95"/>
      <c r="K5" s="282"/>
      <c r="M5" s="71"/>
      <c r="N5" s="2"/>
      <c r="O5" s="140"/>
      <c r="P5" s="2"/>
      <c r="Q5" s="2"/>
      <c r="R5" s="2"/>
      <c r="S5" s="2"/>
      <c r="T5" s="2"/>
      <c r="U5" s="2"/>
      <c r="V5" s="2"/>
      <c r="W5" s="2"/>
      <c r="X5" s="2"/>
      <c r="Y5" s="2"/>
      <c r="Z5" s="2"/>
      <c r="AA5" s="2"/>
      <c r="AB5" s="2"/>
      <c r="AC5" s="2"/>
      <c r="AD5" s="2"/>
      <c r="AE5" s="2"/>
      <c r="AF5" s="2"/>
      <c r="AG5" s="2"/>
      <c r="AH5" s="2"/>
      <c r="AI5" s="2"/>
      <c r="AJ5" s="2"/>
      <c r="AK5" s="2"/>
      <c r="AL5" s="2"/>
      <c r="AM5" s="2"/>
      <c r="AN5" s="52"/>
    </row>
    <row r="6" spans="2:40" ht="15" customHeight="1" thickBot="1" x14ac:dyDescent="0.35">
      <c r="B6" s="281"/>
      <c r="C6" s="2"/>
      <c r="D6" s="2"/>
      <c r="E6" s="282"/>
      <c r="G6" s="281"/>
      <c r="H6" s="283" t="s">
        <v>362</v>
      </c>
      <c r="I6" s="284"/>
      <c r="J6" s="285"/>
      <c r="K6" s="282"/>
      <c r="M6" s="71"/>
      <c r="N6" s="416" t="s">
        <v>363</v>
      </c>
      <c r="O6" s="417"/>
      <c r="P6" s="2"/>
      <c r="Q6" s="286" t="s">
        <v>364</v>
      </c>
      <c r="R6" s="287"/>
      <c r="S6" s="288"/>
      <c r="T6" s="288" t="str">
        <f>_xlfn.CONCAT(O7&amp;" - "&amp;O8)</f>
        <v>Soil - Source 1</v>
      </c>
      <c r="U6" s="287"/>
      <c r="V6" s="287"/>
      <c r="W6" s="287"/>
      <c r="X6" s="287"/>
      <c r="Y6" s="287"/>
      <c r="Z6" s="287"/>
      <c r="AA6" s="287"/>
      <c r="AB6" s="287"/>
      <c r="AC6" s="287"/>
      <c r="AD6" s="287"/>
      <c r="AE6" s="287"/>
      <c r="AF6" s="287"/>
      <c r="AG6" s="287"/>
      <c r="AH6" s="287"/>
      <c r="AI6" s="287"/>
      <c r="AJ6" s="287"/>
      <c r="AK6" s="287"/>
      <c r="AL6" s="287"/>
      <c r="AM6" s="289"/>
      <c r="AN6" s="52"/>
    </row>
    <row r="7" spans="2:40" ht="15" customHeight="1" x14ac:dyDescent="0.25">
      <c r="B7" s="281"/>
      <c r="C7" s="2"/>
      <c r="D7" s="2"/>
      <c r="E7" s="282"/>
      <c r="G7" s="281"/>
      <c r="H7" s="290" t="s">
        <v>347</v>
      </c>
      <c r="I7" s="291"/>
      <c r="J7" s="292"/>
      <c r="K7" s="282"/>
      <c r="M7" s="71"/>
      <c r="N7" s="293" t="s">
        <v>15</v>
      </c>
      <c r="O7" s="294" t="str">
        <f>AllowConc_Media</f>
        <v>Soil</v>
      </c>
      <c r="P7" s="2"/>
      <c r="Q7" s="143"/>
      <c r="R7" s="145"/>
      <c r="S7" s="145"/>
      <c r="T7" s="145"/>
      <c r="U7" s="145"/>
      <c r="V7" s="145"/>
      <c r="W7" s="145"/>
      <c r="X7" s="145"/>
      <c r="Y7" s="145"/>
      <c r="Z7" s="145"/>
      <c r="AA7" s="145"/>
      <c r="AB7" s="145"/>
      <c r="AC7" s="145"/>
      <c r="AD7" s="145"/>
      <c r="AE7" s="145"/>
      <c r="AF7" s="145"/>
      <c r="AG7" s="145"/>
      <c r="AH7" s="145"/>
      <c r="AI7" s="145"/>
      <c r="AJ7" s="145"/>
      <c r="AK7" s="145"/>
      <c r="AL7" s="145"/>
      <c r="AM7" s="146"/>
      <c r="AN7" s="52"/>
    </row>
    <row r="8" spans="2:40" ht="15" customHeight="1" x14ac:dyDescent="0.25">
      <c r="B8" s="281"/>
      <c r="C8" s="2"/>
      <c r="D8" s="2"/>
      <c r="E8" s="282"/>
      <c r="G8" s="281"/>
      <c r="H8" s="295" t="s">
        <v>348</v>
      </c>
      <c r="I8" s="4"/>
      <c r="J8" s="296"/>
      <c r="K8" s="282"/>
      <c r="M8" s="71"/>
      <c r="N8" s="297" t="s">
        <v>245</v>
      </c>
      <c r="O8" s="298" t="str">
        <f>AllowConc_Subtype</f>
        <v>Source 1</v>
      </c>
      <c r="P8" s="2"/>
      <c r="Q8" s="139"/>
      <c r="R8" s="299" t="str">
        <f>O7</f>
        <v>Soil</v>
      </c>
      <c r="S8" s="150" t="s">
        <v>257</v>
      </c>
      <c r="T8" s="126" t="s">
        <v>218</v>
      </c>
      <c r="U8" s="126" t="s">
        <v>258</v>
      </c>
      <c r="V8" s="300"/>
      <c r="W8" s="300"/>
      <c r="X8" s="300"/>
      <c r="Y8" s="300"/>
      <c r="Z8" s="300"/>
      <c r="AA8" s="300"/>
      <c r="AB8" s="300"/>
      <c r="AC8" s="300"/>
      <c r="AD8" s="300"/>
      <c r="AE8" s="300"/>
      <c r="AF8" s="300"/>
      <c r="AG8" s="300"/>
      <c r="AH8" s="300"/>
      <c r="AI8" s="300"/>
      <c r="AJ8" s="300"/>
      <c r="AK8" s="300"/>
      <c r="AL8" s="14"/>
      <c r="AM8" s="52"/>
      <c r="AN8" s="52"/>
    </row>
    <row r="9" spans="2:40" ht="15" customHeight="1" x14ac:dyDescent="0.25">
      <c r="B9" s="281"/>
      <c r="C9" s="2"/>
      <c r="D9" s="2"/>
      <c r="E9" s="282"/>
      <c r="G9" s="281"/>
      <c r="H9" s="295"/>
      <c r="I9" s="4"/>
      <c r="J9" s="296"/>
      <c r="K9" s="282"/>
      <c r="M9" s="71"/>
      <c r="N9" s="301" t="s">
        <v>246</v>
      </c>
      <c r="O9" s="298" t="str">
        <f>AllowConc_Link</f>
        <v>No</v>
      </c>
      <c r="P9" s="2"/>
      <c r="Q9" s="302"/>
      <c r="R9" s="4"/>
      <c r="S9" s="140"/>
      <c r="T9" s="303" cm="1">
        <f t="array" ref="T9">MSoil_Con_Age</f>
        <v>1</v>
      </c>
      <c r="U9" s="304" t="s">
        <v>255</v>
      </c>
      <c r="V9" s="300"/>
      <c r="W9" s="300"/>
      <c r="X9" s="300"/>
      <c r="Y9" s="300"/>
      <c r="Z9" s="300"/>
      <c r="AA9" s="300"/>
      <c r="AB9" s="300"/>
      <c r="AC9" s="300"/>
      <c r="AD9" s="300"/>
      <c r="AE9" s="300"/>
      <c r="AF9" s="300"/>
      <c r="AG9" s="300"/>
      <c r="AH9" s="300"/>
      <c r="AI9" s="300"/>
      <c r="AJ9" s="300"/>
      <c r="AK9" s="300"/>
      <c r="AL9" s="14"/>
      <c r="AM9" s="52"/>
      <c r="AN9" s="52"/>
    </row>
    <row r="10" spans="2:40" s="324" customFormat="1" ht="15" customHeight="1" x14ac:dyDescent="0.25">
      <c r="B10" s="322"/>
      <c r="C10" s="6"/>
      <c r="D10" s="6"/>
      <c r="E10" s="323"/>
      <c r="F10" s="19"/>
      <c r="G10" s="322"/>
      <c r="H10" s="325" t="s">
        <v>349</v>
      </c>
      <c r="I10" s="29"/>
      <c r="J10" s="326"/>
      <c r="K10" s="323"/>
      <c r="M10" s="327"/>
      <c r="N10" s="297" t="s">
        <v>247</v>
      </c>
      <c r="O10" s="328">
        <f>Media!F8</f>
        <v>5</v>
      </c>
      <c r="P10" s="6"/>
      <c r="Q10" s="329"/>
      <c r="R10" s="29"/>
      <c r="S10" s="14"/>
      <c r="T10" s="14"/>
      <c r="U10" s="304" t="s">
        <v>259</v>
      </c>
      <c r="V10" s="300"/>
      <c r="W10" s="300"/>
      <c r="X10" s="300"/>
      <c r="Y10" s="300"/>
      <c r="Z10" s="300"/>
      <c r="AA10" s="300"/>
      <c r="AB10" s="300"/>
      <c r="AC10" s="300"/>
      <c r="AD10" s="300"/>
      <c r="AE10" s="300"/>
      <c r="AF10" s="300"/>
      <c r="AG10" s="300"/>
      <c r="AH10" s="300"/>
      <c r="AI10" s="300"/>
      <c r="AJ10" s="300"/>
      <c r="AK10" s="300"/>
      <c r="AL10" s="14"/>
      <c r="AM10" s="330"/>
      <c r="AN10" s="330"/>
    </row>
    <row r="11" spans="2:40" ht="15" customHeight="1" thickBot="1" x14ac:dyDescent="0.3">
      <c r="B11" s="314"/>
      <c r="C11" s="315"/>
      <c r="D11" s="315"/>
      <c r="E11" s="318"/>
      <c r="G11" s="281"/>
      <c r="H11" s="295" t="s">
        <v>350</v>
      </c>
      <c r="I11" s="4"/>
      <c r="J11" s="296"/>
      <c r="K11" s="282"/>
      <c r="M11" s="71"/>
      <c r="N11" s="297" t="s">
        <v>248</v>
      </c>
      <c r="O11" s="298">
        <f>Media!G8</f>
        <v>1E-3</v>
      </c>
      <c r="P11" s="2"/>
      <c r="Q11" s="302"/>
      <c r="R11" s="4"/>
      <c r="S11" s="140"/>
      <c r="T11" s="14"/>
      <c r="U11" s="304" t="s">
        <v>260</v>
      </c>
      <c r="V11" s="300"/>
      <c r="W11" s="300"/>
      <c r="X11" s="300"/>
      <c r="Y11" s="300"/>
      <c r="Z11" s="300"/>
      <c r="AA11" s="300"/>
      <c r="AB11" s="300"/>
      <c r="AC11" s="300"/>
      <c r="AD11" s="300"/>
      <c r="AE11" s="300"/>
      <c r="AF11" s="300"/>
      <c r="AG11" s="300"/>
      <c r="AH11" s="300"/>
      <c r="AI11" s="300"/>
      <c r="AJ11" s="300"/>
      <c r="AK11" s="300"/>
      <c r="AL11" s="14"/>
      <c r="AM11" s="52"/>
      <c r="AN11" s="52"/>
    </row>
    <row r="12" spans="2:40" ht="15" customHeight="1" x14ac:dyDescent="0.25">
      <c r="G12" s="281"/>
      <c r="H12" s="295" t="s">
        <v>351</v>
      </c>
      <c r="I12" s="4"/>
      <c r="J12" s="296"/>
      <c r="K12" s="282"/>
      <c r="M12" s="71"/>
      <c r="N12" s="297" t="s">
        <v>249</v>
      </c>
      <c r="O12" s="298" t="str">
        <f>Media!H8</f>
        <v>Arithmetic Mean</v>
      </c>
      <c r="P12" s="2"/>
      <c r="Q12" s="302"/>
      <c r="R12" s="4"/>
      <c r="S12" s="2"/>
      <c r="T12" s="2"/>
      <c r="U12" s="2"/>
      <c r="V12" s="2"/>
      <c r="W12" s="2"/>
      <c r="X12" s="2"/>
      <c r="Y12" s="2"/>
      <c r="Z12" s="2"/>
      <c r="AA12" s="2"/>
      <c r="AB12" s="2"/>
      <c r="AC12" s="2"/>
      <c r="AD12" s="2"/>
      <c r="AE12" s="2"/>
      <c r="AF12" s="2"/>
      <c r="AG12" s="2"/>
      <c r="AH12" s="2"/>
      <c r="AI12" s="2"/>
      <c r="AJ12" s="2"/>
      <c r="AK12" s="2"/>
      <c r="AL12" s="2"/>
      <c r="AM12" s="52"/>
      <c r="AN12" s="52"/>
    </row>
    <row r="13" spans="2:40" ht="15" customHeight="1" x14ac:dyDescent="0.25">
      <c r="G13" s="281"/>
      <c r="H13" s="295" t="s">
        <v>352</v>
      </c>
      <c r="I13" s="4"/>
      <c r="J13" s="296"/>
      <c r="K13" s="282"/>
      <c r="M13" s="71"/>
      <c r="N13" s="297" t="s">
        <v>250</v>
      </c>
      <c r="O13" s="298">
        <f>Media!I8</f>
        <v>0</v>
      </c>
      <c r="P13" s="2"/>
      <c r="Q13" s="139"/>
      <c r="R13" s="299" t="s">
        <v>20</v>
      </c>
      <c r="S13" s="150" t="s">
        <v>257</v>
      </c>
      <c r="T13" s="126" t="s">
        <v>218</v>
      </c>
      <c r="U13" s="126" t="s">
        <v>258</v>
      </c>
      <c r="V13" s="300" t="str">
        <f>IF(ISNUMBER(V8)=TRUE,V8,"")</f>
        <v/>
      </c>
      <c r="W13" s="300" t="str">
        <f t="shared" ref="W13:AK13" si="0">IF(ISNUMBER(W8)=TRUE,W8,"")</f>
        <v/>
      </c>
      <c r="X13" s="300" t="str">
        <f t="shared" si="0"/>
        <v/>
      </c>
      <c r="Y13" s="300" t="str">
        <f t="shared" si="0"/>
        <v/>
      </c>
      <c r="Z13" s="300" t="str">
        <f t="shared" si="0"/>
        <v/>
      </c>
      <c r="AA13" s="300" t="str">
        <f t="shared" si="0"/>
        <v/>
      </c>
      <c r="AB13" s="300" t="str">
        <f t="shared" si="0"/>
        <v/>
      </c>
      <c r="AC13" s="300" t="str">
        <f t="shared" si="0"/>
        <v/>
      </c>
      <c r="AD13" s="300" t="str">
        <f t="shared" si="0"/>
        <v/>
      </c>
      <c r="AE13" s="300" t="str">
        <f t="shared" si="0"/>
        <v/>
      </c>
      <c r="AF13" s="300" t="str">
        <f t="shared" si="0"/>
        <v/>
      </c>
      <c r="AG13" s="300" t="str">
        <f t="shared" si="0"/>
        <v/>
      </c>
      <c r="AH13" s="300" t="str">
        <f t="shared" si="0"/>
        <v/>
      </c>
      <c r="AI13" s="300" t="str">
        <f t="shared" si="0"/>
        <v/>
      </c>
      <c r="AJ13" s="300" t="str">
        <f t="shared" si="0"/>
        <v/>
      </c>
      <c r="AK13" s="300" t="str">
        <f t="shared" si="0"/>
        <v/>
      </c>
      <c r="AL13" s="14"/>
      <c r="AM13" s="52"/>
      <c r="AN13" s="52"/>
    </row>
    <row r="14" spans="2:40" ht="15" customHeight="1" x14ac:dyDescent="0.25">
      <c r="G14" s="281"/>
      <c r="H14" s="295" t="s">
        <v>353</v>
      </c>
      <c r="I14" s="4"/>
      <c r="J14" s="296"/>
      <c r="K14" s="282"/>
      <c r="M14" s="71"/>
      <c r="N14" s="297" t="s">
        <v>251</v>
      </c>
      <c r="O14" s="298">
        <f>Media!J8</f>
        <v>7</v>
      </c>
      <c r="P14" s="2"/>
      <c r="Q14" s="71"/>
      <c r="R14" s="2"/>
      <c r="S14" s="140"/>
      <c r="T14" s="303">
        <f>MDust_Con_Age</f>
        <v>1</v>
      </c>
      <c r="U14" s="304" t="s">
        <v>255</v>
      </c>
      <c r="V14" s="300"/>
      <c r="W14" s="300"/>
      <c r="X14" s="300"/>
      <c r="Y14" s="300"/>
      <c r="Z14" s="300"/>
      <c r="AA14" s="300"/>
      <c r="AB14" s="300"/>
      <c r="AC14" s="300"/>
      <c r="AD14" s="300"/>
      <c r="AE14" s="300"/>
      <c r="AF14" s="300"/>
      <c r="AG14" s="300"/>
      <c r="AH14" s="300"/>
      <c r="AI14" s="300"/>
      <c r="AJ14" s="300"/>
      <c r="AK14" s="300"/>
      <c r="AL14" s="14"/>
      <c r="AM14" s="52"/>
      <c r="AN14" s="52"/>
    </row>
    <row r="15" spans="2:40" ht="15" customHeight="1" x14ac:dyDescent="0.25">
      <c r="G15" s="281"/>
      <c r="H15" s="295" t="s">
        <v>354</v>
      </c>
      <c r="I15" s="4"/>
      <c r="J15" s="296"/>
      <c r="K15" s="282"/>
      <c r="M15" s="71"/>
      <c r="N15" s="297" t="s">
        <v>252</v>
      </c>
      <c r="O15" s="298">
        <f>Media!K8</f>
        <v>10</v>
      </c>
      <c r="P15" s="2"/>
      <c r="Q15" s="71"/>
      <c r="R15" s="2"/>
      <c r="S15" s="140"/>
      <c r="T15" s="14"/>
      <c r="U15" s="304" t="s">
        <v>259</v>
      </c>
      <c r="V15" s="300"/>
      <c r="W15" s="300"/>
      <c r="X15" s="300"/>
      <c r="Y15" s="300"/>
      <c r="Z15" s="300"/>
      <c r="AA15" s="300"/>
      <c r="AB15" s="300"/>
      <c r="AC15" s="300"/>
      <c r="AD15" s="300"/>
      <c r="AE15" s="300"/>
      <c r="AF15" s="300"/>
      <c r="AG15" s="300"/>
      <c r="AH15" s="300"/>
      <c r="AI15" s="300"/>
      <c r="AJ15" s="300"/>
      <c r="AK15" s="300"/>
      <c r="AL15" s="14"/>
      <c r="AM15" s="52"/>
      <c r="AN15" s="52"/>
    </row>
    <row r="16" spans="2:40" ht="15" customHeight="1" x14ac:dyDescent="0.25">
      <c r="G16" s="281"/>
      <c r="H16" s="305"/>
      <c r="I16" s="306"/>
      <c r="J16" s="307"/>
      <c r="K16" s="282"/>
      <c r="M16" s="71"/>
      <c r="N16" s="297" t="s">
        <v>253</v>
      </c>
      <c r="O16" s="298">
        <f>Media!L8</f>
        <v>1.6</v>
      </c>
      <c r="P16" s="2"/>
      <c r="Q16" s="71"/>
      <c r="R16" s="2"/>
      <c r="S16" s="140"/>
      <c r="T16" s="14"/>
      <c r="U16" s="304" t="s">
        <v>260</v>
      </c>
      <c r="V16" s="300"/>
      <c r="W16" s="300"/>
      <c r="X16" s="300"/>
      <c r="Y16" s="300"/>
      <c r="Z16" s="300"/>
      <c r="AA16" s="300"/>
      <c r="AB16" s="300"/>
      <c r="AC16" s="300"/>
      <c r="AD16" s="300"/>
      <c r="AE16" s="300"/>
      <c r="AF16" s="300"/>
      <c r="AG16" s="300"/>
      <c r="AH16" s="300"/>
      <c r="AI16" s="300"/>
      <c r="AJ16" s="300"/>
      <c r="AK16" s="300"/>
      <c r="AL16" s="14"/>
      <c r="AM16" s="52"/>
      <c r="AN16" s="52"/>
    </row>
    <row r="17" spans="7:40" ht="15" customHeight="1" thickBot="1" x14ac:dyDescent="0.3">
      <c r="G17" s="281"/>
      <c r="H17" s="2" t="s">
        <v>365</v>
      </c>
      <c r="I17" s="4"/>
      <c r="J17" s="95"/>
      <c r="K17" s="282"/>
      <c r="M17" s="71"/>
      <c r="N17" s="308" t="s">
        <v>254</v>
      </c>
      <c r="O17" s="309">
        <f>Media!M8</f>
        <v>0.05</v>
      </c>
      <c r="P17" s="2"/>
      <c r="Q17" s="72"/>
      <c r="R17" s="50"/>
      <c r="S17" s="50"/>
      <c r="T17" s="50"/>
      <c r="U17" s="50"/>
      <c r="V17" s="50"/>
      <c r="W17" s="50"/>
      <c r="X17" s="50"/>
      <c r="Y17" s="50"/>
      <c r="Z17" s="50"/>
      <c r="AA17" s="50"/>
      <c r="AB17" s="50"/>
      <c r="AC17" s="50"/>
      <c r="AD17" s="50"/>
      <c r="AE17" s="50"/>
      <c r="AF17" s="50"/>
      <c r="AG17" s="50"/>
      <c r="AH17" s="50"/>
      <c r="AI17" s="50"/>
      <c r="AJ17" s="50"/>
      <c r="AK17" s="50"/>
      <c r="AL17" s="50"/>
      <c r="AM17" s="51"/>
      <c r="AN17" s="52"/>
    </row>
    <row r="18" spans="7:40" ht="15" customHeight="1" thickBot="1" x14ac:dyDescent="0.35">
      <c r="G18" s="281"/>
      <c r="H18" s="310" t="s">
        <v>366</v>
      </c>
      <c r="I18" s="311"/>
      <c r="J18" s="312"/>
      <c r="K18" s="282"/>
      <c r="M18" s="72"/>
      <c r="N18" s="50"/>
      <c r="O18" s="154"/>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1"/>
    </row>
    <row r="19" spans="7:40" ht="15" customHeight="1" x14ac:dyDescent="0.25">
      <c r="G19" s="281"/>
      <c r="H19" s="319" t="s">
        <v>368</v>
      </c>
      <c r="I19" s="4"/>
      <c r="J19" s="320"/>
      <c r="K19" s="282"/>
    </row>
    <row r="20" spans="7:40" ht="15" customHeight="1" x14ac:dyDescent="0.25">
      <c r="G20" s="281"/>
      <c r="H20" s="319" t="s">
        <v>369</v>
      </c>
      <c r="I20" s="4"/>
      <c r="J20" s="320"/>
      <c r="K20" s="282"/>
    </row>
    <row r="21" spans="7:40" ht="15" customHeight="1" x14ac:dyDescent="0.25">
      <c r="G21" s="281"/>
      <c r="H21" s="319" t="s">
        <v>370</v>
      </c>
      <c r="I21" s="4"/>
      <c r="J21" s="320"/>
      <c r="K21" s="282"/>
    </row>
    <row r="22" spans="7:40" ht="15" customHeight="1" x14ac:dyDescent="0.25">
      <c r="G22" s="281"/>
      <c r="H22" s="319" t="s">
        <v>371</v>
      </c>
      <c r="I22" s="4"/>
      <c r="J22" s="320"/>
      <c r="K22" s="282"/>
    </row>
    <row r="23" spans="7:40" ht="15" customHeight="1" x14ac:dyDescent="0.25">
      <c r="G23" s="281"/>
      <c r="H23" s="319" t="s">
        <v>372</v>
      </c>
      <c r="I23" s="4"/>
      <c r="J23" s="320"/>
      <c r="K23" s="282"/>
    </row>
    <row r="24" spans="7:40" ht="15" customHeight="1" x14ac:dyDescent="0.25">
      <c r="G24" s="281"/>
      <c r="H24" s="319" t="s">
        <v>373</v>
      </c>
      <c r="I24" s="4"/>
      <c r="J24" s="320"/>
      <c r="K24" s="282"/>
    </row>
    <row r="25" spans="7:40" ht="15" customHeight="1" x14ac:dyDescent="0.25">
      <c r="G25" s="281"/>
      <c r="H25" s="319" t="s">
        <v>374</v>
      </c>
      <c r="I25" s="4"/>
      <c r="J25" s="320"/>
      <c r="K25" s="282"/>
    </row>
    <row r="26" spans="7:40" ht="15" customHeight="1" x14ac:dyDescent="0.25">
      <c r="G26" s="281"/>
      <c r="H26" s="319" t="s">
        <v>375</v>
      </c>
      <c r="I26" s="4"/>
      <c r="J26" s="320"/>
      <c r="K26" s="282"/>
    </row>
    <row r="27" spans="7:40" ht="15" customHeight="1" x14ac:dyDescent="0.25">
      <c r="G27" s="281"/>
      <c r="H27" s="319" t="s">
        <v>376</v>
      </c>
      <c r="I27" s="4"/>
      <c r="J27" s="320"/>
      <c r="K27" s="282"/>
    </row>
    <row r="28" spans="7:40" ht="15" customHeight="1" x14ac:dyDescent="0.25">
      <c r="G28" s="281"/>
      <c r="H28" s="319" t="s">
        <v>377</v>
      </c>
      <c r="I28" s="4"/>
      <c r="J28" s="320"/>
      <c r="K28" s="282"/>
    </row>
    <row r="29" spans="7:40" ht="15" customHeight="1" x14ac:dyDescent="0.25">
      <c r="G29" s="281"/>
      <c r="H29" s="319" t="s">
        <v>378</v>
      </c>
      <c r="I29" s="4"/>
      <c r="J29" s="320"/>
      <c r="K29" s="282"/>
    </row>
    <row r="30" spans="7:40" ht="15" customHeight="1" x14ac:dyDescent="0.25">
      <c r="G30" s="281"/>
      <c r="H30" s="319" t="s">
        <v>379</v>
      </c>
      <c r="I30" s="4"/>
      <c r="J30" s="320"/>
      <c r="K30" s="282"/>
    </row>
    <row r="31" spans="7:40" ht="15" customHeight="1" x14ac:dyDescent="0.25">
      <c r="G31" s="281"/>
      <c r="H31" s="319" t="s">
        <v>380</v>
      </c>
      <c r="I31" s="4"/>
      <c r="J31" s="320"/>
      <c r="K31" s="282"/>
    </row>
    <row r="32" spans="7:40" ht="15" customHeight="1" x14ac:dyDescent="0.25">
      <c r="G32" s="281"/>
      <c r="H32" s="319" t="s">
        <v>381</v>
      </c>
      <c r="I32" s="4"/>
      <c r="J32" s="320"/>
      <c r="K32" s="282"/>
    </row>
    <row r="33" spans="7:11" ht="15" customHeight="1" x14ac:dyDescent="0.25">
      <c r="G33" s="281"/>
      <c r="H33" s="319" t="s">
        <v>382</v>
      </c>
      <c r="I33" s="4"/>
      <c r="J33" s="320"/>
      <c r="K33" s="282"/>
    </row>
    <row r="34" spans="7:11" ht="15" customHeight="1" x14ac:dyDescent="0.25">
      <c r="G34" s="281"/>
      <c r="H34" s="319" t="s">
        <v>383</v>
      </c>
      <c r="I34" s="4"/>
      <c r="J34" s="320"/>
      <c r="K34" s="282"/>
    </row>
    <row r="35" spans="7:11" ht="15" customHeight="1" x14ac:dyDescent="0.25">
      <c r="G35" s="281"/>
      <c r="H35" s="319" t="s">
        <v>384</v>
      </c>
      <c r="I35" s="4"/>
      <c r="J35" s="320"/>
      <c r="K35" s="282"/>
    </row>
    <row r="36" spans="7:11" ht="15" customHeight="1" x14ac:dyDescent="0.25">
      <c r="G36" s="281"/>
      <c r="H36" s="319" t="s">
        <v>385</v>
      </c>
      <c r="I36" s="4"/>
      <c r="J36" s="320"/>
      <c r="K36" s="282"/>
    </row>
    <row r="37" spans="7:11" ht="15" customHeight="1" x14ac:dyDescent="0.25">
      <c r="G37" s="281"/>
      <c r="H37" s="319"/>
      <c r="I37" s="4"/>
      <c r="J37" s="320"/>
      <c r="K37" s="282"/>
    </row>
    <row r="38" spans="7:11" ht="15" customHeight="1" x14ac:dyDescent="0.25">
      <c r="G38" s="281"/>
      <c r="H38" s="331"/>
      <c r="I38" s="332"/>
      <c r="J38" s="333"/>
      <c r="K38" s="282"/>
    </row>
    <row r="39" spans="7:11" ht="15" customHeight="1" x14ac:dyDescent="0.25">
      <c r="G39" s="281"/>
      <c r="H39" s="418" t="s">
        <v>367</v>
      </c>
      <c r="I39" s="419"/>
      <c r="J39" s="420"/>
      <c r="K39" s="282"/>
    </row>
    <row r="40" spans="7:11" ht="15" customHeight="1" x14ac:dyDescent="0.25">
      <c r="G40" s="281"/>
      <c r="H40" s="421" t="s">
        <v>386</v>
      </c>
      <c r="I40" s="422"/>
      <c r="J40" s="423"/>
      <c r="K40" s="321"/>
    </row>
    <row r="41" spans="7:11" ht="15" customHeight="1" thickBot="1" x14ac:dyDescent="0.3">
      <c r="G41" s="314"/>
      <c r="H41" s="315"/>
      <c r="I41" s="316"/>
      <c r="J41" s="317"/>
      <c r="K41" s="318"/>
    </row>
  </sheetData>
  <mergeCells count="4">
    <mergeCell ref="G3:K3"/>
    <mergeCell ref="N6:O6"/>
    <mergeCell ref="H39:J39"/>
    <mergeCell ref="H40:J40"/>
  </mergeCells>
  <pageMargins left="0.7" right="0.7" top="0.75" bottom="0.75" header="0.3" footer="0.3"/>
  <pageSetup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3BAEA-75A0-412B-88E1-191F1DE11F67}">
  <sheetPr codeName="Sheet54">
    <tabColor rgb="FF000000"/>
  </sheetPr>
  <dimension ref="B1:AN19"/>
  <sheetViews>
    <sheetView zoomScale="145" zoomScaleNormal="145" workbookViewId="0"/>
  </sheetViews>
  <sheetFormatPr defaultColWidth="9.1796875" defaultRowHeight="15" customHeight="1" x14ac:dyDescent="0.25"/>
  <cols>
    <col min="1" max="2" width="4.7265625" style="19" customWidth="1"/>
    <col min="3" max="4" width="16.1796875" style="19" customWidth="1"/>
    <col min="5" max="5" width="5.81640625" style="19" customWidth="1"/>
    <col min="6" max="6" width="4.7265625" style="19" customWidth="1"/>
    <col min="7" max="7" width="6.7265625" style="19" hidden="1" customWidth="1"/>
    <col min="8" max="8" width="16.1796875" style="19" hidden="1" customWidth="1"/>
    <col min="9" max="9" width="15.54296875" style="38" hidden="1" customWidth="1"/>
    <col min="10" max="10" width="14.26953125" style="155" hidden="1" customWidth="1"/>
    <col min="11" max="11" width="6.81640625" style="19" hidden="1" customWidth="1"/>
    <col min="12" max="12" width="4.7265625" style="19" customWidth="1"/>
    <col min="13" max="13" width="6.7265625" style="19" hidden="1" customWidth="1"/>
    <col min="14" max="14" width="17.81640625" style="19" hidden="1" customWidth="1"/>
    <col min="15" max="15" width="17.26953125" style="313" hidden="1" customWidth="1"/>
    <col min="16" max="16" width="0" style="19" hidden="1" customWidth="1"/>
    <col min="17" max="17" width="4.54296875" style="19" hidden="1" customWidth="1"/>
    <col min="18" max="18" width="11.26953125" style="19" hidden="1" customWidth="1"/>
    <col min="19" max="19" width="19.81640625" style="19" hidden="1" customWidth="1"/>
    <col min="20" max="20" width="14" style="19" hidden="1" customWidth="1"/>
    <col min="21" max="21" width="13.54296875" style="19" hidden="1" customWidth="1"/>
    <col min="22" max="39" width="0" style="19" hidden="1" customWidth="1"/>
    <col min="40" max="40" width="6.7265625" style="19" hidden="1" customWidth="1"/>
    <col min="41" max="16384" width="9.1796875" style="19"/>
  </cols>
  <sheetData>
    <row r="1" spans="2:19" ht="15" customHeight="1" thickBot="1" x14ac:dyDescent="0.3">
      <c r="I1" s="19"/>
      <c r="J1" s="19"/>
      <c r="O1" s="19"/>
    </row>
    <row r="2" spans="2:19" ht="8.25" customHeight="1" thickBot="1" x14ac:dyDescent="0.3">
      <c r="B2" s="259"/>
      <c r="C2" s="260"/>
      <c r="D2" s="259"/>
      <c r="E2" s="261"/>
      <c r="G2" s="259"/>
      <c r="H2" s="260"/>
      <c r="I2" s="262"/>
      <c r="J2" s="263"/>
      <c r="K2" s="264"/>
      <c r="M2" s="109"/>
      <c r="N2" s="110"/>
      <c r="O2" s="265"/>
      <c r="P2" s="111"/>
      <c r="Q2" s="111"/>
      <c r="R2" s="120"/>
    </row>
    <row r="3" spans="2:19" ht="22.5" customHeight="1" thickBot="1" x14ac:dyDescent="0.55000000000000004">
      <c r="B3" s="259"/>
      <c r="C3" s="266" t="s">
        <v>359</v>
      </c>
      <c r="D3" s="259"/>
      <c r="E3" s="261"/>
      <c r="G3" s="413" t="s">
        <v>360</v>
      </c>
      <c r="H3" s="414"/>
      <c r="I3" s="414"/>
      <c r="J3" s="414"/>
      <c r="K3" s="415"/>
      <c r="M3" s="121" t="s">
        <v>361</v>
      </c>
      <c r="N3" s="112"/>
      <c r="O3" s="267"/>
      <c r="P3" s="114"/>
      <c r="Q3" s="114"/>
      <c r="R3" s="115"/>
    </row>
    <row r="4" spans="2:19" ht="8.25" customHeight="1" thickBot="1" x14ac:dyDescent="0.55000000000000004">
      <c r="B4" s="269"/>
      <c r="C4" s="270"/>
      <c r="D4" s="269"/>
      <c r="E4" s="271"/>
      <c r="G4" s="272"/>
      <c r="H4" s="273"/>
      <c r="I4" s="274"/>
      <c r="J4" s="275"/>
      <c r="K4" s="276"/>
      <c r="M4" s="277"/>
      <c r="N4" s="114"/>
      <c r="O4" s="278"/>
      <c r="P4" s="112"/>
      <c r="Q4" s="112"/>
      <c r="R4" s="115"/>
    </row>
    <row r="5" spans="2:19" ht="15" customHeight="1" thickBot="1" x14ac:dyDescent="0.3">
      <c r="B5" s="281"/>
      <c r="C5" s="2"/>
      <c r="D5" s="2"/>
      <c r="E5" s="282"/>
      <c r="G5" s="281"/>
      <c r="H5" s="2"/>
      <c r="I5" s="4"/>
      <c r="J5" s="95"/>
      <c r="K5" s="282"/>
      <c r="M5" s="383"/>
      <c r="N5" s="384"/>
      <c r="O5" s="385" t="s">
        <v>398</v>
      </c>
      <c r="P5" s="384"/>
      <c r="Q5" s="384"/>
      <c r="R5" s="386"/>
    </row>
    <row r="6" spans="2:19" ht="15" customHeight="1" x14ac:dyDescent="0.3">
      <c r="B6" s="281"/>
      <c r="C6" s="2"/>
      <c r="D6" s="2"/>
      <c r="E6" s="282"/>
      <c r="G6" s="281"/>
      <c r="H6" s="283" t="s">
        <v>362</v>
      </c>
      <c r="I6" s="284"/>
      <c r="J6" s="285"/>
      <c r="K6" s="282"/>
      <c r="M6" s="228"/>
      <c r="N6" s="228"/>
      <c r="O6" s="228"/>
      <c r="P6" s="228"/>
      <c r="Q6" s="228"/>
      <c r="R6" s="228"/>
    </row>
    <row r="7" spans="2:19" ht="15" customHeight="1" x14ac:dyDescent="0.25">
      <c r="B7" s="281"/>
      <c r="C7" s="2"/>
      <c r="D7" s="2"/>
      <c r="E7" s="282"/>
      <c r="G7" s="281"/>
      <c r="H7" s="290" t="s">
        <v>347</v>
      </c>
      <c r="I7" s="291" t="s">
        <v>412</v>
      </c>
      <c r="J7" s="292" t="s">
        <v>413</v>
      </c>
      <c r="K7" s="282"/>
      <c r="M7" s="228"/>
      <c r="N7" s="228"/>
      <c r="O7" s="228"/>
      <c r="P7" s="228"/>
      <c r="Q7" s="228"/>
      <c r="R7" s="228"/>
    </row>
    <row r="8" spans="2:19" ht="15" customHeight="1" x14ac:dyDescent="0.25">
      <c r="B8" s="281"/>
      <c r="C8" s="2"/>
      <c r="D8" s="2"/>
      <c r="E8" s="282"/>
      <c r="G8" s="281"/>
      <c r="H8" s="295" t="s">
        <v>348</v>
      </c>
      <c r="I8" s="4" t="s">
        <v>411</v>
      </c>
      <c r="J8" s="296"/>
      <c r="K8" s="282"/>
      <c r="M8" s="228"/>
      <c r="N8" s="228"/>
      <c r="O8" s="228"/>
      <c r="P8" s="228"/>
      <c r="Q8" s="228"/>
      <c r="R8" s="228"/>
      <c r="S8" s="387"/>
    </row>
    <row r="9" spans="2:19" ht="15" customHeight="1" x14ac:dyDescent="0.25">
      <c r="B9" s="281"/>
      <c r="C9" s="2"/>
      <c r="D9" s="2"/>
      <c r="E9" s="282"/>
      <c r="G9" s="281"/>
      <c r="H9" s="295"/>
      <c r="I9" s="4"/>
      <c r="J9" s="296"/>
      <c r="K9" s="282"/>
      <c r="M9" s="228"/>
      <c r="N9" s="228"/>
      <c r="O9" s="228"/>
      <c r="P9" s="228"/>
      <c r="Q9" s="228"/>
      <c r="R9" s="228"/>
    </row>
    <row r="10" spans="2:19" s="324" customFormat="1" ht="15" customHeight="1" x14ac:dyDescent="0.25">
      <c r="B10" s="322"/>
      <c r="C10" s="6"/>
      <c r="D10" s="6"/>
      <c r="E10" s="323"/>
      <c r="F10" s="19"/>
      <c r="G10" s="322"/>
      <c r="H10" s="325" t="s">
        <v>349</v>
      </c>
      <c r="I10" s="29"/>
      <c r="J10" s="326"/>
      <c r="K10" s="323"/>
      <c r="M10" s="228"/>
      <c r="N10" s="228"/>
      <c r="O10" s="228"/>
      <c r="P10" s="228"/>
      <c r="Q10" s="228"/>
      <c r="R10" s="228"/>
    </row>
    <row r="11" spans="2:19" ht="15" customHeight="1" thickBot="1" x14ac:dyDescent="0.3">
      <c r="B11" s="314"/>
      <c r="C11" s="315"/>
      <c r="D11" s="315"/>
      <c r="E11" s="318"/>
      <c r="G11" s="281"/>
      <c r="H11" s="295" t="s">
        <v>350</v>
      </c>
      <c r="I11" s="4">
        <v>0</v>
      </c>
      <c r="J11" s="296"/>
      <c r="K11" s="282"/>
      <c r="M11" s="228"/>
      <c r="N11" s="228"/>
      <c r="O11" s="228"/>
      <c r="P11" s="228"/>
      <c r="Q11" s="228"/>
      <c r="R11" s="228"/>
    </row>
    <row r="12" spans="2:19" ht="15" customHeight="1" x14ac:dyDescent="0.25">
      <c r="G12" s="281"/>
      <c r="H12" s="295" t="s">
        <v>351</v>
      </c>
      <c r="I12" s="4">
        <v>2555</v>
      </c>
      <c r="J12" s="296"/>
      <c r="K12" s="282"/>
      <c r="M12" s="228"/>
      <c r="N12" s="228"/>
      <c r="O12" s="228"/>
      <c r="P12" s="228"/>
      <c r="Q12" s="228"/>
      <c r="R12" s="228"/>
    </row>
    <row r="13" spans="2:19" ht="15" customHeight="1" x14ac:dyDescent="0.25">
      <c r="G13" s="281"/>
      <c r="H13" s="295" t="s">
        <v>352</v>
      </c>
      <c r="I13" s="4">
        <v>2555</v>
      </c>
      <c r="J13" s="296"/>
      <c r="K13" s="282"/>
      <c r="M13" s="228"/>
      <c r="N13" s="228"/>
      <c r="O13" s="228"/>
      <c r="P13" s="228"/>
      <c r="Q13" s="228"/>
      <c r="R13" s="228"/>
    </row>
    <row r="14" spans="2:19" ht="15" customHeight="1" x14ac:dyDescent="0.25">
      <c r="G14" s="281"/>
      <c r="H14" s="295" t="s">
        <v>353</v>
      </c>
      <c r="I14" s="4">
        <v>255500</v>
      </c>
      <c r="J14" s="296"/>
      <c r="K14" s="282"/>
      <c r="M14" s="228"/>
      <c r="N14" s="228"/>
      <c r="O14" s="228"/>
      <c r="P14" s="228"/>
      <c r="Q14" s="228"/>
      <c r="R14" s="228"/>
    </row>
    <row r="15" spans="2:19" ht="15" customHeight="1" x14ac:dyDescent="0.25">
      <c r="G15" s="281"/>
      <c r="H15" s="295" t="s">
        <v>354</v>
      </c>
      <c r="I15" s="4" t="s">
        <v>399</v>
      </c>
      <c r="J15" s="296"/>
      <c r="K15" s="282"/>
      <c r="M15" s="228"/>
      <c r="N15" s="228"/>
      <c r="O15" s="228"/>
      <c r="P15" s="228"/>
      <c r="Q15" s="228"/>
      <c r="R15" s="228"/>
    </row>
    <row r="16" spans="2:19" ht="15" customHeight="1" x14ac:dyDescent="0.25">
      <c r="G16" s="281"/>
      <c r="H16" s="305"/>
      <c r="I16" s="306"/>
      <c r="J16" s="307"/>
      <c r="K16" s="282"/>
      <c r="M16" s="228"/>
      <c r="N16" s="228"/>
      <c r="O16" s="228"/>
      <c r="P16" s="228"/>
      <c r="Q16" s="228"/>
      <c r="R16" s="228"/>
    </row>
    <row r="17" spans="7:18" ht="15" customHeight="1" x14ac:dyDescent="0.25">
      <c r="G17" s="281"/>
      <c r="H17" s="331"/>
      <c r="I17" s="332"/>
      <c r="J17" s="333"/>
      <c r="K17" s="282"/>
      <c r="M17" s="228"/>
      <c r="N17" s="228"/>
      <c r="O17" s="228"/>
      <c r="P17" s="228"/>
      <c r="Q17" s="228"/>
      <c r="R17" s="228"/>
    </row>
    <row r="18" spans="7:18" ht="15" customHeight="1" x14ac:dyDescent="0.25">
      <c r="G18" s="281"/>
      <c r="H18" s="421" t="s">
        <v>386</v>
      </c>
      <c r="I18" s="422"/>
      <c r="J18" s="423"/>
      <c r="K18" s="321"/>
      <c r="M18" s="228"/>
      <c r="N18" s="228"/>
      <c r="O18" s="228"/>
      <c r="P18" s="228"/>
      <c r="Q18" s="228"/>
      <c r="R18" s="228"/>
    </row>
    <row r="19" spans="7:18" ht="15" customHeight="1" thickBot="1" x14ac:dyDescent="0.3">
      <c r="G19" s="314"/>
      <c r="H19" s="315"/>
      <c r="I19" s="316"/>
      <c r="J19" s="317"/>
      <c r="K19" s="318"/>
    </row>
  </sheetData>
  <mergeCells count="2">
    <mergeCell ref="G3:K3"/>
    <mergeCell ref="H18:J18"/>
  </mergeCell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0E4295803CF4CB9A93C357F2BD71E" ma:contentTypeVersion="8" ma:contentTypeDescription="Create a new document." ma:contentTypeScope="" ma:versionID="3468c3d457a60efe7bf1e07958ac67a9">
  <xsd:schema xmlns:xsd="http://www.w3.org/2001/XMLSchema" xmlns:xs="http://www.w3.org/2001/XMLSchema" xmlns:p="http://schemas.microsoft.com/office/2006/metadata/properties" xmlns:ns2="1c50504a-f263-42ab-a44b-81a94ffe0954" xmlns:ns3="139635ce-1ed1-4d40-af19-24de1d62ba3e" targetNamespace="http://schemas.microsoft.com/office/2006/metadata/properties" ma:root="true" ma:fieldsID="639065ebab0438cd7118da4439fb4001" ns2:_="" ns3:_="">
    <xsd:import namespace="1c50504a-f263-42ab-a44b-81a94ffe0954"/>
    <xsd:import namespace="139635ce-1ed1-4d40-af19-24de1d62ba3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50504a-f263-42ab-a44b-81a94ffe09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39635ce-1ed1-4d40-af19-24de1d62ba3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D003A7-7F48-46EC-A192-387A80F5D02B}">
  <ds:schemaRefs>
    <ds:schemaRef ds:uri="http://schemas.microsoft.com/sharepoint/v3/contenttype/forms"/>
  </ds:schemaRefs>
</ds:datastoreItem>
</file>

<file path=customXml/itemProps2.xml><?xml version="1.0" encoding="utf-8"?>
<ds:datastoreItem xmlns:ds="http://schemas.openxmlformats.org/officeDocument/2006/customXml" ds:itemID="{C888C05C-7CDB-482B-9CB4-AE0D77AC3FA1}">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75A01C9-1A9C-4D93-8895-0ADAABFB01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50504a-f263-42ab-a44b-81a94ffe0954"/>
    <ds:schemaRef ds:uri="139635ce-1ed1-4d40-af19-24de1d62ba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192</vt:i4>
      </vt:variant>
    </vt:vector>
  </HeadingPairs>
  <TitlesOfParts>
    <vt:vector size="205" baseType="lpstr">
      <vt:lpstr>Simulation Control</vt:lpstr>
      <vt:lpstr>OldAnalysis</vt:lpstr>
      <vt:lpstr>Growth Params</vt:lpstr>
      <vt:lpstr>Time Ind Phys Params</vt:lpstr>
      <vt:lpstr>Time Dep Phys Params</vt:lpstr>
      <vt:lpstr>Media</vt:lpstr>
      <vt:lpstr>LTC</vt:lpstr>
      <vt:lpstr>Lung</vt:lpstr>
      <vt:lpstr>Lookup</vt:lpstr>
      <vt:lpstr>Fortran input file</vt:lpstr>
      <vt:lpstr>Info File</vt:lpstr>
      <vt:lpstr>Summary Template</vt:lpstr>
      <vt:lpstr>Output Summary</vt:lpstr>
      <vt:lpstr>Lung!AgeMax</vt:lpstr>
      <vt:lpstr>AgeMax</vt:lpstr>
      <vt:lpstr>Lung!AgeMin</vt:lpstr>
      <vt:lpstr>AgeMin</vt:lpstr>
      <vt:lpstr>air_0maskuse</vt:lpstr>
      <vt:lpstr>air_3mask</vt:lpstr>
      <vt:lpstr>air_4mask</vt:lpstr>
      <vt:lpstr>air_5mask</vt:lpstr>
      <vt:lpstr>air_7mask</vt:lpstr>
      <vt:lpstr>air_8mask</vt:lpstr>
      <vt:lpstr>Lung!Air_Bin</vt:lpstr>
      <vt:lpstr>Air_Bin</vt:lpstr>
      <vt:lpstr>Air_Frac1</vt:lpstr>
      <vt:lpstr>air_intake_default</vt:lpstr>
      <vt:lpstr>air_intake_reset</vt:lpstr>
      <vt:lpstr>Air_NMask</vt:lpstr>
      <vt:lpstr>Lung!Air_NSource</vt:lpstr>
      <vt:lpstr>Air_NSource</vt:lpstr>
      <vt:lpstr>Air_range</vt:lpstr>
      <vt:lpstr>Air_RBA1</vt:lpstr>
      <vt:lpstr>Air_RBA2</vt:lpstr>
      <vt:lpstr>Air_RBA3</vt:lpstr>
      <vt:lpstr>AllCon_Text</vt:lpstr>
      <vt:lpstr>'Output Summary'!AllowConc_Link</vt:lpstr>
      <vt:lpstr>'Summary Template'!AllowConc_Link</vt:lpstr>
      <vt:lpstr>AllowConc_Link</vt:lpstr>
      <vt:lpstr>'Output Summary'!AllowConc_Media</vt:lpstr>
      <vt:lpstr>'Summary Template'!AllowConc_Media</vt:lpstr>
      <vt:lpstr>AllowConc_Media</vt:lpstr>
      <vt:lpstr>'Output Summary'!AllowConc_Subtype</vt:lpstr>
      <vt:lpstr>'Summary Template'!AllowConc_Subtype</vt:lpstr>
      <vt:lpstr>AllowConc_Subtype</vt:lpstr>
      <vt:lpstr>CountYes</vt:lpstr>
      <vt:lpstr>Default_Air_Conc</vt:lpstr>
      <vt:lpstr>Default_Dust_Conc</vt:lpstr>
      <vt:lpstr>Default_Food_Conc</vt:lpstr>
      <vt:lpstr>default_lung</vt:lpstr>
      <vt:lpstr>Default_Soil_Conc</vt:lpstr>
      <vt:lpstr>default_timedep</vt:lpstr>
      <vt:lpstr>default_timeind</vt:lpstr>
      <vt:lpstr>Default_Water_Conc</vt:lpstr>
      <vt:lpstr>dust_1mask</vt:lpstr>
      <vt:lpstr>dust_3mask</vt:lpstr>
      <vt:lpstr>dust_4mask</vt:lpstr>
      <vt:lpstr>dust_5mask</vt:lpstr>
      <vt:lpstr>dust_6mask</vt:lpstr>
      <vt:lpstr>dust_7mask</vt:lpstr>
      <vt:lpstr>dust_8mask</vt:lpstr>
      <vt:lpstr>Lung!Dust_Bin</vt:lpstr>
      <vt:lpstr>Dust_Bin</vt:lpstr>
      <vt:lpstr>Dust_Frac1</vt:lpstr>
      <vt:lpstr>dust_intake_default</vt:lpstr>
      <vt:lpstr>dust_intake_reset</vt:lpstr>
      <vt:lpstr>Dust_NMask</vt:lpstr>
      <vt:lpstr>Lung!Dust_NSource</vt:lpstr>
      <vt:lpstr>Dust_NSource</vt:lpstr>
      <vt:lpstr>Dust_range</vt:lpstr>
      <vt:lpstr>Dust_RBA1</vt:lpstr>
      <vt:lpstr>Dust_RBA2</vt:lpstr>
      <vt:lpstr>Dust_RBA3</vt:lpstr>
      <vt:lpstr>food_4mask</vt:lpstr>
      <vt:lpstr>food_5mask</vt:lpstr>
      <vt:lpstr>food_6mask</vt:lpstr>
      <vt:lpstr>food_7mask</vt:lpstr>
      <vt:lpstr>food_8mask</vt:lpstr>
      <vt:lpstr>Lung!Food_Bin</vt:lpstr>
      <vt:lpstr>Food_Bin</vt:lpstr>
      <vt:lpstr>Food_NMask</vt:lpstr>
      <vt:lpstr>Lung!Food_NSource</vt:lpstr>
      <vt:lpstr>Food_NSource</vt:lpstr>
      <vt:lpstr>Food_range</vt:lpstr>
      <vt:lpstr>Food_RBA1</vt:lpstr>
      <vt:lpstr>Food_RBA2</vt:lpstr>
      <vt:lpstr>Food_RBA3</vt:lpstr>
      <vt:lpstr>GrowParam</vt:lpstr>
      <vt:lpstr>growth_default</vt:lpstr>
      <vt:lpstr>growth_female</vt:lpstr>
      <vt:lpstr>growth_male</vt:lpstr>
      <vt:lpstr>Growth_reset</vt:lpstr>
      <vt:lpstr>InputFile</vt:lpstr>
      <vt:lpstr>InputFile_new</vt:lpstr>
      <vt:lpstr>InputFile_Test</vt:lpstr>
      <vt:lpstr>Interpol_Bin</vt:lpstr>
      <vt:lpstr>irbc</vt:lpstr>
      <vt:lpstr>Loading_To_Conc</vt:lpstr>
      <vt:lpstr>LoadingToConcentration</vt:lpstr>
      <vt:lpstr>LTC</vt:lpstr>
      <vt:lpstr>LungS2</vt:lpstr>
      <vt:lpstr>LungS3</vt:lpstr>
      <vt:lpstr>MAir_Con_Age</vt:lpstr>
      <vt:lpstr>MAir_Int_Age</vt:lpstr>
      <vt:lpstr>'Output Summary'!MDust_Con_Age</vt:lpstr>
      <vt:lpstr>'Summary Template'!MDust_Con_Age</vt:lpstr>
      <vt:lpstr>MDust_Con_Age</vt:lpstr>
      <vt:lpstr>MDust_Int_Age</vt:lpstr>
      <vt:lpstr>MDust_LTC_Age</vt:lpstr>
      <vt:lpstr>MDust_LTC_Age_New</vt:lpstr>
      <vt:lpstr>Media_Allowable</vt:lpstr>
      <vt:lpstr>Media_allowcon</vt:lpstr>
      <vt:lpstr>media_clearair</vt:lpstr>
      <vt:lpstr>Media_dustclear</vt:lpstr>
      <vt:lpstr>Media_foodclear</vt:lpstr>
      <vt:lpstr>media_otherclear</vt:lpstr>
      <vt:lpstr>Media_Soilclear</vt:lpstr>
      <vt:lpstr>Media_waterclear</vt:lpstr>
      <vt:lpstr>MFood_Con_Age</vt:lpstr>
      <vt:lpstr>MFood_Int_Age</vt:lpstr>
      <vt:lpstr>MOther_Con_age</vt:lpstr>
      <vt:lpstr>MOther_Int_Age</vt:lpstr>
      <vt:lpstr>'Output Summary'!MSoil_Con_Age</vt:lpstr>
      <vt:lpstr>'Summary Template'!MSoil_Con_Age</vt:lpstr>
      <vt:lpstr>MSoil_Con_Age</vt:lpstr>
      <vt:lpstr>MSoil_Int_Age</vt:lpstr>
      <vt:lpstr>MSoil_NMask</vt:lpstr>
      <vt:lpstr>MWater_Con_Age</vt:lpstr>
      <vt:lpstr>MWater_Int_Age</vt:lpstr>
      <vt:lpstr>NumAges</vt:lpstr>
      <vt:lpstr>other_2mask</vt:lpstr>
      <vt:lpstr>other_3mask</vt:lpstr>
      <vt:lpstr>other_4mask</vt:lpstr>
      <vt:lpstr>other_5mask</vt:lpstr>
      <vt:lpstr>other_6mask</vt:lpstr>
      <vt:lpstr>other_7mask</vt:lpstr>
      <vt:lpstr>other_8mask</vt:lpstr>
      <vt:lpstr>Lung!Other_Bin</vt:lpstr>
      <vt:lpstr>Other_Bin</vt:lpstr>
      <vt:lpstr>Other_NMask</vt:lpstr>
      <vt:lpstr>Lung!Other_NSource</vt:lpstr>
      <vt:lpstr>Other_NSource</vt:lpstr>
      <vt:lpstr>Other_Range</vt:lpstr>
      <vt:lpstr>Other_RBA1</vt:lpstr>
      <vt:lpstr>Other_RBA2</vt:lpstr>
      <vt:lpstr>Other_RBA3</vt:lpstr>
      <vt:lpstr>Lung!ParamSex</vt:lpstr>
      <vt:lpstr>ParamSex</vt:lpstr>
      <vt:lpstr>PhysParam</vt:lpstr>
      <vt:lpstr>Lung!SimName</vt:lpstr>
      <vt:lpstr>SimName</vt:lpstr>
      <vt:lpstr>soil_2mask</vt:lpstr>
      <vt:lpstr>soil_5mask</vt:lpstr>
      <vt:lpstr>soil_6mask</vt:lpstr>
      <vt:lpstr>soil_7mask</vt:lpstr>
      <vt:lpstr>soil_8mask</vt:lpstr>
      <vt:lpstr>Lung!Soil_Bin</vt:lpstr>
      <vt:lpstr>Soil_Bin</vt:lpstr>
      <vt:lpstr>Soil_End</vt:lpstr>
      <vt:lpstr>Soil_Frac1</vt:lpstr>
      <vt:lpstr>soil_intake_default</vt:lpstr>
      <vt:lpstr>soil_intake_reset</vt:lpstr>
      <vt:lpstr>Soil_NMask</vt:lpstr>
      <vt:lpstr>Soil_NSource</vt:lpstr>
      <vt:lpstr>Soil_range</vt:lpstr>
      <vt:lpstr>Soil_RBA1</vt:lpstr>
      <vt:lpstr>Soil_RBA2</vt:lpstr>
      <vt:lpstr>Soil_RBA3</vt:lpstr>
      <vt:lpstr>Soil_Start</vt:lpstr>
      <vt:lpstr>SolType</vt:lpstr>
      <vt:lpstr>SolutionType</vt:lpstr>
      <vt:lpstr>source_2_ci_dust</vt:lpstr>
      <vt:lpstr>source_3_ci_dust</vt:lpstr>
      <vt:lpstr>source2_dust</vt:lpstr>
      <vt:lpstr>source2_dust_am</vt:lpstr>
      <vt:lpstr>source2_dust_ci</vt:lpstr>
      <vt:lpstr>source2_dust_ci_low</vt:lpstr>
      <vt:lpstr>source2_dust_gm</vt:lpstr>
      <vt:lpstr>source2_dust_loading</vt:lpstr>
      <vt:lpstr>source3_dust_am</vt:lpstr>
      <vt:lpstr>source3_dust_ci</vt:lpstr>
      <vt:lpstr>source3_dust_gm</vt:lpstr>
      <vt:lpstr>source3_dust_loading</vt:lpstr>
      <vt:lpstr>source4_dust_gm</vt:lpstr>
      <vt:lpstr>StepHr</vt:lpstr>
      <vt:lpstr>StepOut</vt:lpstr>
      <vt:lpstr>water_1mask</vt:lpstr>
      <vt:lpstr>water_3mask</vt:lpstr>
      <vt:lpstr>water_4mask</vt:lpstr>
      <vt:lpstr>water_5mask</vt:lpstr>
      <vt:lpstr>water_6mask</vt:lpstr>
      <vt:lpstr>water_7mask</vt:lpstr>
      <vt:lpstr>water_8mask</vt:lpstr>
      <vt:lpstr>Lung!Water_Bin</vt:lpstr>
      <vt:lpstr>Water_Bin</vt:lpstr>
      <vt:lpstr>Water_Frac1</vt:lpstr>
      <vt:lpstr>water_intake_default</vt:lpstr>
      <vt:lpstr>water_intake_reset</vt:lpstr>
      <vt:lpstr>Water_NMask</vt:lpstr>
      <vt:lpstr>Lung!Water_NSource</vt:lpstr>
      <vt:lpstr>Water_NSource</vt:lpstr>
      <vt:lpstr>Water_range</vt:lpstr>
      <vt:lpstr>Water_RBA1</vt:lpstr>
      <vt:lpstr>Water_RBA2</vt:lpstr>
      <vt:lpstr>Water_RBA3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diamond;Rachel.ONeal@icf.com;Delaney.Reilly@icf.com</dc:creator>
  <cp:keywords/>
  <dc:description/>
  <cp:lastModifiedBy>Reilly, Delaney</cp:lastModifiedBy>
  <cp:revision/>
  <dcterms:created xsi:type="dcterms:W3CDTF">2013-06-07T11:18:08Z</dcterms:created>
  <dcterms:modified xsi:type="dcterms:W3CDTF">2025-06-27T14:02:00Z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0x0101008990E4295803CF4CB9A93C357F2BD71E</vt:lpwstr>
  </property>
</Properties>
</file>